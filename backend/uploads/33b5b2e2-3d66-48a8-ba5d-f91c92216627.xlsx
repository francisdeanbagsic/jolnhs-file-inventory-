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SHS 2024\"/>
    </mc:Choice>
  </mc:AlternateContent>
  <xr:revisionPtr revIDLastSave="0" documentId="8_{8BF590E3-6EAB-4426-83C3-8C28545A30B8}" xr6:coauthVersionLast="47" xr6:coauthVersionMax="47" xr10:uidLastSave="{00000000-0000-0000-0000-000000000000}"/>
  <bookViews>
    <workbookView xWindow="40" yWindow="690" windowWidth="19160" windowHeight="10110" xr2:uid="{00000000-000D-0000-FFFF-FFFF00000000}"/>
  </bookViews>
  <sheets>
    <sheet name="Gen CP" sheetId="1" r:id="rId1"/>
    <sheet name="Ref" sheetId="2" state="hidden" r:id="rId2"/>
    <sheet name="New" sheetId="5" state="hidden" r:id="rId3"/>
    <sheet name="Old" sheetId="3" r:id="rId4"/>
    <sheet name="Class Sch" sheetId="10" r:id="rId5"/>
    <sheet name="Sheet1" sheetId="13" state="hidden" r:id="rId6"/>
    <sheet name="Teacher's Sched" sheetId="14" r:id="rId7"/>
  </sheets>
  <definedNames>
    <definedName name="_xlnm.Print_Area" localSheetId="4">'Class Sch'!$A$1:$GJ$78</definedName>
    <definedName name="_xlnm.Print_Area" localSheetId="0">'Gen CP'!$A$1:$AY$86</definedName>
    <definedName name="_xlnm.Print_Area" localSheetId="2">New!$A$1:$I$194</definedName>
    <definedName name="_xlnm.Print_Area" localSheetId="3">Old!$A$1:$AD$51</definedName>
    <definedName name="_xlnm.Print_Area" localSheetId="1">Ref!$A$1:$I$218</definedName>
    <definedName name="_xlnm.Print_Area" localSheetId="6">'Teacher''s Sched'!$A$1:$PP$51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78" i="10" l="1"/>
  <c r="JM19" i="14"/>
  <c r="U56" i="10"/>
  <c r="U57" i="10"/>
  <c r="IK18" i="14"/>
  <c r="IK19" i="14"/>
  <c r="AO56" i="10"/>
  <c r="AO57" i="10"/>
  <c r="BK19" i="14"/>
  <c r="BK18" i="14"/>
  <c r="FQ22" i="14"/>
  <c r="FQ23" i="14"/>
  <c r="DK61" i="10"/>
  <c r="DK62" i="10"/>
  <c r="DI71" i="10"/>
  <c r="DK71" i="10"/>
  <c r="DM71" i="10"/>
  <c r="DG71" i="10"/>
  <c r="DO68" i="10"/>
  <c r="DO69" i="10"/>
  <c r="DO66" i="10"/>
  <c r="DO67" i="10"/>
  <c r="DO53" i="10"/>
  <c r="DO71" i="10" s="1"/>
  <c r="DO54" i="10"/>
  <c r="DO72" i="10" s="1"/>
  <c r="DG63" i="10"/>
  <c r="DG64" i="10"/>
  <c r="DI56" i="10"/>
  <c r="DI57" i="10"/>
  <c r="DC63" i="10"/>
  <c r="DC64" i="10"/>
  <c r="CO59" i="10"/>
  <c r="CO60" i="10"/>
  <c r="CQ56" i="10"/>
  <c r="CQ57" i="10"/>
  <c r="CI56" i="10"/>
  <c r="CI57" i="10"/>
  <c r="CE63" i="10"/>
  <c r="CE64" i="10"/>
  <c r="BW56" i="10"/>
  <c r="BW57" i="10"/>
  <c r="BM61" i="10"/>
  <c r="BM62" i="10"/>
  <c r="BS66" i="10"/>
  <c r="BS67" i="10"/>
  <c r="BG61" i="10"/>
  <c r="BG62" i="10"/>
  <c r="BG63" i="10"/>
  <c r="BG64" i="10"/>
  <c r="BA66" i="10"/>
  <c r="BA67" i="10"/>
  <c r="BC56" i="10"/>
  <c r="BC57" i="10"/>
  <c r="AY59" i="10"/>
  <c r="AY60" i="10"/>
  <c r="CW16" i="14"/>
  <c r="CY16" i="14" s="1"/>
  <c r="AS68" i="10"/>
  <c r="AS69" i="10"/>
  <c r="AQ59" i="10"/>
  <c r="AQ60" i="10"/>
  <c r="AU61" i="10"/>
  <c r="AU62" i="10"/>
  <c r="AS63" i="10"/>
  <c r="AS64" i="10"/>
  <c r="AI59" i="10"/>
  <c r="AI60" i="10"/>
  <c r="AI56" i="10"/>
  <c r="AI57" i="10"/>
  <c r="W66" i="10"/>
  <c r="W67" i="10"/>
  <c r="W56" i="10"/>
  <c r="W57" i="10"/>
  <c r="C68" i="10"/>
  <c r="C69" i="10"/>
  <c r="K63" i="10"/>
  <c r="K64" i="10"/>
  <c r="E56" i="10"/>
  <c r="E57" i="10"/>
  <c r="K53" i="10"/>
  <c r="K54" i="10"/>
  <c r="AI29" i="10"/>
  <c r="AI30" i="10"/>
  <c r="EG18" i="14"/>
  <c r="BM17" i="10"/>
  <c r="BM18" i="10"/>
  <c r="EA24" i="10"/>
  <c r="EA25" i="10"/>
  <c r="DO20" i="10"/>
  <c r="DO21" i="10"/>
  <c r="DK22" i="10"/>
  <c r="DK23" i="10"/>
  <c r="DI24" i="10"/>
  <c r="DI25" i="10"/>
  <c r="DO29" i="10"/>
  <c r="DO30" i="10"/>
  <c r="DG17" i="10"/>
  <c r="DG18" i="10"/>
  <c r="DC29" i="10"/>
  <c r="DC30" i="10"/>
  <c r="CU27" i="10"/>
  <c r="CU28" i="10"/>
  <c r="DC22" i="10"/>
  <c r="DC23" i="10"/>
  <c r="CQ20" i="10"/>
  <c r="CQ21" i="10"/>
  <c r="CQ22" i="10"/>
  <c r="CQ23" i="10"/>
  <c r="CM25" i="10"/>
  <c r="CM24" i="10"/>
  <c r="CQ29" i="10"/>
  <c r="CQ30" i="10"/>
  <c r="CK17" i="10"/>
  <c r="CK18" i="10"/>
  <c r="CC22" i="10"/>
  <c r="CC23" i="10"/>
  <c r="CA24" i="10"/>
  <c r="CA25" i="10"/>
  <c r="BW20" i="10"/>
  <c r="BW21" i="10"/>
  <c r="BW17" i="10"/>
  <c r="BW18" i="10"/>
  <c r="BG17" i="10"/>
  <c r="BG18" i="10"/>
  <c r="Q22" i="10"/>
  <c r="Q23" i="10"/>
  <c r="BO20" i="10"/>
  <c r="BO21" i="10"/>
  <c r="BS22" i="10"/>
  <c r="BS23" i="10"/>
  <c r="BM29" i="10"/>
  <c r="BM30" i="10"/>
  <c r="BO17" i="10"/>
  <c r="BO18" i="10"/>
  <c r="BE27" i="10"/>
  <c r="BE28" i="10"/>
  <c r="AY24" i="10"/>
  <c r="AY25" i="10"/>
  <c r="BE20" i="10"/>
  <c r="BE21" i="10"/>
  <c r="AG24" i="10"/>
  <c r="AG25" i="10"/>
  <c r="AU18" i="10"/>
  <c r="AU17" i="10"/>
  <c r="AC18" i="10"/>
  <c r="AC17" i="10"/>
  <c r="K25" i="10"/>
  <c r="JC23" i="14"/>
  <c r="JC25" i="14"/>
  <c r="W29" i="10"/>
  <c r="W30" i="10"/>
  <c r="AU20" i="10"/>
  <c r="AU21" i="10"/>
  <c r="Q20" i="10"/>
  <c r="O20" i="10"/>
  <c r="O21" i="10"/>
  <c r="S24" i="10"/>
  <c r="S25" i="10"/>
  <c r="DS17" i="10"/>
  <c r="DS18" i="10"/>
  <c r="DW23" i="10"/>
  <c r="DW22" i="10"/>
  <c r="KQ30" i="14"/>
  <c r="KQ28" i="14"/>
  <c r="KQ26" i="14"/>
  <c r="KQ24" i="14"/>
  <c r="KQ20" i="14"/>
  <c r="KQ18" i="14"/>
  <c r="KS16" i="14"/>
  <c r="KW16" i="14" s="1"/>
  <c r="KG16" i="14"/>
  <c r="KG17" i="14"/>
  <c r="KE20" i="14"/>
  <c r="KE18" i="14"/>
  <c r="JS26" i="14"/>
  <c r="JS28" i="14"/>
  <c r="JS24" i="14"/>
  <c r="JS22" i="14"/>
  <c r="JS20" i="14"/>
  <c r="JS18" i="14"/>
  <c r="JU16" i="14"/>
  <c r="JY16" i="14" s="1"/>
  <c r="JA16" i="14"/>
  <c r="JC16" i="14"/>
  <c r="IY16" i="14"/>
  <c r="JM16" i="14"/>
  <c r="JO16" i="14"/>
  <c r="JK16" i="14"/>
  <c r="JG18" i="14"/>
  <c r="JM18" i="14" s="1"/>
  <c r="DC16" i="14" l="1"/>
  <c r="DA16" i="14"/>
  <c r="KU16" i="14"/>
  <c r="KY16" i="14"/>
  <c r="KY30" i="14" s="1"/>
  <c r="JW16" i="14"/>
  <c r="KA16" i="14"/>
  <c r="KA30" i="14" s="1"/>
  <c r="IU30" i="14" l="1"/>
  <c r="IU28" i="14"/>
  <c r="IU24" i="14"/>
  <c r="JC24" i="14" s="1"/>
  <c r="IU22" i="14"/>
  <c r="JC22" i="14" s="1"/>
  <c r="IU20" i="14"/>
  <c r="IU18" i="14"/>
  <c r="IO16" i="14" l="1"/>
  <c r="IQ16" i="14"/>
  <c r="IQ30" i="14" s="1"/>
  <c r="IM16" i="14"/>
  <c r="HW30" i="14"/>
  <c r="HW18" i="14"/>
  <c r="CQ27" i="10"/>
  <c r="CQ28" i="10"/>
  <c r="CO27" i="10"/>
  <c r="CO28" i="10"/>
  <c r="CM27" i="10"/>
  <c r="CM28" i="10"/>
  <c r="CK27" i="10"/>
  <c r="CK28" i="10"/>
  <c r="CI28" i="10"/>
  <c r="CI27" i="10"/>
  <c r="HQ16" i="14"/>
  <c r="HS16" i="14"/>
  <c r="HS30" i="14" s="1"/>
  <c r="HO16" i="14"/>
  <c r="GY22" i="14"/>
  <c r="GY20" i="14"/>
  <c r="HE16" i="14"/>
  <c r="HG16" i="14"/>
  <c r="HG30" i="14" s="1"/>
  <c r="HC16" i="14"/>
  <c r="GM24" i="14"/>
  <c r="GM18" i="14"/>
  <c r="GS16" i="14"/>
  <c r="GU16" i="14"/>
  <c r="GQ16" i="14"/>
  <c r="GA26" i="14"/>
  <c r="GA24" i="14"/>
  <c r="GA18" i="14"/>
  <c r="GC16" i="14"/>
  <c r="GG16" i="14" s="1"/>
  <c r="FO30" i="14"/>
  <c r="FO26" i="14"/>
  <c r="FK30" i="14"/>
  <c r="FC28" i="14"/>
  <c r="FC24" i="14"/>
  <c r="FC20" i="14"/>
  <c r="FI16" i="14"/>
  <c r="FK16" i="14"/>
  <c r="FG16" i="14"/>
  <c r="EQ26" i="14"/>
  <c r="EQ24" i="14"/>
  <c r="EQ20" i="14"/>
  <c r="EE18" i="14"/>
  <c r="DC54" i="10"/>
  <c r="DC72" i="10" s="1"/>
  <c r="DC53" i="10"/>
  <c r="DC71" i="10" s="1"/>
  <c r="DC66" i="10"/>
  <c r="DC67" i="10"/>
  <c r="DA66" i="10"/>
  <c r="DA67" i="10"/>
  <c r="CY66" i="10"/>
  <c r="CY67" i="10"/>
  <c r="CW67" i="10"/>
  <c r="CU67" i="10"/>
  <c r="CW66" i="10"/>
  <c r="CU66" i="10"/>
  <c r="DS24" i="14"/>
  <c r="DS18" i="14"/>
  <c r="DU16" i="14"/>
  <c r="DS16" i="14" s="1"/>
  <c r="DG22" i="14"/>
  <c r="DG20" i="14"/>
  <c r="AU30" i="10"/>
  <c r="AU29" i="10"/>
  <c r="AS27" i="10"/>
  <c r="AS28" i="10"/>
  <c r="CI18" i="14"/>
  <c r="CK16" i="14"/>
  <c r="BW18" i="14"/>
  <c r="BY16" i="14"/>
  <c r="BK24" i="14"/>
  <c r="AA26" i="14"/>
  <c r="AC16" i="14"/>
  <c r="O28" i="14"/>
  <c r="O26" i="14"/>
  <c r="O24" i="14"/>
  <c r="O22" i="14"/>
  <c r="O20" i="14"/>
  <c r="Q16" i="14"/>
  <c r="GI16" i="14" l="1"/>
  <c r="GI30" i="14" s="1"/>
  <c r="C30" i="14"/>
  <c r="C28" i="14"/>
  <c r="C22" i="14"/>
  <c r="C20" i="14"/>
  <c r="C18" i="14"/>
  <c r="E18" i="14" s="1"/>
  <c r="E17" i="14"/>
  <c r="E16" i="14"/>
  <c r="I16" i="14" s="1"/>
  <c r="K72" i="10"/>
  <c r="K71" i="10"/>
  <c r="EK16" i="14"/>
  <c r="EM16" i="14"/>
  <c r="EM30" i="14" s="1"/>
  <c r="EI16" i="14"/>
  <c r="DW16" i="14"/>
  <c r="DM16" i="14"/>
  <c r="DO16" i="14"/>
  <c r="DO30" i="14" s="1"/>
  <c r="DK16" i="14"/>
  <c r="DC30" i="14"/>
  <c r="CO16" i="14"/>
  <c r="CQ16" i="14"/>
  <c r="CQ30" i="14" s="1"/>
  <c r="CM16" i="14"/>
  <c r="CC16" i="14"/>
  <c r="CE16" i="14"/>
  <c r="CE30" i="14" s="1"/>
  <c r="CA16" i="14"/>
  <c r="BQ16" i="14"/>
  <c r="BS16" i="14"/>
  <c r="BS30" i="14" s="1"/>
  <c r="BO16" i="14"/>
  <c r="BE16" i="14"/>
  <c r="BG16" i="14"/>
  <c r="BG30" i="14" s="1"/>
  <c r="BC16" i="14"/>
  <c r="AS16" i="14"/>
  <c r="AU16" i="14"/>
  <c r="AU30" i="14" s="1"/>
  <c r="AQ16" i="14"/>
  <c r="AG16" i="14"/>
  <c r="AI16" i="14"/>
  <c r="AI30" i="14" s="1"/>
  <c r="AE16" i="14"/>
  <c r="S16" i="14"/>
  <c r="U16" i="14"/>
  <c r="W16" i="14"/>
  <c r="W30" i="14" s="1"/>
  <c r="K16" i="14"/>
  <c r="K30" i="14" s="1"/>
  <c r="G16" i="14"/>
  <c r="U17" i="10"/>
  <c r="U18" i="10"/>
  <c r="K23" i="10"/>
  <c r="K24" i="10"/>
  <c r="II11" i="14"/>
  <c r="II10" i="14"/>
  <c r="HW11" i="14"/>
  <c r="HW10" i="14"/>
  <c r="HK11" i="14"/>
  <c r="HK10" i="14"/>
  <c r="GY11" i="14"/>
  <c r="GY10" i="14"/>
  <c r="GM11" i="14"/>
  <c r="GM10" i="14"/>
  <c r="GA11" i="14"/>
  <c r="GA10" i="14"/>
  <c r="FO11" i="14"/>
  <c r="FO10" i="14"/>
  <c r="FC11" i="14"/>
  <c r="FC10" i="14"/>
  <c r="EQ11" i="14"/>
  <c r="EQ10" i="14"/>
  <c r="EE10" i="14"/>
  <c r="EE11" i="14"/>
  <c r="B16" i="14" l="1"/>
  <c r="EA16" i="14"/>
  <c r="DY16" i="14"/>
  <c r="K27" i="10" l="1"/>
  <c r="K28" i="10"/>
  <c r="I22" i="10"/>
  <c r="I23" i="10"/>
  <c r="G20" i="10"/>
  <c r="G21" i="10"/>
  <c r="C15" i="10" l="1"/>
  <c r="AA10" i="14"/>
  <c r="DS11" i="14" l="1"/>
  <c r="DS10" i="14"/>
  <c r="DG11" i="14"/>
  <c r="DG10" i="14"/>
  <c r="CU11" i="14"/>
  <c r="CU10" i="14"/>
  <c r="CI11" i="14"/>
  <c r="CI10" i="14"/>
  <c r="BW11" i="14"/>
  <c r="BW10" i="14"/>
  <c r="BK11" i="14"/>
  <c r="BK10" i="14"/>
  <c r="AY11" i="14" l="1"/>
  <c r="AM10" i="14"/>
  <c r="AY10" i="14"/>
  <c r="AM11" i="14"/>
  <c r="AA11" i="14"/>
  <c r="O11" i="14"/>
  <c r="O10" i="14"/>
  <c r="E20" i="14"/>
  <c r="OY30" i="14" l="1"/>
  <c r="OW30" i="14"/>
  <c r="KP16" i="14"/>
  <c r="JR16" i="14"/>
  <c r="IH16" i="14"/>
  <c r="HJ16" i="14"/>
  <c r="GX28" i="14"/>
  <c r="GX18" i="14"/>
  <c r="GX16" i="14"/>
  <c r="ED16" i="14"/>
  <c r="DR16" i="14"/>
  <c r="DF16" i="14"/>
  <c r="CT24" i="14"/>
  <c r="CT22" i="14"/>
  <c r="CT20" i="14"/>
  <c r="CT18" i="14"/>
  <c r="PI17" i="14"/>
  <c r="PK17" i="14"/>
  <c r="PM17" i="14"/>
  <c r="PO17" i="14"/>
  <c r="PI18" i="14"/>
  <c r="PK18" i="14"/>
  <c r="PM18" i="14"/>
  <c r="PO18" i="14"/>
  <c r="PI19" i="14"/>
  <c r="PK19" i="14"/>
  <c r="PM19" i="14"/>
  <c r="PO19" i="14"/>
  <c r="PI20" i="14"/>
  <c r="PK20" i="14"/>
  <c r="PM20" i="14"/>
  <c r="PO20" i="14"/>
  <c r="PI21" i="14"/>
  <c r="PK21" i="14"/>
  <c r="PM21" i="14"/>
  <c r="PO21" i="14"/>
  <c r="PI22" i="14"/>
  <c r="PK22" i="14"/>
  <c r="PM22" i="14"/>
  <c r="PO22" i="14"/>
  <c r="PI23" i="14"/>
  <c r="PK23" i="14"/>
  <c r="PM23" i="14"/>
  <c r="PO23" i="14"/>
  <c r="PI24" i="14"/>
  <c r="PK24" i="14"/>
  <c r="PM24" i="14"/>
  <c r="PO24" i="14"/>
  <c r="PI25" i="14"/>
  <c r="PK25" i="14"/>
  <c r="PM25" i="14"/>
  <c r="PO25" i="14"/>
  <c r="PI26" i="14"/>
  <c r="PK26" i="14"/>
  <c r="PM26" i="14"/>
  <c r="PO26" i="14"/>
  <c r="PI27" i="14"/>
  <c r="PK27" i="14"/>
  <c r="PM27" i="14"/>
  <c r="PO27" i="14"/>
  <c r="PI28" i="14"/>
  <c r="PK28" i="14"/>
  <c r="PM28" i="14"/>
  <c r="PO28" i="14"/>
  <c r="PI29" i="14"/>
  <c r="PK29" i="14"/>
  <c r="PM29" i="14"/>
  <c r="PO29" i="14"/>
  <c r="PI30" i="14"/>
  <c r="PK30" i="14"/>
  <c r="PM30" i="14"/>
  <c r="PO30" i="14"/>
  <c r="PI31" i="14"/>
  <c r="PK31" i="14"/>
  <c r="PM31" i="14"/>
  <c r="PO31" i="14"/>
  <c r="PM16" i="14"/>
  <c r="PO16" i="14"/>
  <c r="PI16" i="14"/>
  <c r="PK16" i="14" s="1"/>
  <c r="OW17" i="14"/>
  <c r="OY17" i="14"/>
  <c r="PA17" i="14"/>
  <c r="PC17" i="14"/>
  <c r="OW18" i="14"/>
  <c r="OT18" i="14" s="1"/>
  <c r="OY18" i="14"/>
  <c r="PA18" i="14"/>
  <c r="PC18" i="14"/>
  <c r="OW19" i="14"/>
  <c r="OY19" i="14"/>
  <c r="PA19" i="14"/>
  <c r="PC19" i="14"/>
  <c r="OW20" i="14"/>
  <c r="OT20" i="14" s="1"/>
  <c r="OY20" i="14"/>
  <c r="PA20" i="14"/>
  <c r="PC20" i="14"/>
  <c r="OW21" i="14"/>
  <c r="OY21" i="14"/>
  <c r="PA21" i="14"/>
  <c r="PC21" i="14"/>
  <c r="OW22" i="14"/>
  <c r="OT22" i="14" s="1"/>
  <c r="OY22" i="14"/>
  <c r="PA22" i="14"/>
  <c r="PC22" i="14"/>
  <c r="OW23" i="14"/>
  <c r="OY23" i="14"/>
  <c r="PA23" i="14"/>
  <c r="PC23" i="14"/>
  <c r="OW24" i="14"/>
  <c r="OT24" i="14" s="1"/>
  <c r="OY24" i="14"/>
  <c r="PA24" i="14"/>
  <c r="PC24" i="14"/>
  <c r="OW25" i="14"/>
  <c r="OY25" i="14"/>
  <c r="PA25" i="14"/>
  <c r="PC25" i="14"/>
  <c r="OW26" i="14"/>
  <c r="OT26" i="14" s="1"/>
  <c r="OY26" i="14"/>
  <c r="PA26" i="14"/>
  <c r="PC26" i="14"/>
  <c r="OW27" i="14"/>
  <c r="OY27" i="14"/>
  <c r="PA27" i="14"/>
  <c r="PC27" i="14"/>
  <c r="OW28" i="14"/>
  <c r="OT28" i="14" s="1"/>
  <c r="OY28" i="14"/>
  <c r="PA28" i="14"/>
  <c r="PC28" i="14"/>
  <c r="OW29" i="14"/>
  <c r="OY29" i="14"/>
  <c r="PA29" i="14"/>
  <c r="PC29" i="14"/>
  <c r="PA30" i="14"/>
  <c r="PC30" i="14"/>
  <c r="OW31" i="14"/>
  <c r="OY31" i="14"/>
  <c r="PA31" i="14"/>
  <c r="PC31" i="14"/>
  <c r="PA16" i="14"/>
  <c r="PC16" i="14"/>
  <c r="OW16" i="14"/>
  <c r="OY16" i="14" s="1"/>
  <c r="OK17" i="14"/>
  <c r="OM17" i="14"/>
  <c r="OO17" i="14"/>
  <c r="OQ17" i="14"/>
  <c r="OK18" i="14"/>
  <c r="OH18" i="14" s="1"/>
  <c r="OM18" i="14"/>
  <c r="OO18" i="14"/>
  <c r="OQ18" i="14"/>
  <c r="OK19" i="14"/>
  <c r="OM19" i="14"/>
  <c r="OO19" i="14"/>
  <c r="OQ19" i="14"/>
  <c r="OK20" i="14"/>
  <c r="OH20" i="14" s="1"/>
  <c r="OM20" i="14"/>
  <c r="OO20" i="14"/>
  <c r="OQ20" i="14"/>
  <c r="OK21" i="14"/>
  <c r="OM21" i="14"/>
  <c r="OO21" i="14"/>
  <c r="OQ21" i="14"/>
  <c r="OK22" i="14"/>
  <c r="OH22" i="14" s="1"/>
  <c r="OM22" i="14"/>
  <c r="OO22" i="14"/>
  <c r="OQ22" i="14"/>
  <c r="OK23" i="14"/>
  <c r="OM23" i="14"/>
  <c r="OO23" i="14"/>
  <c r="OQ23" i="14"/>
  <c r="OK24" i="14"/>
  <c r="OH24" i="14" s="1"/>
  <c r="OM24" i="14"/>
  <c r="OO24" i="14"/>
  <c r="OQ24" i="14"/>
  <c r="OK25" i="14"/>
  <c r="OM25" i="14"/>
  <c r="OO25" i="14"/>
  <c r="OQ25" i="14"/>
  <c r="OK26" i="14"/>
  <c r="OH26" i="14" s="1"/>
  <c r="OM26" i="14"/>
  <c r="OO26" i="14"/>
  <c r="OQ26" i="14"/>
  <c r="OK27" i="14"/>
  <c r="OM27" i="14"/>
  <c r="OO27" i="14"/>
  <c r="OQ27" i="14"/>
  <c r="OK28" i="14"/>
  <c r="OH28" i="14" s="1"/>
  <c r="OM28" i="14"/>
  <c r="OO28" i="14"/>
  <c r="OQ28" i="14"/>
  <c r="OK29" i="14"/>
  <c r="OM29" i="14"/>
  <c r="OO29" i="14"/>
  <c r="OQ29" i="14"/>
  <c r="OK30" i="14"/>
  <c r="OH30" i="14" s="1"/>
  <c r="OM30" i="14"/>
  <c r="OO30" i="14"/>
  <c r="OQ30" i="14"/>
  <c r="OK31" i="14"/>
  <c r="OM31" i="14"/>
  <c r="OO31" i="14"/>
  <c r="OQ31" i="14"/>
  <c r="OO16" i="14"/>
  <c r="OQ16" i="14"/>
  <c r="OK16" i="14"/>
  <c r="OM16" i="14" s="1"/>
  <c r="NY17" i="14"/>
  <c r="OA17" i="14"/>
  <c r="OC17" i="14"/>
  <c r="OE17" i="14"/>
  <c r="NY18" i="14"/>
  <c r="NV18" i="14" s="1"/>
  <c r="OA18" i="14"/>
  <c r="OC18" i="14"/>
  <c r="OE18" i="14"/>
  <c r="NY19" i="14"/>
  <c r="OA19" i="14"/>
  <c r="OC19" i="14"/>
  <c r="OE19" i="14"/>
  <c r="NY20" i="14"/>
  <c r="NV20" i="14" s="1"/>
  <c r="OA20" i="14"/>
  <c r="OC20" i="14"/>
  <c r="OE20" i="14"/>
  <c r="NY21" i="14"/>
  <c r="OA21" i="14"/>
  <c r="OC21" i="14"/>
  <c r="OE21" i="14"/>
  <c r="NY22" i="14"/>
  <c r="NV22" i="14" s="1"/>
  <c r="OA22" i="14"/>
  <c r="OC22" i="14"/>
  <c r="OE22" i="14"/>
  <c r="NY23" i="14"/>
  <c r="OA23" i="14"/>
  <c r="OC23" i="14"/>
  <c r="OE23" i="14"/>
  <c r="NY24" i="14"/>
  <c r="NV24" i="14" s="1"/>
  <c r="OA24" i="14"/>
  <c r="OC24" i="14"/>
  <c r="OE24" i="14"/>
  <c r="NY25" i="14"/>
  <c r="OA25" i="14"/>
  <c r="OC25" i="14"/>
  <c r="OE25" i="14"/>
  <c r="NY26" i="14"/>
  <c r="NV26" i="14" s="1"/>
  <c r="OA26" i="14"/>
  <c r="OC26" i="14"/>
  <c r="OE26" i="14"/>
  <c r="NY27" i="14"/>
  <c r="OA27" i="14"/>
  <c r="OC27" i="14"/>
  <c r="OE27" i="14"/>
  <c r="NY28" i="14"/>
  <c r="NV28" i="14" s="1"/>
  <c r="OA28" i="14"/>
  <c r="OC28" i="14"/>
  <c r="OE28" i="14"/>
  <c r="NY29" i="14"/>
  <c r="OA29" i="14"/>
  <c r="OC29" i="14"/>
  <c r="OE29" i="14"/>
  <c r="NY30" i="14"/>
  <c r="NV30" i="14" s="1"/>
  <c r="OA30" i="14"/>
  <c r="OC30" i="14"/>
  <c r="OE30" i="14"/>
  <c r="NY31" i="14"/>
  <c r="OA31" i="14"/>
  <c r="OC31" i="14"/>
  <c r="OE31" i="14"/>
  <c r="OC16" i="14"/>
  <c r="OE16" i="14"/>
  <c r="NY16" i="14"/>
  <c r="OA16" i="14" s="1"/>
  <c r="NM17" i="14"/>
  <c r="NO17" i="14"/>
  <c r="NQ17" i="14"/>
  <c r="NS17" i="14"/>
  <c r="NM18" i="14"/>
  <c r="NJ18" i="14" s="1"/>
  <c r="NO18" i="14"/>
  <c r="NQ18" i="14"/>
  <c r="NS18" i="14"/>
  <c r="NM19" i="14"/>
  <c r="NO19" i="14"/>
  <c r="NQ19" i="14"/>
  <c r="NS19" i="14"/>
  <c r="NM20" i="14"/>
  <c r="NJ20" i="14" s="1"/>
  <c r="NO20" i="14"/>
  <c r="NQ20" i="14"/>
  <c r="NS20" i="14"/>
  <c r="NM21" i="14"/>
  <c r="NO21" i="14"/>
  <c r="NQ21" i="14"/>
  <c r="NS21" i="14"/>
  <c r="NM22" i="14"/>
  <c r="NJ22" i="14" s="1"/>
  <c r="NO22" i="14"/>
  <c r="NQ22" i="14"/>
  <c r="NS22" i="14"/>
  <c r="NM23" i="14"/>
  <c r="NO23" i="14"/>
  <c r="NQ23" i="14"/>
  <c r="NS23" i="14"/>
  <c r="NM24" i="14"/>
  <c r="NJ24" i="14" s="1"/>
  <c r="NO24" i="14"/>
  <c r="NQ24" i="14"/>
  <c r="NS24" i="14"/>
  <c r="NM25" i="14"/>
  <c r="NO25" i="14"/>
  <c r="NQ25" i="14"/>
  <c r="NS25" i="14"/>
  <c r="NM26" i="14"/>
  <c r="NJ26" i="14" s="1"/>
  <c r="NO26" i="14"/>
  <c r="NQ26" i="14"/>
  <c r="NS26" i="14"/>
  <c r="NM27" i="14"/>
  <c r="NO27" i="14"/>
  <c r="NQ27" i="14"/>
  <c r="NS27" i="14"/>
  <c r="NM28" i="14"/>
  <c r="NJ28" i="14" s="1"/>
  <c r="NO28" i="14"/>
  <c r="NQ28" i="14"/>
  <c r="NS28" i="14"/>
  <c r="NM29" i="14"/>
  <c r="NO29" i="14"/>
  <c r="NQ29" i="14"/>
  <c r="NS29" i="14"/>
  <c r="NM30" i="14"/>
  <c r="NJ30" i="14" s="1"/>
  <c r="NO30" i="14"/>
  <c r="NQ30" i="14"/>
  <c r="NS30" i="14"/>
  <c r="NM31" i="14"/>
  <c r="NO31" i="14"/>
  <c r="NQ31" i="14"/>
  <c r="NS31" i="14"/>
  <c r="NQ16" i="14"/>
  <c r="NS16" i="14"/>
  <c r="NM16" i="14"/>
  <c r="NO16" i="14" s="1"/>
  <c r="NA17" i="14"/>
  <c r="NC17" i="14"/>
  <c r="NE17" i="14"/>
  <c r="NG17" i="14"/>
  <c r="NA18" i="14"/>
  <c r="MX18" i="14" s="1"/>
  <c r="NC18" i="14"/>
  <c r="NE18" i="14"/>
  <c r="NG18" i="14"/>
  <c r="NA19" i="14"/>
  <c r="NC19" i="14"/>
  <c r="NE19" i="14"/>
  <c r="NG19" i="14"/>
  <c r="NA20" i="14"/>
  <c r="MX20" i="14" s="1"/>
  <c r="NC20" i="14"/>
  <c r="NE20" i="14"/>
  <c r="NG20" i="14"/>
  <c r="NA21" i="14"/>
  <c r="NC21" i="14"/>
  <c r="NE21" i="14"/>
  <c r="NG21" i="14"/>
  <c r="NA22" i="14"/>
  <c r="MX22" i="14" s="1"/>
  <c r="NC22" i="14"/>
  <c r="NE22" i="14"/>
  <c r="NG22" i="14"/>
  <c r="NA23" i="14"/>
  <c r="NC23" i="14"/>
  <c r="NE23" i="14"/>
  <c r="NG23" i="14"/>
  <c r="NA24" i="14"/>
  <c r="MX24" i="14" s="1"/>
  <c r="NC24" i="14"/>
  <c r="NE24" i="14"/>
  <c r="NG24" i="14"/>
  <c r="NA25" i="14"/>
  <c r="NC25" i="14"/>
  <c r="NE25" i="14"/>
  <c r="NG25" i="14"/>
  <c r="NA26" i="14"/>
  <c r="MX26" i="14" s="1"/>
  <c r="NC26" i="14"/>
  <c r="NE26" i="14"/>
  <c r="NG26" i="14"/>
  <c r="NA27" i="14"/>
  <c r="NC27" i="14"/>
  <c r="NE27" i="14"/>
  <c r="NG27" i="14"/>
  <c r="NA28" i="14"/>
  <c r="MX28" i="14" s="1"/>
  <c r="NC28" i="14"/>
  <c r="NE28" i="14"/>
  <c r="NG28" i="14"/>
  <c r="NA29" i="14"/>
  <c r="NC29" i="14"/>
  <c r="NE29" i="14"/>
  <c r="NG29" i="14"/>
  <c r="NA30" i="14"/>
  <c r="MX30" i="14" s="1"/>
  <c r="NC30" i="14"/>
  <c r="NE30" i="14"/>
  <c r="NG30" i="14"/>
  <c r="NA31" i="14"/>
  <c r="NC31" i="14"/>
  <c r="NE31" i="14"/>
  <c r="NG31" i="14"/>
  <c r="NE16" i="14"/>
  <c r="NG16" i="14"/>
  <c r="NA16" i="14"/>
  <c r="NC16" i="14" s="1"/>
  <c r="MO31" i="14"/>
  <c r="MQ31" i="14"/>
  <c r="MS31" i="14"/>
  <c r="MU31" i="14"/>
  <c r="MO17" i="14"/>
  <c r="MQ17" i="14"/>
  <c r="MS17" i="14"/>
  <c r="MU17" i="14"/>
  <c r="MO18" i="14"/>
  <c r="ML18" i="14" s="1"/>
  <c r="MQ18" i="14"/>
  <c r="MS18" i="14"/>
  <c r="MU18" i="14"/>
  <c r="MO19" i="14"/>
  <c r="MQ19" i="14"/>
  <c r="MS19" i="14"/>
  <c r="MU19" i="14"/>
  <c r="MO20" i="14"/>
  <c r="ML20" i="14" s="1"/>
  <c r="MQ20" i="14"/>
  <c r="MS20" i="14"/>
  <c r="MU20" i="14"/>
  <c r="MO21" i="14"/>
  <c r="MQ21" i="14"/>
  <c r="MS21" i="14"/>
  <c r="MU21" i="14"/>
  <c r="MO22" i="14"/>
  <c r="ML22" i="14" s="1"/>
  <c r="MQ22" i="14"/>
  <c r="MS22" i="14"/>
  <c r="MU22" i="14"/>
  <c r="MO23" i="14"/>
  <c r="MQ23" i="14"/>
  <c r="MS23" i="14"/>
  <c r="MU23" i="14"/>
  <c r="MO24" i="14"/>
  <c r="ML24" i="14" s="1"/>
  <c r="MQ24" i="14"/>
  <c r="MS24" i="14"/>
  <c r="MU24" i="14"/>
  <c r="MO25" i="14"/>
  <c r="MQ25" i="14"/>
  <c r="MS25" i="14"/>
  <c r="MU25" i="14"/>
  <c r="MO26" i="14"/>
  <c r="ML26" i="14" s="1"/>
  <c r="MQ26" i="14"/>
  <c r="MS26" i="14"/>
  <c r="MU26" i="14"/>
  <c r="MO27" i="14"/>
  <c r="MQ27" i="14"/>
  <c r="MS27" i="14"/>
  <c r="MU27" i="14"/>
  <c r="MO28" i="14"/>
  <c r="ML28" i="14" s="1"/>
  <c r="MQ28" i="14"/>
  <c r="MS28" i="14"/>
  <c r="MU28" i="14"/>
  <c r="MO29" i="14"/>
  <c r="MQ29" i="14"/>
  <c r="MS29" i="14"/>
  <c r="MU29" i="14"/>
  <c r="MO30" i="14"/>
  <c r="ML30" i="14" s="1"/>
  <c r="MQ30" i="14"/>
  <c r="MS30" i="14"/>
  <c r="MU30" i="14"/>
  <c r="MS16" i="14"/>
  <c r="MU16" i="14"/>
  <c r="MO16" i="14"/>
  <c r="MQ16" i="14" s="1"/>
  <c r="MC17" i="14"/>
  <c r="ME17" i="14"/>
  <c r="MG17" i="14"/>
  <c r="MI17" i="14"/>
  <c r="MC18" i="14"/>
  <c r="LZ18" i="14" s="1"/>
  <c r="ME18" i="14"/>
  <c r="MG18" i="14"/>
  <c r="MI18" i="14"/>
  <c r="MC19" i="14"/>
  <c r="ME19" i="14"/>
  <c r="MG19" i="14"/>
  <c r="MI19" i="14"/>
  <c r="MC20" i="14"/>
  <c r="LZ20" i="14" s="1"/>
  <c r="ME20" i="14"/>
  <c r="MG20" i="14"/>
  <c r="MI20" i="14"/>
  <c r="MC21" i="14"/>
  <c r="ME21" i="14"/>
  <c r="MG21" i="14"/>
  <c r="MI21" i="14"/>
  <c r="MC22" i="14"/>
  <c r="LZ22" i="14" s="1"/>
  <c r="ME22" i="14"/>
  <c r="MG22" i="14"/>
  <c r="MI22" i="14"/>
  <c r="MC23" i="14"/>
  <c r="ME23" i="14"/>
  <c r="MG23" i="14"/>
  <c r="MI23" i="14"/>
  <c r="MC24" i="14"/>
  <c r="LZ24" i="14" s="1"/>
  <c r="ME24" i="14"/>
  <c r="MG24" i="14"/>
  <c r="MI24" i="14"/>
  <c r="MC25" i="14"/>
  <c r="ME25" i="14"/>
  <c r="MG25" i="14"/>
  <c r="MI25" i="14"/>
  <c r="MC26" i="14"/>
  <c r="LZ26" i="14" s="1"/>
  <c r="ME26" i="14"/>
  <c r="MG26" i="14"/>
  <c r="MI26" i="14"/>
  <c r="MC27" i="14"/>
  <c r="ME27" i="14"/>
  <c r="MG27" i="14"/>
  <c r="MI27" i="14"/>
  <c r="MC28" i="14"/>
  <c r="LZ28" i="14" s="1"/>
  <c r="ME28" i="14"/>
  <c r="MG28" i="14"/>
  <c r="MI28" i="14"/>
  <c r="MC29" i="14"/>
  <c r="ME29" i="14"/>
  <c r="MG29" i="14"/>
  <c r="MI29" i="14"/>
  <c r="MC30" i="14"/>
  <c r="LZ30" i="14" s="1"/>
  <c r="ME30" i="14"/>
  <c r="MG30" i="14"/>
  <c r="MI30" i="14"/>
  <c r="MC31" i="14"/>
  <c r="ME31" i="14"/>
  <c r="MG31" i="14"/>
  <c r="MI31" i="14"/>
  <c r="MG16" i="14"/>
  <c r="MI16" i="14"/>
  <c r="MC16" i="14"/>
  <c r="ME16" i="14" s="1"/>
  <c r="LQ17" i="14"/>
  <c r="LS17" i="14"/>
  <c r="LU17" i="14"/>
  <c r="LW17" i="14"/>
  <c r="LQ18" i="14"/>
  <c r="LN18" i="14" s="1"/>
  <c r="LS18" i="14"/>
  <c r="LU18" i="14"/>
  <c r="LW18" i="14"/>
  <c r="LQ19" i="14"/>
  <c r="LS19" i="14"/>
  <c r="LU19" i="14"/>
  <c r="LW19" i="14"/>
  <c r="LQ20" i="14"/>
  <c r="LN20" i="14" s="1"/>
  <c r="LS20" i="14"/>
  <c r="LU20" i="14"/>
  <c r="LW20" i="14"/>
  <c r="LQ21" i="14"/>
  <c r="LS21" i="14"/>
  <c r="LU21" i="14"/>
  <c r="LW21" i="14"/>
  <c r="LQ22" i="14"/>
  <c r="LN22" i="14" s="1"/>
  <c r="LS22" i="14"/>
  <c r="LU22" i="14"/>
  <c r="LW22" i="14"/>
  <c r="LQ23" i="14"/>
  <c r="LS23" i="14"/>
  <c r="LU23" i="14"/>
  <c r="LW23" i="14"/>
  <c r="LQ24" i="14"/>
  <c r="LN24" i="14" s="1"/>
  <c r="LS24" i="14"/>
  <c r="LU24" i="14"/>
  <c r="LW24" i="14"/>
  <c r="LQ25" i="14"/>
  <c r="LS25" i="14"/>
  <c r="LU25" i="14"/>
  <c r="LW25" i="14"/>
  <c r="LQ26" i="14"/>
  <c r="LN26" i="14" s="1"/>
  <c r="LS26" i="14"/>
  <c r="LU26" i="14"/>
  <c r="LW26" i="14"/>
  <c r="LQ27" i="14"/>
  <c r="LS27" i="14"/>
  <c r="LU27" i="14"/>
  <c r="LW27" i="14"/>
  <c r="LQ28" i="14"/>
  <c r="LN28" i="14" s="1"/>
  <c r="LS28" i="14"/>
  <c r="LU28" i="14"/>
  <c r="LW28" i="14"/>
  <c r="LQ29" i="14"/>
  <c r="LS29" i="14"/>
  <c r="LU29" i="14"/>
  <c r="LW29" i="14"/>
  <c r="LQ30" i="14"/>
  <c r="LN30" i="14" s="1"/>
  <c r="LS30" i="14"/>
  <c r="LU30" i="14"/>
  <c r="LW30" i="14"/>
  <c r="LQ31" i="14"/>
  <c r="LS31" i="14"/>
  <c r="LU31" i="14"/>
  <c r="LW31" i="14"/>
  <c r="LU16" i="14"/>
  <c r="LW16" i="14"/>
  <c r="LQ16" i="14"/>
  <c r="LS16" i="14" s="1"/>
  <c r="LE17" i="14"/>
  <c r="LG17" i="14"/>
  <c r="LI17" i="14"/>
  <c r="LK17" i="14"/>
  <c r="LE18" i="14"/>
  <c r="LB18" i="14" s="1"/>
  <c r="LG18" i="14"/>
  <c r="LI18" i="14"/>
  <c r="LK18" i="14"/>
  <c r="LE19" i="14"/>
  <c r="LG19" i="14"/>
  <c r="LI19" i="14"/>
  <c r="LK19" i="14"/>
  <c r="LE20" i="14"/>
  <c r="LB20" i="14" s="1"/>
  <c r="LG20" i="14"/>
  <c r="LI20" i="14"/>
  <c r="LK20" i="14"/>
  <c r="LE21" i="14"/>
  <c r="LG21" i="14"/>
  <c r="LI21" i="14"/>
  <c r="LK21" i="14"/>
  <c r="LE22" i="14"/>
  <c r="LB22" i="14" s="1"/>
  <c r="LG22" i="14"/>
  <c r="LI22" i="14"/>
  <c r="LK22" i="14"/>
  <c r="LE23" i="14"/>
  <c r="LG23" i="14"/>
  <c r="LI23" i="14"/>
  <c r="LK23" i="14"/>
  <c r="LE24" i="14"/>
  <c r="LB24" i="14" s="1"/>
  <c r="LG24" i="14"/>
  <c r="LI24" i="14"/>
  <c r="LK24" i="14"/>
  <c r="LE25" i="14"/>
  <c r="LG25" i="14"/>
  <c r="LI25" i="14"/>
  <c r="LK25" i="14"/>
  <c r="LE26" i="14"/>
  <c r="LB26" i="14" s="1"/>
  <c r="LG26" i="14"/>
  <c r="LI26" i="14"/>
  <c r="LK26" i="14"/>
  <c r="LE27" i="14"/>
  <c r="LG27" i="14"/>
  <c r="LI27" i="14"/>
  <c r="LK27" i="14"/>
  <c r="LE28" i="14"/>
  <c r="LB28" i="14" s="1"/>
  <c r="LG28" i="14"/>
  <c r="LI28" i="14"/>
  <c r="LK28" i="14"/>
  <c r="LE29" i="14"/>
  <c r="LG29" i="14"/>
  <c r="LI29" i="14"/>
  <c r="LK29" i="14"/>
  <c r="LE30" i="14"/>
  <c r="LB30" i="14" s="1"/>
  <c r="LG30" i="14"/>
  <c r="LI30" i="14"/>
  <c r="LK30" i="14"/>
  <c r="LE31" i="14"/>
  <c r="LG31" i="14"/>
  <c r="LI31" i="14"/>
  <c r="LK31" i="14"/>
  <c r="LI16" i="14"/>
  <c r="LK16" i="14"/>
  <c r="LE16" i="14"/>
  <c r="LG16" i="14" s="1"/>
  <c r="KS17" i="14"/>
  <c r="KU17" i="14"/>
  <c r="KW17" i="14"/>
  <c r="KY17" i="14"/>
  <c r="KY31" i="14" s="1"/>
  <c r="KS18" i="14"/>
  <c r="KU18" i="14"/>
  <c r="KY18" i="14"/>
  <c r="KS19" i="14"/>
  <c r="KU19" i="14"/>
  <c r="KY19" i="14"/>
  <c r="KS20" i="14"/>
  <c r="KP20" i="14" s="1"/>
  <c r="KU20" i="14"/>
  <c r="KW20" i="14"/>
  <c r="KY20" i="14"/>
  <c r="KS21" i="14"/>
  <c r="KU21" i="14"/>
  <c r="KW21" i="14"/>
  <c r="KY21" i="14"/>
  <c r="KS22" i="14"/>
  <c r="KP22" i="14" s="1"/>
  <c r="KU22" i="14"/>
  <c r="KW22" i="14"/>
  <c r="KY22" i="14"/>
  <c r="KS23" i="14"/>
  <c r="KU23" i="14"/>
  <c r="KW23" i="14"/>
  <c r="KY23" i="14"/>
  <c r="KS24" i="14"/>
  <c r="KP24" i="14" s="1"/>
  <c r="KU24" i="14"/>
  <c r="KW24" i="14"/>
  <c r="KY24" i="14"/>
  <c r="KS25" i="14"/>
  <c r="KU25" i="14"/>
  <c r="KW25" i="14"/>
  <c r="KY25" i="14"/>
  <c r="KS26" i="14"/>
  <c r="KP26" i="14" s="1"/>
  <c r="KU26" i="14"/>
  <c r="KW26" i="14"/>
  <c r="KY26" i="14"/>
  <c r="KS27" i="14"/>
  <c r="KU27" i="14"/>
  <c r="KW27" i="14"/>
  <c r="KY27" i="14"/>
  <c r="KS28" i="14"/>
  <c r="KP28" i="14" s="1"/>
  <c r="KU28" i="14"/>
  <c r="KW28" i="14"/>
  <c r="KY28" i="14"/>
  <c r="KS29" i="14"/>
  <c r="KU29" i="14"/>
  <c r="KW29" i="14"/>
  <c r="KY29" i="14"/>
  <c r="KS30" i="14"/>
  <c r="KU30" i="14"/>
  <c r="KW30" i="14"/>
  <c r="KS31" i="14"/>
  <c r="KU31" i="14"/>
  <c r="KW31" i="14"/>
  <c r="KI17" i="14"/>
  <c r="KK17" i="14"/>
  <c r="KM17" i="14"/>
  <c r="KM31" i="14" s="1"/>
  <c r="KG18" i="14"/>
  <c r="KI18" i="14"/>
  <c r="KK18" i="14"/>
  <c r="KM18" i="14"/>
  <c r="KG19" i="14"/>
  <c r="KI19" i="14"/>
  <c r="KK19" i="14"/>
  <c r="KM19" i="14"/>
  <c r="KG20" i="14"/>
  <c r="KI20" i="14"/>
  <c r="KK20" i="14"/>
  <c r="KM20" i="14"/>
  <c r="KG21" i="14"/>
  <c r="KI21" i="14"/>
  <c r="KK21" i="14"/>
  <c r="KM21" i="14"/>
  <c r="KG22" i="14"/>
  <c r="KD22" i="14" s="1"/>
  <c r="KI22" i="14"/>
  <c r="KK22" i="14"/>
  <c r="KM22" i="14"/>
  <c r="KG23" i="14"/>
  <c r="KI23" i="14"/>
  <c r="KK23" i="14"/>
  <c r="KM23" i="14"/>
  <c r="KG24" i="14"/>
  <c r="KD24" i="14" s="1"/>
  <c r="KI24" i="14"/>
  <c r="KK24" i="14"/>
  <c r="KM24" i="14"/>
  <c r="KG25" i="14"/>
  <c r="KI25" i="14"/>
  <c r="KK25" i="14"/>
  <c r="KM25" i="14"/>
  <c r="KG26" i="14"/>
  <c r="KD26" i="14" s="1"/>
  <c r="KI26" i="14"/>
  <c r="KK26" i="14"/>
  <c r="KM26" i="14"/>
  <c r="KG27" i="14"/>
  <c r="KI27" i="14"/>
  <c r="KK27" i="14"/>
  <c r="KM27" i="14"/>
  <c r="KG28" i="14"/>
  <c r="KD28" i="14" s="1"/>
  <c r="KI28" i="14"/>
  <c r="KK28" i="14"/>
  <c r="KM28" i="14"/>
  <c r="KG29" i="14"/>
  <c r="KI29" i="14"/>
  <c r="KK29" i="14"/>
  <c r="KM29" i="14"/>
  <c r="KG30" i="14"/>
  <c r="KI30" i="14"/>
  <c r="KK30" i="14"/>
  <c r="KG31" i="14"/>
  <c r="KI31" i="14"/>
  <c r="KK31" i="14"/>
  <c r="JU17" i="14"/>
  <c r="JW17" i="14"/>
  <c r="JY17" i="14"/>
  <c r="KA17" i="14"/>
  <c r="KA31" i="14" s="1"/>
  <c r="JU18" i="14"/>
  <c r="JW18" i="14"/>
  <c r="JY18" i="14"/>
  <c r="KA18" i="14"/>
  <c r="JU19" i="14"/>
  <c r="JW19" i="14"/>
  <c r="JY19" i="14"/>
  <c r="KA19" i="14"/>
  <c r="JU20" i="14"/>
  <c r="JW20" i="14"/>
  <c r="JY20" i="14"/>
  <c r="KA20" i="14"/>
  <c r="JU21" i="14"/>
  <c r="JW21" i="14"/>
  <c r="JY21" i="14"/>
  <c r="KA21" i="14"/>
  <c r="JU22" i="14"/>
  <c r="JW22" i="14"/>
  <c r="JY22" i="14"/>
  <c r="KA22" i="14"/>
  <c r="JU23" i="14"/>
  <c r="JW23" i="14"/>
  <c r="JY23" i="14"/>
  <c r="KA23" i="14"/>
  <c r="JU24" i="14"/>
  <c r="JW24" i="14"/>
  <c r="JY24" i="14"/>
  <c r="KA24" i="14"/>
  <c r="JU25" i="14"/>
  <c r="JW25" i="14"/>
  <c r="JY25" i="14"/>
  <c r="KA25" i="14"/>
  <c r="JU26" i="14"/>
  <c r="JW26" i="14"/>
  <c r="JY26" i="14"/>
  <c r="KA26" i="14"/>
  <c r="JU27" i="14"/>
  <c r="JW27" i="14"/>
  <c r="JY27" i="14"/>
  <c r="KA27" i="14"/>
  <c r="JU28" i="14"/>
  <c r="JW28" i="14"/>
  <c r="JY28" i="14"/>
  <c r="KA28" i="14"/>
  <c r="JU29" i="14"/>
  <c r="JW29" i="14"/>
  <c r="JY29" i="14"/>
  <c r="KA29" i="14"/>
  <c r="JU30" i="14"/>
  <c r="JW30" i="14"/>
  <c r="JY30" i="14"/>
  <c r="JU31" i="14"/>
  <c r="JW31" i="14"/>
  <c r="JY31" i="14"/>
  <c r="JK18" i="14"/>
  <c r="JO18" i="14"/>
  <c r="JK19" i="14"/>
  <c r="JO19" i="14"/>
  <c r="JI20" i="14"/>
  <c r="JK20" i="14"/>
  <c r="JM20" i="14"/>
  <c r="JO20" i="14"/>
  <c r="JI21" i="14"/>
  <c r="JK21" i="14"/>
  <c r="JM21" i="14"/>
  <c r="JO21" i="14"/>
  <c r="JI22" i="14"/>
  <c r="JK22" i="14"/>
  <c r="JM22" i="14"/>
  <c r="JO22" i="14"/>
  <c r="JI23" i="14"/>
  <c r="JK23" i="14"/>
  <c r="JM23" i="14"/>
  <c r="JO23" i="14"/>
  <c r="JI24" i="14"/>
  <c r="JK24" i="14"/>
  <c r="JM24" i="14"/>
  <c r="JO24" i="14"/>
  <c r="JI25" i="14"/>
  <c r="JK25" i="14"/>
  <c r="JM25" i="14"/>
  <c r="JO25" i="14"/>
  <c r="JI26" i="14"/>
  <c r="JK26" i="14"/>
  <c r="JM26" i="14"/>
  <c r="JO26" i="14"/>
  <c r="JI27" i="14"/>
  <c r="JK27" i="14"/>
  <c r="JM27" i="14"/>
  <c r="JO27" i="14"/>
  <c r="JI28" i="14"/>
  <c r="JK28" i="14"/>
  <c r="JM28" i="14"/>
  <c r="JO28" i="14"/>
  <c r="JI29" i="14"/>
  <c r="JK29" i="14"/>
  <c r="JM29" i="14"/>
  <c r="JO29" i="14"/>
  <c r="JI30" i="14"/>
  <c r="JK30" i="14"/>
  <c r="JM30" i="14"/>
  <c r="JI31" i="14"/>
  <c r="JK31" i="14"/>
  <c r="JM31" i="14"/>
  <c r="IW17" i="14"/>
  <c r="IY17" i="14"/>
  <c r="JA17" i="14"/>
  <c r="JC17" i="14"/>
  <c r="IW18" i="14"/>
  <c r="IY18" i="14"/>
  <c r="IT18" i="14" s="1"/>
  <c r="JA18" i="14"/>
  <c r="JC18" i="14"/>
  <c r="IW19" i="14"/>
  <c r="IY19" i="14"/>
  <c r="JA19" i="14"/>
  <c r="JC19" i="14"/>
  <c r="IW20" i="14"/>
  <c r="IY20" i="14"/>
  <c r="JA20" i="14"/>
  <c r="JC20" i="14"/>
  <c r="IW21" i="14"/>
  <c r="IY21" i="14"/>
  <c r="JA21" i="14"/>
  <c r="JC21" i="14"/>
  <c r="IW22" i="14"/>
  <c r="IY22" i="14"/>
  <c r="JA22" i="14"/>
  <c r="IW23" i="14"/>
  <c r="IY23" i="14"/>
  <c r="JA23" i="14"/>
  <c r="IW24" i="14"/>
  <c r="IY24" i="14"/>
  <c r="JA24" i="14"/>
  <c r="IW25" i="14"/>
  <c r="IY25" i="14"/>
  <c r="JA25" i="14"/>
  <c r="IW26" i="14"/>
  <c r="IT26" i="14" s="1"/>
  <c r="IY26" i="14"/>
  <c r="JA26" i="14"/>
  <c r="JC26" i="14"/>
  <c r="IW27" i="14"/>
  <c r="IY27" i="14"/>
  <c r="JA27" i="14"/>
  <c r="JC27" i="14"/>
  <c r="IW28" i="14"/>
  <c r="IY28" i="14"/>
  <c r="JA28" i="14"/>
  <c r="JC28" i="14"/>
  <c r="IW29" i="14"/>
  <c r="IY29" i="14"/>
  <c r="JA29" i="14"/>
  <c r="JC29" i="14"/>
  <c r="IW30" i="14"/>
  <c r="IY30" i="14"/>
  <c r="JA30" i="14"/>
  <c r="IW31" i="14"/>
  <c r="IY31" i="14"/>
  <c r="JA31" i="14"/>
  <c r="IT16" i="14"/>
  <c r="IK17" i="14"/>
  <c r="IM17" i="14"/>
  <c r="IO17" i="14"/>
  <c r="IQ17" i="14"/>
  <c r="IQ31" i="14" s="1"/>
  <c r="IM18" i="14"/>
  <c r="IQ18" i="14"/>
  <c r="IH18" i="14" s="1"/>
  <c r="IM19" i="14"/>
  <c r="IQ19" i="14"/>
  <c r="IK20" i="14"/>
  <c r="IM20" i="14"/>
  <c r="IO20" i="14"/>
  <c r="IQ20" i="14"/>
  <c r="IK21" i="14"/>
  <c r="IM21" i="14"/>
  <c r="IO21" i="14"/>
  <c r="IQ21" i="14"/>
  <c r="IM22" i="14"/>
  <c r="IO22" i="14"/>
  <c r="IQ22" i="14"/>
  <c r="IM23" i="14"/>
  <c r="IO23" i="14"/>
  <c r="IQ23" i="14"/>
  <c r="IK24" i="14"/>
  <c r="IM24" i="14"/>
  <c r="IO24" i="14"/>
  <c r="IQ24" i="14"/>
  <c r="IK25" i="14"/>
  <c r="IM25" i="14"/>
  <c r="IO25" i="14"/>
  <c r="IQ25" i="14"/>
  <c r="IK26" i="14"/>
  <c r="IH26" i="14" s="1"/>
  <c r="IM26" i="14"/>
  <c r="IO26" i="14"/>
  <c r="IQ26" i="14"/>
  <c r="IK27" i="14"/>
  <c r="IM27" i="14"/>
  <c r="IO27" i="14"/>
  <c r="IQ27" i="14"/>
  <c r="IK28" i="14"/>
  <c r="IH28" i="14" s="1"/>
  <c r="IM28" i="14"/>
  <c r="IO28" i="14"/>
  <c r="IQ28" i="14"/>
  <c r="IK29" i="14"/>
  <c r="IM29" i="14"/>
  <c r="IO29" i="14"/>
  <c r="IQ29" i="14"/>
  <c r="IK30" i="14"/>
  <c r="IM30" i="14"/>
  <c r="IO30" i="14"/>
  <c r="IK31" i="14"/>
  <c r="IM31" i="14"/>
  <c r="IO31" i="14"/>
  <c r="HY17" i="14"/>
  <c r="IA17" i="14"/>
  <c r="IC17" i="14"/>
  <c r="IE17" i="14"/>
  <c r="HY18" i="14"/>
  <c r="IA18" i="14"/>
  <c r="IC18" i="14"/>
  <c r="IE18" i="14"/>
  <c r="HY19" i="14"/>
  <c r="IA19" i="14"/>
  <c r="IC19" i="14"/>
  <c r="IE19" i="14"/>
  <c r="HY20" i="14"/>
  <c r="IA20" i="14"/>
  <c r="IC20" i="14"/>
  <c r="IE20" i="14"/>
  <c r="HY21" i="14"/>
  <c r="IA21" i="14"/>
  <c r="IC21" i="14"/>
  <c r="IE21" i="14"/>
  <c r="HY22" i="14"/>
  <c r="IA22" i="14"/>
  <c r="IC22" i="14"/>
  <c r="IE22" i="14"/>
  <c r="HY23" i="14"/>
  <c r="IC23" i="14"/>
  <c r="IE23" i="14"/>
  <c r="HY24" i="14"/>
  <c r="IC24" i="14"/>
  <c r="IE24" i="14"/>
  <c r="HY25" i="14"/>
  <c r="IA25" i="14"/>
  <c r="IC25" i="14"/>
  <c r="IE25" i="14"/>
  <c r="HY26" i="14"/>
  <c r="HV26" i="14" s="1"/>
  <c r="IA26" i="14"/>
  <c r="IC26" i="14"/>
  <c r="IE26" i="14"/>
  <c r="HY27" i="14"/>
  <c r="IA27" i="14"/>
  <c r="IC27" i="14"/>
  <c r="IE27" i="14"/>
  <c r="HY28" i="14"/>
  <c r="HV28" i="14" s="1"/>
  <c r="IA28" i="14"/>
  <c r="IC28" i="14"/>
  <c r="IE28" i="14"/>
  <c r="HY29" i="14"/>
  <c r="IA29" i="14"/>
  <c r="IC29" i="14"/>
  <c r="IE29" i="14"/>
  <c r="HY30" i="14"/>
  <c r="HV30" i="14" s="1"/>
  <c r="IA30" i="14"/>
  <c r="IC30" i="14"/>
  <c r="HY31" i="14"/>
  <c r="IA31" i="14"/>
  <c r="IC31" i="14"/>
  <c r="HM17" i="14"/>
  <c r="HO17" i="14"/>
  <c r="HQ17" i="14"/>
  <c r="HS17" i="14"/>
  <c r="HS31" i="14" s="1"/>
  <c r="HM18" i="14"/>
  <c r="HO18" i="14"/>
  <c r="HQ18" i="14"/>
  <c r="HS18" i="14"/>
  <c r="HM19" i="14"/>
  <c r="HO19" i="14"/>
  <c r="HQ19" i="14"/>
  <c r="HS19" i="14"/>
  <c r="HM20" i="14"/>
  <c r="HO20" i="14"/>
  <c r="HQ20" i="14"/>
  <c r="HS20" i="14"/>
  <c r="HM21" i="14"/>
  <c r="HO21" i="14"/>
  <c r="HQ21" i="14"/>
  <c r="HS21" i="14"/>
  <c r="HM22" i="14"/>
  <c r="HO22" i="14"/>
  <c r="HQ22" i="14"/>
  <c r="HS22" i="14"/>
  <c r="HM23" i="14"/>
  <c r="HO23" i="14"/>
  <c r="HQ23" i="14"/>
  <c r="HS23" i="14"/>
  <c r="HM24" i="14"/>
  <c r="HO24" i="14"/>
  <c r="HQ24" i="14"/>
  <c r="HS24" i="14"/>
  <c r="HM25" i="14"/>
  <c r="HO25" i="14"/>
  <c r="HQ25" i="14"/>
  <c r="HS25" i="14"/>
  <c r="HM26" i="14"/>
  <c r="HO26" i="14"/>
  <c r="HJ26" i="14" s="1"/>
  <c r="HQ26" i="14"/>
  <c r="HS26" i="14"/>
  <c r="HM27" i="14"/>
  <c r="HO27" i="14"/>
  <c r="HQ27" i="14"/>
  <c r="HS27" i="14"/>
  <c r="HM28" i="14"/>
  <c r="HO28" i="14"/>
  <c r="HQ28" i="14"/>
  <c r="HS28" i="14"/>
  <c r="HM29" i="14"/>
  <c r="HO29" i="14"/>
  <c r="HQ29" i="14"/>
  <c r="HS29" i="14"/>
  <c r="HM30" i="14"/>
  <c r="HO30" i="14"/>
  <c r="HQ30" i="14"/>
  <c r="HM31" i="14"/>
  <c r="HO31" i="14"/>
  <c r="HQ31" i="14"/>
  <c r="HA17" i="14"/>
  <c r="HC17" i="14"/>
  <c r="HE17" i="14"/>
  <c r="HG17" i="14"/>
  <c r="HG31" i="14" s="1"/>
  <c r="HA20" i="14"/>
  <c r="HC20" i="14"/>
  <c r="HE20" i="14"/>
  <c r="HG20" i="14"/>
  <c r="HA21" i="14"/>
  <c r="HC21" i="14"/>
  <c r="HE21" i="14"/>
  <c r="HG21" i="14"/>
  <c r="HC22" i="14"/>
  <c r="GX22" i="14" s="1"/>
  <c r="HE22" i="14"/>
  <c r="HG22" i="14"/>
  <c r="HC23" i="14"/>
  <c r="HE23" i="14"/>
  <c r="HG23" i="14"/>
  <c r="HA24" i="14"/>
  <c r="GX24" i="14" s="1"/>
  <c r="HC24" i="14"/>
  <c r="HE24" i="14"/>
  <c r="HG24" i="14"/>
  <c r="HA25" i="14"/>
  <c r="HC25" i="14"/>
  <c r="HE25" i="14"/>
  <c r="HG25" i="14"/>
  <c r="HA26" i="14"/>
  <c r="HC26" i="14"/>
  <c r="HE26" i="14"/>
  <c r="HG26" i="14"/>
  <c r="HA27" i="14"/>
  <c r="HC27" i="14"/>
  <c r="HE27" i="14"/>
  <c r="HG27" i="14"/>
  <c r="HE29" i="14"/>
  <c r="HA30" i="14"/>
  <c r="HC30" i="14"/>
  <c r="HE30" i="14"/>
  <c r="HA31" i="14"/>
  <c r="HC31" i="14"/>
  <c r="HE31" i="14"/>
  <c r="GO18" i="14"/>
  <c r="GQ18" i="14"/>
  <c r="GS18" i="14"/>
  <c r="GU18" i="14"/>
  <c r="GO19" i="14"/>
  <c r="GQ19" i="14"/>
  <c r="GS19" i="14"/>
  <c r="GU19" i="14"/>
  <c r="GO20" i="14"/>
  <c r="GQ20" i="14"/>
  <c r="GS20" i="14"/>
  <c r="GU20" i="14"/>
  <c r="GO21" i="14"/>
  <c r="GQ21" i="14"/>
  <c r="GS21" i="14"/>
  <c r="GU21" i="14"/>
  <c r="GO22" i="14"/>
  <c r="GQ22" i="14"/>
  <c r="GS22" i="14"/>
  <c r="GU22" i="14"/>
  <c r="GO23" i="14"/>
  <c r="GQ23" i="14"/>
  <c r="GS23" i="14"/>
  <c r="GU23" i="14"/>
  <c r="GO24" i="14"/>
  <c r="GQ24" i="14"/>
  <c r="GS24" i="14"/>
  <c r="GU24" i="14"/>
  <c r="GO25" i="14"/>
  <c r="GQ25" i="14"/>
  <c r="GS25" i="14"/>
  <c r="GU25" i="14"/>
  <c r="GO26" i="14"/>
  <c r="GQ26" i="14"/>
  <c r="GS26" i="14"/>
  <c r="GU26" i="14"/>
  <c r="GO27" i="14"/>
  <c r="GQ27" i="14"/>
  <c r="GS27" i="14"/>
  <c r="GU27" i="14"/>
  <c r="GQ28" i="14"/>
  <c r="GL28" i="14" s="1"/>
  <c r="GS28" i="14"/>
  <c r="GU28" i="14"/>
  <c r="GQ29" i="14"/>
  <c r="GS29" i="14"/>
  <c r="GU29" i="14"/>
  <c r="GO30" i="14"/>
  <c r="GQ30" i="14"/>
  <c r="GS30" i="14"/>
  <c r="GO31" i="14"/>
  <c r="GQ31" i="14"/>
  <c r="GS31" i="14"/>
  <c r="GC17" i="14"/>
  <c r="GE17" i="14"/>
  <c r="GG17" i="14"/>
  <c r="GI17" i="14"/>
  <c r="GI31" i="14" s="1"/>
  <c r="GC18" i="14"/>
  <c r="GE18" i="14"/>
  <c r="GG18" i="14"/>
  <c r="GI18" i="14"/>
  <c r="GC19" i="14"/>
  <c r="GE19" i="14"/>
  <c r="GG19" i="14"/>
  <c r="GI19" i="14"/>
  <c r="GC20" i="14"/>
  <c r="FZ20" i="14" s="1"/>
  <c r="GE20" i="14"/>
  <c r="GG20" i="14"/>
  <c r="GI20" i="14"/>
  <c r="GC21" i="14"/>
  <c r="GE21" i="14"/>
  <c r="GG21" i="14"/>
  <c r="GI21" i="14"/>
  <c r="GC22" i="14"/>
  <c r="FZ22" i="14" s="1"/>
  <c r="GE22" i="14"/>
  <c r="GG22" i="14"/>
  <c r="GI22" i="14"/>
  <c r="GC23" i="14"/>
  <c r="GE23" i="14"/>
  <c r="GG23" i="14"/>
  <c r="GI23" i="14"/>
  <c r="GC24" i="14"/>
  <c r="GE24" i="14"/>
  <c r="GG24" i="14"/>
  <c r="GI24" i="14"/>
  <c r="GC25" i="14"/>
  <c r="GE25" i="14"/>
  <c r="GG25" i="14"/>
  <c r="GI25" i="14"/>
  <c r="GC26" i="14"/>
  <c r="GE26" i="14"/>
  <c r="GG26" i="14"/>
  <c r="GI26" i="14"/>
  <c r="GC27" i="14"/>
  <c r="GE27" i="14"/>
  <c r="GG27" i="14"/>
  <c r="GI27" i="14"/>
  <c r="GC28" i="14"/>
  <c r="FZ28" i="14" s="1"/>
  <c r="GE28" i="14"/>
  <c r="GG28" i="14"/>
  <c r="GI28" i="14"/>
  <c r="GC29" i="14"/>
  <c r="GE29" i="14"/>
  <c r="GG29" i="14"/>
  <c r="GI29" i="14"/>
  <c r="GC30" i="14"/>
  <c r="FZ30" i="14" s="1"/>
  <c r="GE30" i="14"/>
  <c r="GG30" i="14"/>
  <c r="GC31" i="14"/>
  <c r="GE31" i="14"/>
  <c r="GG31" i="14"/>
  <c r="GE16" i="14"/>
  <c r="FQ17" i="14"/>
  <c r="FS17" i="14"/>
  <c r="FU17" i="14"/>
  <c r="FW17" i="14"/>
  <c r="FW31" i="14" s="1"/>
  <c r="FQ18" i="14"/>
  <c r="FU18" i="14"/>
  <c r="FW18" i="14"/>
  <c r="FQ19" i="14"/>
  <c r="FU19" i="14"/>
  <c r="FW19" i="14"/>
  <c r="FQ20" i="14"/>
  <c r="FN20" i="14" s="1"/>
  <c r="FS20" i="14"/>
  <c r="FU20" i="14"/>
  <c r="FW20" i="14"/>
  <c r="FQ21" i="14"/>
  <c r="FS21" i="14"/>
  <c r="FU21" i="14"/>
  <c r="FW21" i="14"/>
  <c r="FS22" i="14"/>
  <c r="FN22" i="14" s="1"/>
  <c r="FU22" i="14"/>
  <c r="FW22" i="14"/>
  <c r="FS23" i="14"/>
  <c r="FU23" i="14"/>
  <c r="FW23" i="14"/>
  <c r="FN24" i="14"/>
  <c r="FS24" i="14"/>
  <c r="FU24" i="14"/>
  <c r="FW24" i="14"/>
  <c r="FS25" i="14"/>
  <c r="FU25" i="14"/>
  <c r="FW25" i="14"/>
  <c r="FQ26" i="14"/>
  <c r="FS26" i="14"/>
  <c r="FU26" i="14"/>
  <c r="FW26" i="14"/>
  <c r="FQ27" i="14"/>
  <c r="FS27" i="14"/>
  <c r="FU27" i="14"/>
  <c r="FW27" i="14"/>
  <c r="FQ28" i="14"/>
  <c r="FS28" i="14"/>
  <c r="FU28" i="14"/>
  <c r="FW28" i="14"/>
  <c r="FQ29" i="14"/>
  <c r="FS29" i="14"/>
  <c r="FU29" i="14"/>
  <c r="FW29" i="14"/>
  <c r="FQ30" i="14"/>
  <c r="FS30" i="14"/>
  <c r="FU30" i="14"/>
  <c r="FQ31" i="14"/>
  <c r="FS31" i="14"/>
  <c r="FU31" i="14"/>
  <c r="FE17" i="14"/>
  <c r="FG17" i="14"/>
  <c r="FI17" i="14"/>
  <c r="FK17" i="14"/>
  <c r="FK31" i="14" s="1"/>
  <c r="FE18" i="14"/>
  <c r="FB18" i="14" s="1"/>
  <c r="FG18" i="14"/>
  <c r="FI18" i="14"/>
  <c r="FK18" i="14"/>
  <c r="FE19" i="14"/>
  <c r="FG19" i="14"/>
  <c r="FI19" i="14"/>
  <c r="FK19" i="14"/>
  <c r="FE20" i="14"/>
  <c r="FG20" i="14"/>
  <c r="FI20" i="14"/>
  <c r="FK20" i="14"/>
  <c r="FE21" i="14"/>
  <c r="FG21" i="14"/>
  <c r="FI21" i="14"/>
  <c r="FK21" i="14"/>
  <c r="FE22" i="14"/>
  <c r="FG22" i="14"/>
  <c r="FI22" i="14"/>
  <c r="FK22" i="14"/>
  <c r="FE23" i="14"/>
  <c r="FG23" i="14"/>
  <c r="FI23" i="14"/>
  <c r="FK23" i="14"/>
  <c r="FE24" i="14"/>
  <c r="FG24" i="14"/>
  <c r="FI24" i="14"/>
  <c r="FK24" i="14"/>
  <c r="FE25" i="14"/>
  <c r="FG25" i="14"/>
  <c r="FI25" i="14"/>
  <c r="FK25" i="14"/>
  <c r="FE26" i="14"/>
  <c r="FG26" i="14"/>
  <c r="FI26" i="14"/>
  <c r="FK26" i="14"/>
  <c r="FE27" i="14"/>
  <c r="FG27" i="14"/>
  <c r="FI27" i="14"/>
  <c r="FK27" i="14"/>
  <c r="FE28" i="14"/>
  <c r="FB28" i="14" s="1"/>
  <c r="FG28" i="14"/>
  <c r="FI28" i="14"/>
  <c r="FE29" i="14"/>
  <c r="FG29" i="14"/>
  <c r="FI29" i="14"/>
  <c r="FE30" i="14"/>
  <c r="FG30" i="14"/>
  <c r="FI30" i="14"/>
  <c r="FE31" i="14"/>
  <c r="FG31" i="14"/>
  <c r="FI31" i="14"/>
  <c r="ES17" i="14"/>
  <c r="EU17" i="14"/>
  <c r="EW17" i="14"/>
  <c r="EY17" i="14"/>
  <c r="EY31" i="14" s="1"/>
  <c r="ES18" i="14"/>
  <c r="EU18" i="14"/>
  <c r="EW18" i="14"/>
  <c r="EY18" i="14"/>
  <c r="ES19" i="14"/>
  <c r="EU19" i="14"/>
  <c r="EW19" i="14"/>
  <c r="EY19" i="14"/>
  <c r="ES20" i="14"/>
  <c r="EW20" i="14"/>
  <c r="EY20" i="14"/>
  <c r="ES21" i="14"/>
  <c r="EW21" i="14"/>
  <c r="EY21" i="14"/>
  <c r="ES22" i="14"/>
  <c r="EU22" i="14"/>
  <c r="EW22" i="14"/>
  <c r="EY22" i="14"/>
  <c r="ES23" i="14"/>
  <c r="EU23" i="14"/>
  <c r="EW23" i="14"/>
  <c r="EY23" i="14"/>
  <c r="ES24" i="14"/>
  <c r="EU24" i="14"/>
  <c r="EW24" i="14"/>
  <c r="EY24" i="14"/>
  <c r="ES25" i="14"/>
  <c r="EU25" i="14"/>
  <c r="EW25" i="14"/>
  <c r="EY25" i="14"/>
  <c r="ES26" i="14"/>
  <c r="EU26" i="14"/>
  <c r="EW26" i="14"/>
  <c r="EY26" i="14"/>
  <c r="ES27" i="14"/>
  <c r="EU27" i="14"/>
  <c r="EW27" i="14"/>
  <c r="EY27" i="14"/>
  <c r="ES28" i="14"/>
  <c r="EP28" i="14" s="1"/>
  <c r="EU28" i="14"/>
  <c r="EW28" i="14"/>
  <c r="EY28" i="14"/>
  <c r="ES29" i="14"/>
  <c r="EU29" i="14"/>
  <c r="EW29" i="14"/>
  <c r="EY29" i="14"/>
  <c r="ES30" i="14"/>
  <c r="EU30" i="14"/>
  <c r="EW30" i="14"/>
  <c r="ES31" i="14"/>
  <c r="EU31" i="14"/>
  <c r="EW31" i="14"/>
  <c r="EG17" i="14"/>
  <c r="EI17" i="14"/>
  <c r="EK17" i="14"/>
  <c r="EM17" i="14"/>
  <c r="EM31" i="14" s="1"/>
  <c r="EI18" i="14"/>
  <c r="EK18" i="14"/>
  <c r="EM18" i="14"/>
  <c r="EI19" i="14"/>
  <c r="EK19" i="14"/>
  <c r="EM19" i="14"/>
  <c r="EI20" i="14"/>
  <c r="ED20" i="14" s="1"/>
  <c r="EK20" i="14"/>
  <c r="EM20" i="14"/>
  <c r="EI21" i="14"/>
  <c r="EK21" i="14"/>
  <c r="EM21" i="14"/>
  <c r="EG22" i="14"/>
  <c r="EI22" i="14"/>
  <c r="EK22" i="14"/>
  <c r="EM22" i="14"/>
  <c r="EG23" i="14"/>
  <c r="EI23" i="14"/>
  <c r="EK23" i="14"/>
  <c r="EM23" i="14"/>
  <c r="EG24" i="14"/>
  <c r="EI24" i="14"/>
  <c r="EK24" i="14"/>
  <c r="EM24" i="14"/>
  <c r="EG25" i="14"/>
  <c r="EI25" i="14"/>
  <c r="EK25" i="14"/>
  <c r="EM25" i="14"/>
  <c r="EG26" i="14"/>
  <c r="EI26" i="14"/>
  <c r="EK26" i="14"/>
  <c r="EM26" i="14"/>
  <c r="EG27" i="14"/>
  <c r="EI27" i="14"/>
  <c r="EK27" i="14"/>
  <c r="EM27" i="14"/>
  <c r="EG28" i="14"/>
  <c r="ED28" i="14" s="1"/>
  <c r="EI28" i="14"/>
  <c r="EK28" i="14"/>
  <c r="EM28" i="14"/>
  <c r="EG29" i="14"/>
  <c r="EI29" i="14"/>
  <c r="EK29" i="14"/>
  <c r="EM29" i="14"/>
  <c r="EG30" i="14"/>
  <c r="EI30" i="14"/>
  <c r="EK30" i="14"/>
  <c r="EG31" i="14"/>
  <c r="EI31" i="14"/>
  <c r="EK31" i="14"/>
  <c r="DU17" i="14"/>
  <c r="DW17" i="14"/>
  <c r="DY17" i="14"/>
  <c r="EA17" i="14"/>
  <c r="DW18" i="14"/>
  <c r="DR18" i="14" s="1"/>
  <c r="DY18" i="14"/>
  <c r="EA18" i="14"/>
  <c r="DW19" i="14"/>
  <c r="DY19" i="14"/>
  <c r="EA19" i="14"/>
  <c r="DW20" i="14"/>
  <c r="DY20" i="14"/>
  <c r="EA20" i="14"/>
  <c r="DW21" i="14"/>
  <c r="DY21" i="14"/>
  <c r="EA21" i="14"/>
  <c r="DW22" i="14"/>
  <c r="DY22" i="14"/>
  <c r="EA22" i="14"/>
  <c r="DW23" i="14"/>
  <c r="DY23" i="14"/>
  <c r="EA23" i="14"/>
  <c r="DW24" i="14"/>
  <c r="DY24" i="14"/>
  <c r="EA24" i="14"/>
  <c r="DW25" i="14"/>
  <c r="DY25" i="14"/>
  <c r="EA25" i="14"/>
  <c r="DU26" i="14"/>
  <c r="DR26" i="14" s="1"/>
  <c r="DW26" i="14"/>
  <c r="DY26" i="14"/>
  <c r="EA26" i="14"/>
  <c r="DU27" i="14"/>
  <c r="DW27" i="14"/>
  <c r="DY27" i="14"/>
  <c r="EA27" i="14"/>
  <c r="DU28" i="14"/>
  <c r="DR28" i="14" s="1"/>
  <c r="DW28" i="14"/>
  <c r="DY28" i="14"/>
  <c r="EA28" i="14"/>
  <c r="DU29" i="14"/>
  <c r="DW29" i="14"/>
  <c r="DY29" i="14"/>
  <c r="EA29" i="14"/>
  <c r="DU30" i="14"/>
  <c r="DW30" i="14"/>
  <c r="DY30" i="14"/>
  <c r="DU31" i="14"/>
  <c r="DW31" i="14"/>
  <c r="DY31" i="14"/>
  <c r="C11" i="14"/>
  <c r="C10" i="14"/>
  <c r="I30" i="14"/>
  <c r="K18" i="14"/>
  <c r="I18" i="14"/>
  <c r="G18" i="14"/>
  <c r="FN18" i="14" l="1"/>
  <c r="JF26" i="14"/>
  <c r="FB26" i="14"/>
  <c r="FN26" i="14"/>
  <c r="GL26" i="14"/>
  <c r="EP18" i="14"/>
  <c r="FB22" i="14"/>
  <c r="GX26" i="14"/>
  <c r="GX20" i="14"/>
  <c r="JF30" i="14"/>
  <c r="JF28" i="14"/>
  <c r="JF24" i="14"/>
  <c r="JF22" i="14"/>
  <c r="JF20" i="14"/>
  <c r="JR22" i="14"/>
  <c r="ED24" i="14"/>
  <c r="EP22" i="14"/>
  <c r="FB30" i="14"/>
  <c r="FN28" i="14"/>
  <c r="GL24" i="14"/>
  <c r="GL22" i="14"/>
  <c r="GL20" i="14"/>
  <c r="HJ30" i="14"/>
  <c r="HJ28" i="14"/>
  <c r="HJ24" i="14"/>
  <c r="HJ22" i="14"/>
  <c r="HJ20" i="14"/>
  <c r="HJ18" i="14"/>
  <c r="HV22" i="14"/>
  <c r="HV20" i="14"/>
  <c r="HV18" i="14"/>
  <c r="IH24" i="14"/>
  <c r="IH22" i="14"/>
  <c r="IH20" i="14"/>
  <c r="ED30" i="14"/>
  <c r="ED26" i="14"/>
  <c r="ED22" i="14"/>
  <c r="GL30" i="14"/>
  <c r="HV24" i="14"/>
  <c r="KP18" i="14"/>
  <c r="LB16" i="14"/>
  <c r="LN16" i="14"/>
  <c r="LZ16" i="14"/>
  <c r="ML16" i="14"/>
  <c r="MX16" i="14"/>
  <c r="NJ16" i="14"/>
  <c r="NV16" i="14"/>
  <c r="OH16" i="14"/>
  <c r="OT16" i="14"/>
  <c r="OT30" i="14"/>
  <c r="DR24" i="14"/>
  <c r="FB24" i="14"/>
  <c r="GL18" i="14"/>
  <c r="IT30" i="14"/>
  <c r="IT28" i="14"/>
  <c r="IT24" i="14"/>
  <c r="IT22" i="14"/>
  <c r="IT20" i="14"/>
  <c r="JF18" i="14"/>
  <c r="JR28" i="14"/>
  <c r="JR26" i="14"/>
  <c r="JR24" i="14"/>
  <c r="JR20" i="14"/>
  <c r="ED18" i="14"/>
  <c r="FB20" i="14"/>
  <c r="FZ26" i="14"/>
  <c r="FZ18" i="14"/>
  <c r="EP26" i="14"/>
  <c r="EP24" i="14"/>
  <c r="EP20" i="14"/>
  <c r="KD20" i="14"/>
  <c r="KD18" i="14"/>
  <c r="KP30" i="14"/>
  <c r="KK16" i="14"/>
  <c r="KM16" i="14"/>
  <c r="KM30" i="14" s="1"/>
  <c r="KD30" i="14" s="1"/>
  <c r="KI16" i="14"/>
  <c r="KD16" i="14" s="1"/>
  <c r="JR18" i="14"/>
  <c r="IH30" i="14"/>
  <c r="IE16" i="14"/>
  <c r="IA16" i="14"/>
  <c r="IC16" i="14"/>
  <c r="FZ24" i="14"/>
  <c r="FZ16" i="14"/>
  <c r="FW16" i="14"/>
  <c r="FW30" i="14" s="1"/>
  <c r="FN30" i="14" s="1"/>
  <c r="FS16" i="14"/>
  <c r="FU16" i="14"/>
  <c r="FN16" i="14"/>
  <c r="FB16" i="14"/>
  <c r="B18" i="14"/>
  <c r="EY16" i="14"/>
  <c r="EY30" i="14" s="1"/>
  <c r="EP30" i="14" s="1"/>
  <c r="EU16" i="14"/>
  <c r="EW16" i="14"/>
  <c r="DI17" i="14"/>
  <c r="DK17" i="14"/>
  <c r="DM17" i="14"/>
  <c r="DO17" i="14"/>
  <c r="DO31" i="14" s="1"/>
  <c r="DI18" i="14"/>
  <c r="DK18" i="14"/>
  <c r="DM18" i="14"/>
  <c r="DO18" i="14"/>
  <c r="DI19" i="14"/>
  <c r="DK19" i="14"/>
  <c r="DM19" i="14"/>
  <c r="DO19" i="14"/>
  <c r="DI20" i="14"/>
  <c r="DK20" i="14"/>
  <c r="DM20" i="14"/>
  <c r="DO20" i="14"/>
  <c r="DI21" i="14"/>
  <c r="DK21" i="14"/>
  <c r="DM21" i="14"/>
  <c r="DO21" i="14"/>
  <c r="DI22" i="14"/>
  <c r="DK22" i="14"/>
  <c r="DM22" i="14"/>
  <c r="DO22" i="14"/>
  <c r="DI23" i="14"/>
  <c r="DK23" i="14"/>
  <c r="DM23" i="14"/>
  <c r="DO23" i="14"/>
  <c r="DI24" i="14"/>
  <c r="DK24" i="14"/>
  <c r="DM24" i="14"/>
  <c r="DO24" i="14"/>
  <c r="DI25" i="14"/>
  <c r="DK25" i="14"/>
  <c r="DM25" i="14"/>
  <c r="DO25" i="14"/>
  <c r="DI26" i="14"/>
  <c r="DK26" i="14"/>
  <c r="DM26" i="14"/>
  <c r="DO26" i="14"/>
  <c r="DI27" i="14"/>
  <c r="DK27" i="14"/>
  <c r="DM27" i="14"/>
  <c r="DO27" i="14"/>
  <c r="DI28" i="14"/>
  <c r="DM28" i="14"/>
  <c r="DO28" i="14"/>
  <c r="DI29" i="14"/>
  <c r="DM29" i="14"/>
  <c r="DO29" i="14"/>
  <c r="DI30" i="14"/>
  <c r="DK30" i="14"/>
  <c r="DM30" i="14"/>
  <c r="DI31" i="14"/>
  <c r="DK31" i="14"/>
  <c r="DM31" i="14"/>
  <c r="CW17" i="14"/>
  <c r="CY17" i="14"/>
  <c r="DA17" i="14"/>
  <c r="DC17" i="14"/>
  <c r="DC31" i="14" s="1"/>
  <c r="CW26" i="14"/>
  <c r="CY26" i="14"/>
  <c r="DA26" i="14"/>
  <c r="DC26" i="14"/>
  <c r="CW27" i="14"/>
  <c r="CY27" i="14"/>
  <c r="DA27" i="14"/>
  <c r="DC27" i="14"/>
  <c r="CW28" i="14"/>
  <c r="CY28" i="14"/>
  <c r="DA28" i="14"/>
  <c r="DC28" i="14"/>
  <c r="CW29" i="14"/>
  <c r="CY29" i="14"/>
  <c r="DA29" i="14"/>
  <c r="DC29" i="14"/>
  <c r="CW30" i="14"/>
  <c r="CY30" i="14"/>
  <c r="DA30" i="14"/>
  <c r="CW31" i="14"/>
  <c r="CY31" i="14"/>
  <c r="DA31" i="14"/>
  <c r="CK17" i="14"/>
  <c r="CM17" i="14"/>
  <c r="CO17" i="14"/>
  <c r="CQ17" i="14"/>
  <c r="CQ31" i="14" s="1"/>
  <c r="CK18" i="14"/>
  <c r="CM18" i="14"/>
  <c r="CO18" i="14"/>
  <c r="CQ18" i="14"/>
  <c r="CK19" i="14"/>
  <c r="CM19" i="14"/>
  <c r="CO19" i="14"/>
  <c r="CQ19" i="14"/>
  <c r="CK20" i="14"/>
  <c r="CM20" i="14"/>
  <c r="CO20" i="14"/>
  <c r="CQ20" i="14"/>
  <c r="CK21" i="14"/>
  <c r="CM21" i="14"/>
  <c r="CO21" i="14"/>
  <c r="CQ21" i="14"/>
  <c r="CK22" i="14"/>
  <c r="CM22" i="14"/>
  <c r="CO22" i="14"/>
  <c r="CQ22" i="14"/>
  <c r="CK23" i="14"/>
  <c r="CM23" i="14"/>
  <c r="CO23" i="14"/>
  <c r="CQ23" i="14"/>
  <c r="CK24" i="14"/>
  <c r="CM24" i="14"/>
  <c r="CO24" i="14"/>
  <c r="CQ24" i="14"/>
  <c r="CK25" i="14"/>
  <c r="CM25" i="14"/>
  <c r="CO25" i="14"/>
  <c r="CQ25" i="14"/>
  <c r="CK26" i="14"/>
  <c r="CM26" i="14"/>
  <c r="CO26" i="14"/>
  <c r="CQ26" i="14"/>
  <c r="CK27" i="14"/>
  <c r="CM27" i="14"/>
  <c r="CO27" i="14"/>
  <c r="CQ27" i="14"/>
  <c r="CK28" i="14"/>
  <c r="CM28" i="14"/>
  <c r="CO28" i="14"/>
  <c r="CQ28" i="14"/>
  <c r="CK29" i="14"/>
  <c r="CM29" i="14"/>
  <c r="CO29" i="14"/>
  <c r="CQ29" i="14"/>
  <c r="CK30" i="14"/>
  <c r="CM30" i="14"/>
  <c r="CO30" i="14"/>
  <c r="CK31" i="14"/>
  <c r="CM31" i="14"/>
  <c r="CO31" i="14"/>
  <c r="BY17" i="14"/>
  <c r="CA17" i="14"/>
  <c r="CC17" i="14"/>
  <c r="CE17" i="14"/>
  <c r="CE31" i="14" s="1"/>
  <c r="BY18" i="14"/>
  <c r="CA18" i="14"/>
  <c r="CC18" i="14"/>
  <c r="CE18" i="14"/>
  <c r="BY19" i="14"/>
  <c r="CA19" i="14"/>
  <c r="CC19" i="14"/>
  <c r="CE19" i="14"/>
  <c r="BY20" i="14"/>
  <c r="CA20" i="14"/>
  <c r="CC20" i="14"/>
  <c r="CE20" i="14"/>
  <c r="BY21" i="14"/>
  <c r="CA21" i="14"/>
  <c r="CC21" i="14"/>
  <c r="CE21" i="14"/>
  <c r="BY22" i="14"/>
  <c r="CA22" i="14"/>
  <c r="CC22" i="14"/>
  <c r="CE22" i="14"/>
  <c r="BY23" i="14"/>
  <c r="CA23" i="14"/>
  <c r="CC23" i="14"/>
  <c r="CE23" i="14"/>
  <c r="BY24" i="14"/>
  <c r="CA24" i="14"/>
  <c r="CC24" i="14"/>
  <c r="CE24" i="14"/>
  <c r="BY25" i="14"/>
  <c r="CA25" i="14"/>
  <c r="CC25" i="14"/>
  <c r="CE25" i="14"/>
  <c r="BY26" i="14"/>
  <c r="CA26" i="14"/>
  <c r="CC26" i="14"/>
  <c r="CE26" i="14"/>
  <c r="BY27" i="14"/>
  <c r="CA27" i="14"/>
  <c r="CC27" i="14"/>
  <c r="CE27" i="14"/>
  <c r="BY28" i="14"/>
  <c r="CA28" i="14"/>
  <c r="CC28" i="14"/>
  <c r="CE28" i="14"/>
  <c r="BY29" i="14"/>
  <c r="CA29" i="14"/>
  <c r="CC29" i="14"/>
  <c r="CE29" i="14"/>
  <c r="BY30" i="14"/>
  <c r="CA30" i="14"/>
  <c r="CC30" i="14"/>
  <c r="BY31" i="14"/>
  <c r="CA31" i="14"/>
  <c r="CC31" i="14"/>
  <c r="BM17" i="14"/>
  <c r="BO17" i="14"/>
  <c r="BQ17" i="14"/>
  <c r="BS17" i="14"/>
  <c r="BS31" i="14" s="1"/>
  <c r="BO20" i="14"/>
  <c r="BQ20" i="14"/>
  <c r="BS20" i="14"/>
  <c r="BO21" i="14"/>
  <c r="BQ21" i="14"/>
  <c r="BS21" i="14"/>
  <c r="BO22" i="14"/>
  <c r="BQ22" i="14"/>
  <c r="BS22" i="14"/>
  <c r="BO23" i="14"/>
  <c r="BQ23" i="14"/>
  <c r="BS23" i="14"/>
  <c r="BM24" i="14"/>
  <c r="BO24" i="14"/>
  <c r="BQ24" i="14"/>
  <c r="BS24" i="14"/>
  <c r="BM25" i="14"/>
  <c r="BO25" i="14"/>
  <c r="BQ25" i="14"/>
  <c r="BS25" i="14"/>
  <c r="BM26" i="14"/>
  <c r="BO26" i="14"/>
  <c r="BQ26" i="14"/>
  <c r="BS26" i="14"/>
  <c r="BM27" i="14"/>
  <c r="BO27" i="14"/>
  <c r="BQ27" i="14"/>
  <c r="BS27" i="14"/>
  <c r="BM28" i="14"/>
  <c r="BO28" i="14"/>
  <c r="BQ28" i="14"/>
  <c r="BS28" i="14"/>
  <c r="BM29" i="14"/>
  <c r="BO29" i="14"/>
  <c r="BQ29" i="14"/>
  <c r="BS29" i="14"/>
  <c r="BM30" i="14"/>
  <c r="BO30" i="14"/>
  <c r="BQ30" i="14"/>
  <c r="BM31" i="14"/>
  <c r="BO31" i="14"/>
  <c r="BQ31" i="14"/>
  <c r="BA17" i="14"/>
  <c r="BC17" i="14"/>
  <c r="BE17" i="14"/>
  <c r="BG17" i="14"/>
  <c r="BG31" i="14" s="1"/>
  <c r="BA18" i="14"/>
  <c r="BC18" i="14"/>
  <c r="BE18" i="14"/>
  <c r="BG18" i="14"/>
  <c r="BA19" i="14"/>
  <c r="BC19" i="14"/>
  <c r="BE19" i="14"/>
  <c r="BG19" i="14"/>
  <c r="BA20" i="14"/>
  <c r="BC20" i="14"/>
  <c r="BE20" i="14"/>
  <c r="BG20" i="14"/>
  <c r="BA21" i="14"/>
  <c r="BC21" i="14"/>
  <c r="BE21" i="14"/>
  <c r="BG21" i="14"/>
  <c r="BA22" i="14"/>
  <c r="BC22" i="14"/>
  <c r="BG22" i="14"/>
  <c r="BA23" i="14"/>
  <c r="BC23" i="14"/>
  <c r="BG23" i="14"/>
  <c r="BA24" i="14"/>
  <c r="BC24" i="14"/>
  <c r="BE24" i="14"/>
  <c r="BG24" i="14"/>
  <c r="BA25" i="14"/>
  <c r="BC25" i="14"/>
  <c r="BE25" i="14"/>
  <c r="BG25" i="14"/>
  <c r="BA26" i="14"/>
  <c r="BC26" i="14"/>
  <c r="BE26" i="14"/>
  <c r="BG26" i="14"/>
  <c r="BA27" i="14"/>
  <c r="BC27" i="14"/>
  <c r="BE27" i="14"/>
  <c r="BG27" i="14"/>
  <c r="BA28" i="14"/>
  <c r="BC28" i="14"/>
  <c r="BE28" i="14"/>
  <c r="BG28" i="14"/>
  <c r="BA29" i="14"/>
  <c r="BC29" i="14"/>
  <c r="BE29" i="14"/>
  <c r="BG29" i="14"/>
  <c r="BA30" i="14"/>
  <c r="AX30" i="14" s="1"/>
  <c r="BC30" i="14"/>
  <c r="BE30" i="14"/>
  <c r="BA31" i="14"/>
  <c r="BC31" i="14"/>
  <c r="BE31" i="14"/>
  <c r="AE28" i="14"/>
  <c r="AE29" i="14"/>
  <c r="AE30" i="14"/>
  <c r="AE31" i="14"/>
  <c r="AE27" i="14"/>
  <c r="AO17" i="14"/>
  <c r="AQ17" i="14"/>
  <c r="AS17" i="14"/>
  <c r="AU17" i="14"/>
  <c r="AU31" i="14" s="1"/>
  <c r="AO18" i="14"/>
  <c r="AS18" i="14"/>
  <c r="AU18" i="14"/>
  <c r="AO19" i="14"/>
  <c r="AS19" i="14"/>
  <c r="AU19" i="14"/>
  <c r="AO20" i="14"/>
  <c r="AQ20" i="14"/>
  <c r="AS20" i="14"/>
  <c r="AU20" i="14"/>
  <c r="AO21" i="14"/>
  <c r="AQ21" i="14"/>
  <c r="AS21" i="14"/>
  <c r="AU21" i="14"/>
  <c r="AO22" i="14"/>
  <c r="AQ22" i="14"/>
  <c r="AS22" i="14"/>
  <c r="AU22" i="14"/>
  <c r="AO23" i="14"/>
  <c r="AQ23" i="14"/>
  <c r="AS23" i="14"/>
  <c r="AU23" i="14"/>
  <c r="AO24" i="14"/>
  <c r="AQ24" i="14"/>
  <c r="AS24" i="14"/>
  <c r="AU24" i="14"/>
  <c r="AO25" i="14"/>
  <c r="AQ25" i="14"/>
  <c r="AS25" i="14"/>
  <c r="AU25" i="14"/>
  <c r="AO26" i="14"/>
  <c r="AQ26" i="14"/>
  <c r="AS26" i="14"/>
  <c r="AU26" i="14"/>
  <c r="AO27" i="14"/>
  <c r="AQ27" i="14"/>
  <c r="AS27" i="14"/>
  <c r="AU27" i="14"/>
  <c r="AO28" i="14"/>
  <c r="AQ28" i="14"/>
  <c r="AS28" i="14"/>
  <c r="AU28" i="14"/>
  <c r="AO29" i="14"/>
  <c r="AQ29" i="14"/>
  <c r="AS29" i="14"/>
  <c r="AU29" i="14"/>
  <c r="AO30" i="14"/>
  <c r="AQ30" i="14"/>
  <c r="AS30" i="14"/>
  <c r="AO31" i="14"/>
  <c r="AQ31" i="14"/>
  <c r="AS31" i="14"/>
  <c r="AC17" i="14"/>
  <c r="AE17" i="14"/>
  <c r="AG17" i="14"/>
  <c r="AI17" i="14"/>
  <c r="AI31" i="14" s="1"/>
  <c r="AC18" i="14"/>
  <c r="AE18" i="14"/>
  <c r="AG18" i="14"/>
  <c r="AI18" i="14"/>
  <c r="AC19" i="14"/>
  <c r="AE19" i="14"/>
  <c r="AG19" i="14"/>
  <c r="AI19" i="14"/>
  <c r="AC20" i="14"/>
  <c r="AE20" i="14"/>
  <c r="AG20" i="14"/>
  <c r="AI20" i="14"/>
  <c r="AC21" i="14"/>
  <c r="AE21" i="14"/>
  <c r="AG21" i="14"/>
  <c r="AI21" i="14"/>
  <c r="AC22" i="14"/>
  <c r="AE22" i="14"/>
  <c r="AG22" i="14"/>
  <c r="AI22" i="14"/>
  <c r="AC23" i="14"/>
  <c r="AE23" i="14"/>
  <c r="AG23" i="14"/>
  <c r="AI23" i="14"/>
  <c r="AC24" i="14"/>
  <c r="AE24" i="14"/>
  <c r="AG24" i="14"/>
  <c r="AI24" i="14"/>
  <c r="AC25" i="14"/>
  <c r="AE25" i="14"/>
  <c r="AG25" i="14"/>
  <c r="AI25" i="14"/>
  <c r="AC26" i="14"/>
  <c r="AE26" i="14"/>
  <c r="AG26" i="14"/>
  <c r="AI26" i="14"/>
  <c r="AC27" i="14"/>
  <c r="AG27" i="14"/>
  <c r="AI27" i="14"/>
  <c r="AC28" i="14"/>
  <c r="AG28" i="14"/>
  <c r="AI28" i="14"/>
  <c r="AC29" i="14"/>
  <c r="AG29" i="14"/>
  <c r="AI29" i="14"/>
  <c r="AC30" i="14"/>
  <c r="Z30" i="14" s="1"/>
  <c r="AG30" i="14"/>
  <c r="AC31" i="14"/>
  <c r="AG31" i="14"/>
  <c r="F43" i="14"/>
  <c r="Q17" i="14"/>
  <c r="S17" i="14"/>
  <c r="U17" i="14"/>
  <c r="W17" i="14"/>
  <c r="W31" i="14" s="1"/>
  <c r="Q18" i="14"/>
  <c r="S18" i="14"/>
  <c r="U18" i="14"/>
  <c r="W18" i="14"/>
  <c r="Q19" i="14"/>
  <c r="S19" i="14"/>
  <c r="U19" i="14"/>
  <c r="W19" i="14"/>
  <c r="Q20" i="14"/>
  <c r="S20" i="14"/>
  <c r="U20" i="14"/>
  <c r="W20" i="14"/>
  <c r="Q21" i="14"/>
  <c r="S21" i="14"/>
  <c r="U21" i="14"/>
  <c r="W21" i="14"/>
  <c r="Q22" i="14"/>
  <c r="S22" i="14"/>
  <c r="U22" i="14"/>
  <c r="W22" i="14"/>
  <c r="Q23" i="14"/>
  <c r="S23" i="14"/>
  <c r="U23" i="14"/>
  <c r="W23" i="14"/>
  <c r="Q24" i="14"/>
  <c r="S24" i="14"/>
  <c r="W24" i="14"/>
  <c r="Q25" i="14"/>
  <c r="S25" i="14"/>
  <c r="W25" i="14"/>
  <c r="Q26" i="14"/>
  <c r="S26" i="14"/>
  <c r="U26" i="14"/>
  <c r="W26" i="14"/>
  <c r="Q27" i="14"/>
  <c r="S27" i="14"/>
  <c r="U27" i="14"/>
  <c r="W27" i="14"/>
  <c r="Q28" i="14"/>
  <c r="S28" i="14"/>
  <c r="U28" i="14"/>
  <c r="W28" i="14"/>
  <c r="Q29" i="14"/>
  <c r="S29" i="14"/>
  <c r="U29" i="14"/>
  <c r="W29" i="14"/>
  <c r="Q30" i="14"/>
  <c r="S30" i="14"/>
  <c r="U30" i="14"/>
  <c r="Q31" i="14"/>
  <c r="S31" i="14"/>
  <c r="U31" i="14"/>
  <c r="N16" i="14"/>
  <c r="G17" i="14"/>
  <c r="I17" i="14"/>
  <c r="K17" i="14"/>
  <c r="K31" i="14" s="1"/>
  <c r="E19" i="14"/>
  <c r="G19" i="14"/>
  <c r="I19" i="14"/>
  <c r="K19" i="14"/>
  <c r="G20" i="14"/>
  <c r="I20" i="14"/>
  <c r="K20" i="14"/>
  <c r="E21" i="14"/>
  <c r="G21" i="14"/>
  <c r="I21" i="14"/>
  <c r="K21" i="14"/>
  <c r="E22" i="14"/>
  <c r="G22" i="14"/>
  <c r="I22" i="14"/>
  <c r="K22" i="14"/>
  <c r="E23" i="14"/>
  <c r="G23" i="14"/>
  <c r="I23" i="14"/>
  <c r="K23" i="14"/>
  <c r="E24" i="14"/>
  <c r="G24" i="14"/>
  <c r="I24" i="14"/>
  <c r="K24" i="14"/>
  <c r="E25" i="14"/>
  <c r="G25" i="14"/>
  <c r="I25" i="14"/>
  <c r="K25" i="14"/>
  <c r="E26" i="14"/>
  <c r="G26" i="14"/>
  <c r="I26" i="14"/>
  <c r="K26" i="14"/>
  <c r="E27" i="14"/>
  <c r="G27" i="14"/>
  <c r="I27" i="14"/>
  <c r="K27" i="14"/>
  <c r="E28" i="14"/>
  <c r="G28" i="14"/>
  <c r="I28" i="14"/>
  <c r="K28" i="14"/>
  <c r="E29" i="14"/>
  <c r="G29" i="14"/>
  <c r="I29" i="14"/>
  <c r="K29" i="14"/>
  <c r="E30" i="14"/>
  <c r="G30" i="14"/>
  <c r="E31" i="14"/>
  <c r="G31" i="14"/>
  <c r="I31" i="14"/>
  <c r="PN43" i="14"/>
  <c r="PJ43" i="14"/>
  <c r="PF43" i="14"/>
  <c r="PN42" i="14"/>
  <c r="PJ42" i="14"/>
  <c r="PF42" i="14"/>
  <c r="PB43" i="14"/>
  <c r="OX43" i="14"/>
  <c r="OT43" i="14"/>
  <c r="PB42" i="14"/>
  <c r="OX42" i="14"/>
  <c r="OT42" i="14"/>
  <c r="OP43" i="14"/>
  <c r="OL43" i="14"/>
  <c r="OH43" i="14"/>
  <c r="OP42" i="14"/>
  <c r="OL42" i="14"/>
  <c r="OH42" i="14"/>
  <c r="OD43" i="14"/>
  <c r="NZ43" i="14"/>
  <c r="NV43" i="14"/>
  <c r="OD42" i="14"/>
  <c r="NZ42" i="14"/>
  <c r="NV42" i="14"/>
  <c r="NR43" i="14"/>
  <c r="NN43" i="14"/>
  <c r="NJ43" i="14"/>
  <c r="NR42" i="14"/>
  <c r="NN42" i="14"/>
  <c r="NJ42" i="14"/>
  <c r="NF43" i="14"/>
  <c r="NB43" i="14"/>
  <c r="MX43" i="14"/>
  <c r="NF42" i="14"/>
  <c r="NB42" i="14"/>
  <c r="MX42" i="14"/>
  <c r="MT43" i="14"/>
  <c r="MP43" i="14"/>
  <c r="ML43" i="14"/>
  <c r="MT42" i="14"/>
  <c r="MP42" i="14"/>
  <c r="ML42" i="14"/>
  <c r="MH43" i="14"/>
  <c r="MD43" i="14"/>
  <c r="LZ43" i="14"/>
  <c r="MH42" i="14"/>
  <c r="MD42" i="14"/>
  <c r="LZ42" i="14"/>
  <c r="LV43" i="14"/>
  <c r="LR43" i="14"/>
  <c r="LN43" i="14"/>
  <c r="LV42" i="14"/>
  <c r="LR42" i="14"/>
  <c r="LN42" i="14"/>
  <c r="LJ43" i="14"/>
  <c r="LF43" i="14"/>
  <c r="LB43" i="14"/>
  <c r="LJ42" i="14"/>
  <c r="LF42" i="14"/>
  <c r="LB42" i="14"/>
  <c r="KX43" i="14"/>
  <c r="KT43" i="14"/>
  <c r="KP43" i="14"/>
  <c r="KX42" i="14"/>
  <c r="KT42" i="14"/>
  <c r="KP42" i="14"/>
  <c r="KL43" i="14"/>
  <c r="KH43" i="14"/>
  <c r="KD43" i="14"/>
  <c r="KL42" i="14"/>
  <c r="KH42" i="14"/>
  <c r="KD42" i="14"/>
  <c r="JZ43" i="14"/>
  <c r="JV43" i="14"/>
  <c r="JR43" i="14"/>
  <c r="JZ42" i="14"/>
  <c r="JV42" i="14"/>
  <c r="JR42" i="14"/>
  <c r="JN43" i="14"/>
  <c r="JJ43" i="14"/>
  <c r="JF43" i="14"/>
  <c r="JN42" i="14"/>
  <c r="JJ42" i="14"/>
  <c r="JF42" i="14"/>
  <c r="JB43" i="14"/>
  <c r="IX43" i="14"/>
  <c r="IT43" i="14"/>
  <c r="JB42" i="14"/>
  <c r="IX42" i="14"/>
  <c r="IT42" i="14"/>
  <c r="IP43" i="14"/>
  <c r="IL43" i="14"/>
  <c r="IH43" i="14"/>
  <c r="IP42" i="14"/>
  <c r="IL42" i="14"/>
  <c r="IH42" i="14"/>
  <c r="ID43" i="14"/>
  <c r="HZ43" i="14"/>
  <c r="HV43" i="14"/>
  <c r="ID42" i="14"/>
  <c r="HZ42" i="14"/>
  <c r="HV42" i="14"/>
  <c r="HR43" i="14"/>
  <c r="HN43" i="14"/>
  <c r="HJ43" i="14"/>
  <c r="HR42" i="14"/>
  <c r="HN42" i="14"/>
  <c r="HJ42" i="14"/>
  <c r="HF43" i="14"/>
  <c r="HB43" i="14"/>
  <c r="GX43" i="14"/>
  <c r="HF42" i="14"/>
  <c r="HB42" i="14"/>
  <c r="GX42" i="14"/>
  <c r="GT43" i="14"/>
  <c r="GP43" i="14"/>
  <c r="GL43" i="14"/>
  <c r="GT42" i="14"/>
  <c r="GP42" i="14"/>
  <c r="GL42" i="14"/>
  <c r="GH43" i="14"/>
  <c r="GD43" i="14"/>
  <c r="FZ43" i="14"/>
  <c r="GH42" i="14"/>
  <c r="GD42" i="14"/>
  <c r="FZ42" i="14"/>
  <c r="FV43" i="14"/>
  <c r="FR43" i="14"/>
  <c r="FN43" i="14"/>
  <c r="FV42" i="14"/>
  <c r="FR42" i="14"/>
  <c r="FN42" i="14"/>
  <c r="FJ43" i="14"/>
  <c r="FF43" i="14"/>
  <c r="FB43" i="14"/>
  <c r="FJ42" i="14"/>
  <c r="FF42" i="14"/>
  <c r="FB42" i="14"/>
  <c r="EX43" i="14"/>
  <c r="ET43" i="14"/>
  <c r="EP43" i="14"/>
  <c r="EX42" i="14"/>
  <c r="ET42" i="14"/>
  <c r="EP42" i="14"/>
  <c r="EL43" i="14"/>
  <c r="EH43" i="14"/>
  <c r="ED43" i="14"/>
  <c r="EL42" i="14"/>
  <c r="EH42" i="14"/>
  <c r="ED42" i="14"/>
  <c r="DZ43" i="14"/>
  <c r="DV43" i="14"/>
  <c r="DR43" i="14"/>
  <c r="DZ42" i="14"/>
  <c r="DV42" i="14"/>
  <c r="DR42" i="14"/>
  <c r="DN43" i="14"/>
  <c r="DJ43" i="14"/>
  <c r="DF43" i="14"/>
  <c r="DN42" i="14"/>
  <c r="DJ42" i="14"/>
  <c r="DF42" i="14"/>
  <c r="DB43" i="14"/>
  <c r="CX43" i="14"/>
  <c r="CT43" i="14"/>
  <c r="DB42" i="14"/>
  <c r="CX42" i="14"/>
  <c r="CT42" i="14"/>
  <c r="CP43" i="14"/>
  <c r="CL43" i="14"/>
  <c r="CH43" i="14"/>
  <c r="CP42" i="14"/>
  <c r="CL42" i="14"/>
  <c r="CH42" i="14"/>
  <c r="CD43" i="14"/>
  <c r="BZ43" i="14"/>
  <c r="BV43" i="14"/>
  <c r="CD42" i="14"/>
  <c r="BZ42" i="14"/>
  <c r="BV42" i="14"/>
  <c r="BR43" i="14"/>
  <c r="BN43" i="14"/>
  <c r="BJ43" i="14"/>
  <c r="BR42" i="14"/>
  <c r="BN42" i="14"/>
  <c r="BJ42" i="14"/>
  <c r="BF43" i="14"/>
  <c r="BB43" i="14"/>
  <c r="AX43" i="14"/>
  <c r="BF42" i="14"/>
  <c r="BB42" i="14"/>
  <c r="AX42" i="14"/>
  <c r="AT43" i="14"/>
  <c r="AP43" i="14"/>
  <c r="AL43" i="14"/>
  <c r="AT42" i="14"/>
  <c r="AP42" i="14"/>
  <c r="AL42" i="14"/>
  <c r="AH43" i="14"/>
  <c r="AD43" i="14"/>
  <c r="Z43" i="14"/>
  <c r="AH42" i="14"/>
  <c r="AD42" i="14"/>
  <c r="Z42" i="14"/>
  <c r="V43" i="14"/>
  <c r="R43" i="14"/>
  <c r="N43" i="14"/>
  <c r="V42" i="14"/>
  <c r="R42" i="14"/>
  <c r="N42" i="14"/>
  <c r="N30" i="14" l="1"/>
  <c r="BV30" i="14"/>
  <c r="BV24" i="14"/>
  <c r="BJ30" i="14"/>
  <c r="CH30" i="14"/>
  <c r="CH24" i="14"/>
  <c r="Z28" i="14"/>
  <c r="CT30" i="14"/>
  <c r="CT26" i="14"/>
  <c r="AL30" i="14"/>
  <c r="BJ18" i="14"/>
  <c r="B30" i="14"/>
  <c r="DF28" i="14"/>
  <c r="DF26" i="14"/>
  <c r="DF24" i="14"/>
  <c r="DF22" i="14"/>
  <c r="DF18" i="14"/>
  <c r="DF20" i="14"/>
  <c r="CT28" i="14"/>
  <c r="CH28" i="14"/>
  <c r="CH26" i="14"/>
  <c r="CH22" i="14"/>
  <c r="CH20" i="14"/>
  <c r="CH18" i="14"/>
  <c r="BV28" i="14"/>
  <c r="BV26" i="14"/>
  <c r="BV22" i="14"/>
  <c r="BV20" i="14"/>
  <c r="BV18" i="14"/>
  <c r="BJ28" i="14"/>
  <c r="BJ26" i="14"/>
  <c r="AX26" i="14"/>
  <c r="BJ24" i="14"/>
  <c r="BJ22" i="14"/>
  <c r="BJ20" i="14"/>
  <c r="AX28" i="14"/>
  <c r="AX24" i="14"/>
  <c r="AX22" i="14"/>
  <c r="AX20" i="14"/>
  <c r="AX18" i="14"/>
  <c r="AL28" i="14"/>
  <c r="AL26" i="14"/>
  <c r="AL24" i="14"/>
  <c r="AL22" i="14"/>
  <c r="AL20" i="14"/>
  <c r="AL18" i="14"/>
  <c r="Z26" i="14"/>
  <c r="Z24" i="14"/>
  <c r="Z22" i="14"/>
  <c r="Z20" i="14"/>
  <c r="Z18" i="14"/>
  <c r="N28" i="14"/>
  <c r="N26" i="14"/>
  <c r="N24" i="14"/>
  <c r="N22" i="14"/>
  <c r="N20" i="14"/>
  <c r="N18" i="14"/>
  <c r="B28" i="14"/>
  <c r="B26" i="14"/>
  <c r="EP16" i="14"/>
  <c r="CT16" i="14"/>
  <c r="CH16" i="14"/>
  <c r="BV16" i="14"/>
  <c r="BJ16" i="14"/>
  <c r="AX16" i="14"/>
  <c r="AL16" i="14"/>
  <c r="Z16" i="14"/>
  <c r="B24" i="14"/>
  <c r="B22" i="14"/>
  <c r="B20" i="14"/>
  <c r="PF22" i="14"/>
  <c r="PF24" i="14"/>
  <c r="PF20" i="14"/>
  <c r="PF28" i="14"/>
  <c r="J43" i="14"/>
  <c r="J42" i="14"/>
  <c r="F42" i="14"/>
  <c r="B43" i="14"/>
  <c r="B42" i="14"/>
  <c r="PF26" i="14" l="1"/>
  <c r="PF30" i="14"/>
  <c r="PF16" i="14"/>
  <c r="PF18" i="14"/>
  <c r="LN32" i="14"/>
  <c r="LN33" i="14" s="1"/>
  <c r="LS35" i="14" s="1"/>
  <c r="LS36" i="14"/>
  <c r="LB32" i="14"/>
  <c r="LB33" i="14" s="1"/>
  <c r="LG35" i="14" s="1"/>
  <c r="KP32" i="14"/>
  <c r="KP33" i="14" s="1"/>
  <c r="KU35" i="14" s="1"/>
  <c r="U27" i="10"/>
  <c r="U28" i="10"/>
  <c r="OH32" i="14" l="1"/>
  <c r="OH33" i="14" s="1"/>
  <c r="OM35" i="14" s="1"/>
  <c r="OM36" i="14"/>
  <c r="NV32" i="14"/>
  <c r="NV33" i="14" s="1"/>
  <c r="OA35" i="14" s="1"/>
  <c r="JR32" i="14"/>
  <c r="JR33" i="14" s="1"/>
  <c r="JW35" i="14" s="1"/>
  <c r="CT32" i="14"/>
  <c r="CT33" i="14" s="1"/>
  <c r="CY35" i="14" s="1"/>
  <c r="CH32" i="14"/>
  <c r="CH33" i="14" s="1"/>
  <c r="CM35" i="14" s="1"/>
  <c r="BJ32" i="14"/>
  <c r="BJ33" i="14" s="1"/>
  <c r="BO35" i="14" s="1"/>
  <c r="Z32" i="14"/>
  <c r="Z33" i="14" s="1"/>
  <c r="AE35" i="14" s="1"/>
  <c r="PF32" i="14"/>
  <c r="PF33" i="14" s="1"/>
  <c r="PK35" i="14" s="1"/>
  <c r="PK36" i="14"/>
  <c r="OT32" i="14"/>
  <c r="OT33" i="14" s="1"/>
  <c r="OY35" i="14" s="1"/>
  <c r="OY36" i="14"/>
  <c r="OA36" i="14"/>
  <c r="NJ32" i="14"/>
  <c r="NJ33" i="14" s="1"/>
  <c r="NO35" i="14" s="1"/>
  <c r="NO36" i="14"/>
  <c r="MX32" i="14"/>
  <c r="MX33" i="14" s="1"/>
  <c r="NC35" i="14" s="1"/>
  <c r="NC36" i="14"/>
  <c r="ML32" i="14"/>
  <c r="ML33" i="14" s="1"/>
  <c r="MQ35" i="14" s="1"/>
  <c r="MQ36" i="14"/>
  <c r="LZ32" i="14"/>
  <c r="LZ33" i="14" s="1"/>
  <c r="ME35" i="14" s="1"/>
  <c r="ME36" i="14"/>
  <c r="LG36" i="14"/>
  <c r="KD32" i="14"/>
  <c r="KD33" i="14" s="1"/>
  <c r="KI35" i="14" s="1"/>
  <c r="JF32" i="14"/>
  <c r="JF33" i="14" s="1"/>
  <c r="JK35" i="14" s="1"/>
  <c r="IT32" i="14"/>
  <c r="IT33" i="14" s="1"/>
  <c r="IY35" i="14" s="1"/>
  <c r="IH32" i="14"/>
  <c r="IH33" i="14" s="1"/>
  <c r="IM35" i="14" s="1"/>
  <c r="HV32" i="14"/>
  <c r="HV33" i="14" s="1"/>
  <c r="IA35" i="14" s="1"/>
  <c r="HJ32" i="14"/>
  <c r="HJ33" i="14" s="1"/>
  <c r="HO35" i="14" s="1"/>
  <c r="GX32" i="14"/>
  <c r="GX33" i="14" s="1"/>
  <c r="HC35" i="14" s="1"/>
  <c r="GL32" i="14"/>
  <c r="GL33" i="14" s="1"/>
  <c r="GQ35" i="14" s="1"/>
  <c r="FZ32" i="14"/>
  <c r="FZ33" i="14" s="1"/>
  <c r="GE35" i="14" s="1"/>
  <c r="FN32" i="14"/>
  <c r="FN33" i="14" s="1"/>
  <c r="FS35" i="14" s="1"/>
  <c r="FB32" i="14"/>
  <c r="FB33" i="14" s="1"/>
  <c r="FG35" i="14" s="1"/>
  <c r="EP32" i="14"/>
  <c r="EP33" i="14" s="1"/>
  <c r="EU35" i="14" s="1"/>
  <c r="ED32" i="14"/>
  <c r="ED33" i="14" s="1"/>
  <c r="EI35" i="14" s="1"/>
  <c r="DR32" i="14"/>
  <c r="DR33" i="14" s="1"/>
  <c r="DW35" i="14" s="1"/>
  <c r="DF32" i="14"/>
  <c r="DF33" i="14" s="1"/>
  <c r="DK35" i="14" s="1"/>
  <c r="BV32" i="14"/>
  <c r="BV33" i="14" s="1"/>
  <c r="CA35" i="14" s="1"/>
  <c r="AX32" i="14"/>
  <c r="AX33" i="14" s="1"/>
  <c r="BC35" i="14" s="1"/>
  <c r="AL32" i="14"/>
  <c r="AL33" i="14" s="1"/>
  <c r="AQ35" i="14" s="1"/>
  <c r="N32" i="14"/>
  <c r="N33" i="14" s="1"/>
  <c r="S35" i="14" s="1"/>
  <c r="B32" i="14"/>
  <c r="B33" i="14" s="1"/>
  <c r="G35" i="14" s="1"/>
  <c r="AQ22" i="10"/>
  <c r="AQ23" i="10"/>
  <c r="DG24" i="10" l="1"/>
  <c r="DG25" i="10"/>
  <c r="DM27" i="10"/>
  <c r="DM28" i="10"/>
  <c r="BA22" i="10"/>
  <c r="BA23" i="10"/>
  <c r="I61" i="10"/>
  <c r="I62" i="10"/>
  <c r="DY20" i="10"/>
  <c r="DY21" i="10"/>
  <c r="BG14" i="10"/>
  <c r="BG32" i="10" s="1"/>
  <c r="BG15" i="10"/>
  <c r="BG33" i="10" s="1"/>
  <c r="AI14" i="10"/>
  <c r="AI32" i="10" s="1"/>
  <c r="AI15" i="10"/>
  <c r="AI33" i="10" s="1"/>
  <c r="S20" i="10"/>
  <c r="S21" i="10"/>
  <c r="F5" i="13"/>
  <c r="E5" i="13"/>
  <c r="E10" i="13"/>
  <c r="G10" i="13" s="1"/>
  <c r="I10" i="13" s="1"/>
  <c r="E8" i="13"/>
  <c r="G8" i="13" s="1"/>
  <c r="I8" i="13" s="1"/>
  <c r="E7" i="13"/>
  <c r="G7" i="13" s="1"/>
  <c r="I7" i="13" s="1"/>
  <c r="G6" i="13"/>
  <c r="I6" i="13" s="1"/>
  <c r="G9" i="13"/>
  <c r="I9" i="13" s="1"/>
  <c r="G11" i="13"/>
  <c r="I11" i="13" s="1"/>
  <c r="E4" i="13"/>
  <c r="G4" i="13" s="1"/>
  <c r="I4" i="13" s="1"/>
  <c r="G3" i="13"/>
  <c r="I3" i="13" s="1"/>
  <c r="DC24" i="10"/>
  <c r="DC25" i="10"/>
  <c r="G5" i="13" l="1"/>
  <c r="DO14" i="10"/>
  <c r="DO32" i="10" s="1"/>
  <c r="DO15" i="10"/>
  <c r="DO33" i="10" s="1"/>
  <c r="CO68" i="10"/>
  <c r="CO69" i="10"/>
  <c r="BY29" i="10"/>
  <c r="BY30" i="10"/>
  <c r="AE29" i="10"/>
  <c r="AE30" i="10"/>
  <c r="CQ14" i="10" l="1"/>
  <c r="CQ32" i="10" s="1"/>
  <c r="CQ15" i="10"/>
  <c r="CQ33" i="10" s="1"/>
  <c r="DW27" i="10"/>
  <c r="DW28" i="10"/>
  <c r="BQ27" i="10"/>
  <c r="BQ28" i="10"/>
  <c r="DU29" i="10"/>
  <c r="DU30" i="10"/>
  <c r="CC20" i="10"/>
  <c r="CC21" i="10"/>
  <c r="CE20" i="10"/>
  <c r="CE21" i="10"/>
  <c r="BY20" i="10"/>
  <c r="BY21" i="10"/>
  <c r="W14" i="10"/>
  <c r="W32" i="10" s="1"/>
  <c r="W15" i="10"/>
  <c r="W33" i="10" s="1"/>
  <c r="AI20" i="10"/>
  <c r="AI21" i="10"/>
  <c r="AE66" i="10"/>
  <c r="AE67" i="10"/>
  <c r="Q63" i="10"/>
  <c r="Q64" i="10"/>
  <c r="BK56" i="10"/>
  <c r="BK57" i="10"/>
  <c r="AU66" i="10"/>
  <c r="AU67" i="10"/>
  <c r="AI63" i="10"/>
  <c r="AI64" i="10"/>
  <c r="G60" i="10"/>
  <c r="AA27" i="10"/>
  <c r="AA28" i="10"/>
  <c r="AQ14" i="10" l="1"/>
  <c r="AQ15" i="10"/>
  <c r="DC68" i="10"/>
  <c r="DC69" i="10"/>
  <c r="AU22" i="10"/>
  <c r="AU23" i="10"/>
  <c r="AU14" i="10"/>
  <c r="AU32" i="10" s="1"/>
  <c r="AU15" i="10"/>
  <c r="AU33" i="10" s="1"/>
  <c r="K22" i="10"/>
  <c r="AU24" i="10"/>
  <c r="AU25" i="10"/>
  <c r="AO17" i="10"/>
  <c r="AO18" i="10"/>
  <c r="DC14" i="10"/>
  <c r="DC32" i="10" s="1"/>
  <c r="DC15" i="10"/>
  <c r="DC33" i="10" s="1"/>
  <c r="DC17" i="10"/>
  <c r="DC18" i="10"/>
  <c r="AU27" i="10"/>
  <c r="AU28" i="10"/>
  <c r="AQ29" i="10"/>
  <c r="AQ30" i="10"/>
  <c r="W24" i="10"/>
  <c r="W25" i="10"/>
  <c r="BE68" i="10"/>
  <c r="BE69" i="10"/>
  <c r="CC62" i="10"/>
  <c r="CC61" i="10"/>
  <c r="EA27" i="10" l="1"/>
  <c r="EA28" i="10"/>
  <c r="DA63" i="10"/>
  <c r="DA64" i="10"/>
  <c r="O24" i="10" l="1"/>
  <c r="O25" i="10"/>
  <c r="BS29" i="10"/>
  <c r="BS30" i="10"/>
  <c r="BS14" i="10"/>
  <c r="BS32" i="10" s="1"/>
  <c r="BS15" i="10"/>
  <c r="BS33" i="10" s="1"/>
  <c r="AU53" i="10"/>
  <c r="AU71" i="10" s="1"/>
  <c r="AU54" i="10"/>
  <c r="AU72" i="10" s="1"/>
  <c r="J39" i="10"/>
  <c r="J78" i="10" s="1"/>
  <c r="V78" i="10" s="1"/>
  <c r="AH78" i="10" s="1"/>
  <c r="AT78" i="10" s="1"/>
  <c r="BF78" i="10" s="1"/>
  <c r="BR78" i="10" s="1"/>
  <c r="CD78" i="10" s="1"/>
  <c r="CP78" i="10" s="1"/>
  <c r="DB78" i="10" s="1"/>
  <c r="DN78" i="10" s="1"/>
  <c r="DZ78" i="10" s="1"/>
  <c r="EL78" i="10" s="1"/>
  <c r="GH78" i="10" s="1"/>
  <c r="J38" i="10"/>
  <c r="J77" i="10" s="1"/>
  <c r="V77" i="10" s="1"/>
  <c r="AH77" i="10" s="1"/>
  <c r="AT77" i="10" s="1"/>
  <c r="BF77" i="10" s="1"/>
  <c r="BR77" i="10" s="1"/>
  <c r="CD77" i="10" s="1"/>
  <c r="CP77" i="10" s="1"/>
  <c r="DB77" i="10" s="1"/>
  <c r="DN77" i="10" s="1"/>
  <c r="DZ77" i="10" s="1"/>
  <c r="EL77" i="10" s="1"/>
  <c r="GH77" i="10" s="1"/>
  <c r="BG68" i="10"/>
  <c r="BG69" i="10"/>
  <c r="BV78" i="10"/>
  <c r="CH78" i="10" s="1"/>
  <c r="CT78" i="10" s="1"/>
  <c r="DF78" i="10" s="1"/>
  <c r="DR78" i="10" s="1"/>
  <c r="ED78" i="10" s="1"/>
  <c r="FZ78" i="10" s="1"/>
  <c r="V38" i="10" l="1"/>
  <c r="AH38" i="10" s="1"/>
  <c r="AT38" i="10" s="1"/>
  <c r="BF38" i="10" s="1"/>
  <c r="BR38" i="10" s="1"/>
  <c r="CD38" i="10" s="1"/>
  <c r="CP38" i="10" s="1"/>
  <c r="DB38" i="10" s="1"/>
  <c r="DN38" i="10" s="1"/>
  <c r="DZ38" i="10" s="1"/>
  <c r="EL38" i="10" s="1"/>
  <c r="GH38" i="10" s="1"/>
  <c r="V39" i="10"/>
  <c r="AH39" i="10" s="1"/>
  <c r="AT39" i="10" s="1"/>
  <c r="BF39" i="10" s="1"/>
  <c r="BR39" i="10" s="1"/>
  <c r="CD39" i="10" s="1"/>
  <c r="CP39" i="10" s="1"/>
  <c r="DB39" i="10" s="1"/>
  <c r="DN39" i="10" s="1"/>
  <c r="DZ39" i="10" s="1"/>
  <c r="EL39" i="10" s="1"/>
  <c r="GH39" i="10" s="1"/>
  <c r="K68" i="10"/>
  <c r="K69" i="10"/>
  <c r="BG66" i="10"/>
  <c r="BG67" i="10"/>
  <c r="BA56" i="10" l="1"/>
  <c r="BA57" i="10"/>
  <c r="DI66" i="10"/>
  <c r="DK66" i="10"/>
  <c r="DM66" i="10"/>
  <c r="DI67" i="10"/>
  <c r="DK67" i="10"/>
  <c r="DM67" i="10"/>
  <c r="W27" i="10"/>
  <c r="W28" i="10"/>
  <c r="CM59" i="10"/>
  <c r="CM60" i="10"/>
  <c r="C63" i="10"/>
  <c r="C64" i="10"/>
  <c r="CC66" i="10"/>
  <c r="CE66" i="10"/>
  <c r="CC67" i="10"/>
  <c r="CE67" i="10"/>
  <c r="DI59" i="10" l="1"/>
  <c r="DK59" i="10"/>
  <c r="DM59" i="10"/>
  <c r="DO59" i="10"/>
  <c r="DI60" i="10"/>
  <c r="DK60" i="10"/>
  <c r="DM60" i="10"/>
  <c r="DO60" i="10"/>
  <c r="DG60" i="10"/>
  <c r="DG59" i="10"/>
  <c r="E27" i="10"/>
  <c r="E28" i="10"/>
  <c r="DO24" i="10"/>
  <c r="DO25" i="10"/>
  <c r="AU59" i="10"/>
  <c r="AU60" i="10"/>
  <c r="DI63" i="10" l="1"/>
  <c r="DK63" i="10"/>
  <c r="DM63" i="10"/>
  <c r="DO63" i="10"/>
  <c r="DI64" i="10"/>
  <c r="DK64" i="10"/>
  <c r="DM64" i="10"/>
  <c r="DO64" i="10"/>
  <c r="DG67" i="10"/>
  <c r="DG66" i="10"/>
  <c r="DI68" i="10"/>
  <c r="DK68" i="10"/>
  <c r="DM68" i="10"/>
  <c r="DI69" i="10"/>
  <c r="DK69" i="10"/>
  <c r="DM69" i="10"/>
  <c r="DG69" i="10"/>
  <c r="DG68" i="10"/>
  <c r="DM61" i="10"/>
  <c r="DO61" i="10"/>
  <c r="DM62" i="10"/>
  <c r="DO62" i="10"/>
  <c r="DG62" i="10"/>
  <c r="DG61" i="10"/>
  <c r="AC27" i="10"/>
  <c r="AC28" i="10"/>
  <c r="AM24" i="10"/>
  <c r="AM25" i="10"/>
  <c r="BG22" i="10"/>
  <c r="BG23" i="10"/>
  <c r="G59" i="10"/>
  <c r="AU69" i="10"/>
  <c r="AU68" i="10"/>
  <c r="AI68" i="10"/>
  <c r="AI69" i="10"/>
  <c r="W68" i="10"/>
  <c r="W69" i="10"/>
  <c r="CE24" i="10"/>
  <c r="CE25" i="10"/>
  <c r="CY29" i="10"/>
  <c r="CY30" i="10"/>
  <c r="W17" i="10"/>
  <c r="W18" i="10"/>
  <c r="CC27" i="10"/>
  <c r="CC28" i="10"/>
  <c r="BO27" i="10"/>
  <c r="BO28" i="10"/>
  <c r="BA27" i="10"/>
  <c r="BA28" i="10"/>
  <c r="AM27" i="10"/>
  <c r="AM28" i="10"/>
  <c r="O27" i="10"/>
  <c r="O28" i="10"/>
  <c r="CM29" i="10"/>
  <c r="CM30" i="10"/>
  <c r="AQ17" i="10"/>
  <c r="AQ18" i="10"/>
  <c r="AS18" i="10"/>
  <c r="AM18" i="10"/>
  <c r="BG24" i="10" l="1"/>
  <c r="BG25" i="10"/>
  <c r="AM29" i="10"/>
  <c r="AM30" i="10"/>
  <c r="X16" i="1" l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7" i="1"/>
  <c r="AX58" i="1"/>
  <c r="AX59" i="1"/>
  <c r="AX60" i="1"/>
  <c r="AX16" i="1"/>
  <c r="AH21" i="1"/>
  <c r="I9" i="10" l="1"/>
  <c r="B38" i="10"/>
  <c r="B39" i="10"/>
  <c r="N86" i="1"/>
  <c r="N85" i="1"/>
  <c r="H86" i="1"/>
  <c r="H85" i="1"/>
  <c r="A86" i="1"/>
  <c r="A85" i="1"/>
  <c r="AC32" i="10"/>
  <c r="AE32" i="10"/>
  <c r="AG32" i="10"/>
  <c r="AC33" i="10"/>
  <c r="AE33" i="10"/>
  <c r="AG33" i="10"/>
  <c r="AE27" i="10"/>
  <c r="AG27" i="10"/>
  <c r="AI27" i="10"/>
  <c r="AE28" i="10"/>
  <c r="AG28" i="10"/>
  <c r="AI28" i="10"/>
  <c r="AC29" i="10"/>
  <c r="AG29" i="10"/>
  <c r="AC30" i="10"/>
  <c r="AG30" i="10"/>
  <c r="AE20" i="10"/>
  <c r="AG20" i="10"/>
  <c r="AE21" i="10"/>
  <c r="AG21" i="10"/>
  <c r="AC22" i="10"/>
  <c r="AE22" i="10"/>
  <c r="AG22" i="10"/>
  <c r="AI22" i="10"/>
  <c r="AC23" i="10"/>
  <c r="AE23" i="10"/>
  <c r="AG23" i="10"/>
  <c r="AI23" i="10"/>
  <c r="AC24" i="10"/>
  <c r="AE24" i="10"/>
  <c r="AI24" i="10"/>
  <c r="AC25" i="10"/>
  <c r="AE25" i="10"/>
  <c r="AI25" i="10"/>
  <c r="AG17" i="10"/>
  <c r="AI17" i="10"/>
  <c r="AG18" i="10"/>
  <c r="AI18" i="10"/>
  <c r="AC14" i="10"/>
  <c r="AE14" i="10"/>
  <c r="AG14" i="10"/>
  <c r="AC15" i="10"/>
  <c r="AE15" i="10"/>
  <c r="AG15" i="10"/>
  <c r="Q32" i="10"/>
  <c r="S32" i="10"/>
  <c r="U32" i="10"/>
  <c r="Q33" i="10"/>
  <c r="S33" i="10"/>
  <c r="U33" i="10"/>
  <c r="Q27" i="10"/>
  <c r="S27" i="10"/>
  <c r="Q28" i="10"/>
  <c r="S28" i="10"/>
  <c r="Q29" i="10"/>
  <c r="S29" i="10"/>
  <c r="U29" i="10"/>
  <c r="Q30" i="10"/>
  <c r="S30" i="10"/>
  <c r="U30" i="10"/>
  <c r="U20" i="10"/>
  <c r="W20" i="10"/>
  <c r="Q21" i="10"/>
  <c r="U21" i="10"/>
  <c r="W21" i="10"/>
  <c r="S22" i="10"/>
  <c r="U22" i="10"/>
  <c r="S23" i="10"/>
  <c r="U23" i="10"/>
  <c r="Q24" i="10"/>
  <c r="U24" i="10"/>
  <c r="Q25" i="10"/>
  <c r="U25" i="10"/>
  <c r="Q17" i="10"/>
  <c r="S17" i="10"/>
  <c r="Q18" i="10"/>
  <c r="S18" i="10"/>
  <c r="Q14" i="10"/>
  <c r="S14" i="10"/>
  <c r="U14" i="10"/>
  <c r="Q15" i="10"/>
  <c r="S15" i="10"/>
  <c r="U15" i="10"/>
  <c r="DK56" i="10"/>
  <c r="DM56" i="10"/>
  <c r="DO56" i="10"/>
  <c r="DK57" i="10"/>
  <c r="DM57" i="10"/>
  <c r="DO57" i="10"/>
  <c r="DG57" i="10"/>
  <c r="DG56" i="10"/>
  <c r="OS8" i="14" l="1"/>
  <c r="MW8" i="14"/>
  <c r="LA8" i="14"/>
  <c r="JE8" i="14"/>
  <c r="HI8" i="14"/>
  <c r="FM8" i="14"/>
  <c r="DQ8" i="14"/>
  <c r="BU8" i="14"/>
  <c r="Y8" i="14"/>
  <c r="BI8" i="14"/>
  <c r="M8" i="14"/>
  <c r="PE8" i="14"/>
  <c r="NI8" i="14"/>
  <c r="LM8" i="14"/>
  <c r="JQ8" i="14"/>
  <c r="HU8" i="14"/>
  <c r="FY8" i="14"/>
  <c r="EC8" i="14"/>
  <c r="CG8" i="14"/>
  <c r="AK8" i="14"/>
  <c r="AW8" i="14"/>
  <c r="OG8" i="14"/>
  <c r="MK8" i="14"/>
  <c r="IS8" i="14"/>
  <c r="FA8" i="14"/>
  <c r="DE8" i="14"/>
  <c r="NU8" i="14"/>
  <c r="LY8" i="14"/>
  <c r="KC8" i="14"/>
  <c r="IG8" i="14"/>
  <c r="GK8" i="14"/>
  <c r="EO8" i="14"/>
  <c r="CS8" i="14"/>
  <c r="KO8" i="14"/>
  <c r="GW8" i="14"/>
  <c r="A8" i="14"/>
  <c r="U9" i="10"/>
  <c r="AG9" i="10" s="1"/>
  <c r="AS9" i="10" s="1"/>
  <c r="BE9" i="10" s="1"/>
  <c r="BQ9" i="10" s="1"/>
  <c r="CC9" i="10" s="1"/>
  <c r="CO9" i="10" s="1"/>
  <c r="DA9" i="10" s="1"/>
  <c r="DM9" i="10" s="1"/>
  <c r="DY9" i="10" s="1"/>
  <c r="EK9" i="10" s="1"/>
  <c r="GG9" i="10" s="1"/>
  <c r="I48" i="10"/>
  <c r="U48" i="10" s="1"/>
  <c r="AG48" i="10" s="1"/>
  <c r="AS48" i="10" s="1"/>
  <c r="BE48" i="10" s="1"/>
  <c r="BQ48" i="10" s="1"/>
  <c r="CC48" i="10" s="1"/>
  <c r="CO48" i="10" s="1"/>
  <c r="DA48" i="10" s="1"/>
  <c r="DM48" i="10" s="1"/>
  <c r="DY48" i="10" s="1"/>
  <c r="EK48" i="10" s="1"/>
  <c r="GG48" i="10" s="1"/>
  <c r="B77" i="10"/>
  <c r="N77" i="10" s="1"/>
  <c r="Z77" i="10" s="1"/>
  <c r="AL77" i="10" s="1"/>
  <c r="AX77" i="10" s="1"/>
  <c r="BJ77" i="10" s="1"/>
  <c r="BV77" i="10" s="1"/>
  <c r="CH77" i="10" s="1"/>
  <c r="CT77" i="10" s="1"/>
  <c r="DF77" i="10" s="1"/>
  <c r="DR77" i="10" s="1"/>
  <c r="ED77" i="10" s="1"/>
  <c r="FZ77" i="10" s="1"/>
  <c r="N38" i="10"/>
  <c r="Z38" i="10" s="1"/>
  <c r="AL38" i="10" s="1"/>
  <c r="AX38" i="10" s="1"/>
  <c r="BJ38" i="10" s="1"/>
  <c r="BV38" i="10" s="1"/>
  <c r="CH38" i="10" s="1"/>
  <c r="CT38" i="10" s="1"/>
  <c r="N39" i="10"/>
  <c r="Z39" i="10" s="1"/>
  <c r="AL39" i="10" s="1"/>
  <c r="AX39" i="10" s="1"/>
  <c r="BJ39" i="10" s="1"/>
  <c r="BV39" i="10" s="1"/>
  <c r="CH39" i="10" s="1"/>
  <c r="CT39" i="10" s="1"/>
  <c r="B78" i="10"/>
  <c r="N78" i="10" s="1"/>
  <c r="Z78" i="10" s="1"/>
  <c r="AL78" i="10" s="1"/>
  <c r="GC17" i="10"/>
  <c r="GE17" i="10"/>
  <c r="GG17" i="10"/>
  <c r="GI17" i="10"/>
  <c r="GC18" i="10"/>
  <c r="GE18" i="10"/>
  <c r="GG18" i="10"/>
  <c r="GI18" i="10"/>
  <c r="GC14" i="10"/>
  <c r="GE14" i="10"/>
  <c r="GG14" i="10"/>
  <c r="GI14" i="10"/>
  <c r="GC15" i="10"/>
  <c r="GE15" i="10"/>
  <c r="GG15" i="10"/>
  <c r="GI15" i="10"/>
  <c r="GA18" i="10"/>
  <c r="GA17" i="10"/>
  <c r="GA15" i="10"/>
  <c r="GA14" i="10"/>
  <c r="DI53" i="10"/>
  <c r="DK53" i="10"/>
  <c r="DM53" i="10"/>
  <c r="DI54" i="10"/>
  <c r="DK54" i="10"/>
  <c r="DM54" i="10"/>
  <c r="DG54" i="10"/>
  <c r="CW53" i="10"/>
  <c r="CY53" i="10"/>
  <c r="DA53" i="10"/>
  <c r="CW54" i="10"/>
  <c r="CY54" i="10"/>
  <c r="DA54" i="10"/>
  <c r="CY59" i="10"/>
  <c r="CU59" i="10" s="1"/>
  <c r="CU56" i="10" s="1"/>
  <c r="DA59" i="10"/>
  <c r="DC59" i="10"/>
  <c r="CY60" i="10"/>
  <c r="CU60" i="10" s="1"/>
  <c r="CU57" i="10" s="1"/>
  <c r="DA60" i="10"/>
  <c r="DC60" i="10"/>
  <c r="CY61" i="10"/>
  <c r="CU61" i="10" s="1"/>
  <c r="DA61" i="10"/>
  <c r="DA56" i="10" s="1"/>
  <c r="DC61" i="10"/>
  <c r="CY62" i="10"/>
  <c r="CU62" i="10" s="1"/>
  <c r="DA62" i="10"/>
  <c r="DA57" i="10" s="1"/>
  <c r="DC62" i="10"/>
  <c r="CY63" i="10"/>
  <c r="CY64" i="10"/>
  <c r="CW68" i="10"/>
  <c r="CY68" i="10"/>
  <c r="DA68" i="10"/>
  <c r="CW69" i="10"/>
  <c r="CY69" i="10"/>
  <c r="DA69" i="10"/>
  <c r="CW71" i="10"/>
  <c r="CY71" i="10"/>
  <c r="DA71" i="10"/>
  <c r="CW72" i="10"/>
  <c r="CY72" i="10"/>
  <c r="DA72" i="10"/>
  <c r="CU72" i="10"/>
  <c r="CU68" i="10"/>
  <c r="CU69" i="10"/>
  <c r="CU71" i="10"/>
  <c r="CU54" i="10"/>
  <c r="CK71" i="10"/>
  <c r="CM71" i="10"/>
  <c r="CO71" i="10"/>
  <c r="CK72" i="10"/>
  <c r="CM72" i="10"/>
  <c r="CO72" i="10"/>
  <c r="CK66" i="10"/>
  <c r="CM66" i="10"/>
  <c r="CO66" i="10"/>
  <c r="CQ66" i="10"/>
  <c r="CK67" i="10"/>
  <c r="CM67" i="10"/>
  <c r="CO67" i="10"/>
  <c r="CQ67" i="10"/>
  <c r="CK68" i="10"/>
  <c r="CM68" i="10"/>
  <c r="CK69" i="10"/>
  <c r="CM69" i="10"/>
  <c r="CQ59" i="10"/>
  <c r="CQ60" i="10"/>
  <c r="CK61" i="10"/>
  <c r="CM61" i="10"/>
  <c r="CO61" i="10"/>
  <c r="CQ61" i="10"/>
  <c r="CK62" i="10"/>
  <c r="CM62" i="10"/>
  <c r="CO62" i="10"/>
  <c r="CQ62" i="10"/>
  <c r="CK63" i="10"/>
  <c r="CM63" i="10"/>
  <c r="CO63" i="10"/>
  <c r="CQ63" i="10"/>
  <c r="CK64" i="10"/>
  <c r="CM64" i="10"/>
  <c r="CO64" i="10"/>
  <c r="CQ64" i="10"/>
  <c r="CK56" i="10"/>
  <c r="CM56" i="10"/>
  <c r="CO56" i="10"/>
  <c r="CK57" i="10"/>
  <c r="CM57" i="10"/>
  <c r="CO57" i="10"/>
  <c r="CK53" i="10"/>
  <c r="CM53" i="10"/>
  <c r="CO53" i="10"/>
  <c r="CQ53" i="10"/>
  <c r="CQ71" i="10" s="1"/>
  <c r="CK54" i="10"/>
  <c r="CM54" i="10"/>
  <c r="CO54" i="10"/>
  <c r="CQ54" i="10"/>
  <c r="CQ72" i="10" s="1"/>
  <c r="CI72" i="10"/>
  <c r="CI67" i="10"/>
  <c r="CI68" i="10"/>
  <c r="CI69" i="10"/>
  <c r="CI60" i="10"/>
  <c r="CI61" i="10"/>
  <c r="CI62" i="10"/>
  <c r="CI63" i="10"/>
  <c r="CI64" i="10"/>
  <c r="CI71" i="10"/>
  <c r="CI66" i="10"/>
  <c r="CI59" i="10"/>
  <c r="CI54" i="10"/>
  <c r="BY71" i="10"/>
  <c r="CA71" i="10"/>
  <c r="CC71" i="10"/>
  <c r="BY72" i="10"/>
  <c r="CA72" i="10"/>
  <c r="CC72" i="10"/>
  <c r="BY66" i="10"/>
  <c r="CA66" i="10"/>
  <c r="BY67" i="10"/>
  <c r="CA67" i="10"/>
  <c r="BY68" i="10"/>
  <c r="CA68" i="10"/>
  <c r="CC68" i="10"/>
  <c r="BY69" i="10"/>
  <c r="CA69" i="10"/>
  <c r="CC69" i="10"/>
  <c r="BY59" i="10"/>
  <c r="CA59" i="10"/>
  <c r="CC59" i="10"/>
  <c r="CE59" i="10"/>
  <c r="BY60" i="10"/>
  <c r="CA60" i="10"/>
  <c r="CC60" i="10"/>
  <c r="CE60" i="10"/>
  <c r="BY61" i="10"/>
  <c r="CA61" i="10"/>
  <c r="CE61" i="10"/>
  <c r="BY62" i="10"/>
  <c r="CA62" i="10"/>
  <c r="CE62" i="10"/>
  <c r="BY63" i="10"/>
  <c r="CA63" i="10"/>
  <c r="CC63" i="10"/>
  <c r="BY64" i="10"/>
  <c r="CA64" i="10"/>
  <c r="CC64" i="10"/>
  <c r="BY56" i="10"/>
  <c r="CA56" i="10"/>
  <c r="CC56" i="10"/>
  <c r="CE56" i="10"/>
  <c r="BY57" i="10"/>
  <c r="CA57" i="10"/>
  <c r="CC57" i="10"/>
  <c r="CE57" i="10"/>
  <c r="BY53" i="10"/>
  <c r="CA53" i="10"/>
  <c r="CC53" i="10"/>
  <c r="CE53" i="10"/>
  <c r="CE71" i="10" s="1"/>
  <c r="BY54" i="10"/>
  <c r="CA54" i="10"/>
  <c r="CC54" i="10"/>
  <c r="CE54" i="10"/>
  <c r="CE72" i="10" s="1"/>
  <c r="BW72" i="10"/>
  <c r="BW67" i="10"/>
  <c r="BW68" i="10"/>
  <c r="BW69" i="10"/>
  <c r="BW60" i="10"/>
  <c r="BW61" i="10"/>
  <c r="BW62" i="10"/>
  <c r="BW63" i="10"/>
  <c r="BW64" i="10"/>
  <c r="BW71" i="10"/>
  <c r="BW66" i="10"/>
  <c r="BW59" i="10"/>
  <c r="BW54" i="10"/>
  <c r="BM71" i="10"/>
  <c r="BO71" i="10"/>
  <c r="BQ71" i="10"/>
  <c r="BM72" i="10"/>
  <c r="BO72" i="10"/>
  <c r="BQ72" i="10"/>
  <c r="BM66" i="10"/>
  <c r="BO66" i="10"/>
  <c r="BQ66" i="10"/>
  <c r="BM67" i="10"/>
  <c r="BO67" i="10"/>
  <c r="BQ67" i="10"/>
  <c r="BM68" i="10"/>
  <c r="BQ68" i="10"/>
  <c r="BS68" i="10"/>
  <c r="BM69" i="10"/>
  <c r="BQ69" i="10"/>
  <c r="BS69" i="10"/>
  <c r="BO59" i="10"/>
  <c r="BQ59" i="10"/>
  <c r="BS59" i="10"/>
  <c r="BO60" i="10"/>
  <c r="BQ60" i="10"/>
  <c r="BS60" i="10"/>
  <c r="BO61" i="10"/>
  <c r="BQ61" i="10"/>
  <c r="BS61" i="10"/>
  <c r="BO62" i="10"/>
  <c r="BQ62" i="10"/>
  <c r="BS62" i="10"/>
  <c r="BM63" i="10"/>
  <c r="BO63" i="10"/>
  <c r="BQ63" i="10"/>
  <c r="BS63" i="10"/>
  <c r="BM64" i="10"/>
  <c r="BO64" i="10"/>
  <c r="BQ64" i="10"/>
  <c r="BS64" i="10"/>
  <c r="BM56" i="10"/>
  <c r="BO56" i="10"/>
  <c r="BQ56" i="10"/>
  <c r="BS56" i="10"/>
  <c r="BM57" i="10"/>
  <c r="BO57" i="10"/>
  <c r="BQ57" i="10"/>
  <c r="BS57" i="10"/>
  <c r="BM53" i="10"/>
  <c r="BO53" i="10"/>
  <c r="BQ53" i="10"/>
  <c r="BS53" i="10"/>
  <c r="BS71" i="10" s="1"/>
  <c r="BM54" i="10"/>
  <c r="BO54" i="10"/>
  <c r="BQ54" i="10"/>
  <c r="BS54" i="10"/>
  <c r="BS72" i="10" s="1"/>
  <c r="BK72" i="10"/>
  <c r="BK67" i="10"/>
  <c r="BK68" i="10"/>
  <c r="BK69" i="10"/>
  <c r="BK60" i="10"/>
  <c r="BK61" i="10"/>
  <c r="BK62" i="10"/>
  <c r="BK63" i="10"/>
  <c r="BK64" i="10"/>
  <c r="BK71" i="10"/>
  <c r="BK66" i="10"/>
  <c r="BK59" i="10"/>
  <c r="BA71" i="10"/>
  <c r="BC71" i="10"/>
  <c r="BE71" i="10"/>
  <c r="BA72" i="10"/>
  <c r="BC72" i="10"/>
  <c r="BE72" i="10"/>
  <c r="BC66" i="10"/>
  <c r="BE66" i="10"/>
  <c r="BC67" i="10"/>
  <c r="BE67" i="10"/>
  <c r="BC68" i="10"/>
  <c r="BC69" i="10"/>
  <c r="BA59" i="10"/>
  <c r="BC59" i="10"/>
  <c r="BE59" i="10"/>
  <c r="BG59" i="10"/>
  <c r="BA60" i="10"/>
  <c r="BC60" i="10"/>
  <c r="BE60" i="10"/>
  <c r="BG60" i="10"/>
  <c r="BA61" i="10"/>
  <c r="BC61" i="10"/>
  <c r="BE61" i="10"/>
  <c r="BA62" i="10"/>
  <c r="BC62" i="10"/>
  <c r="BE62" i="10"/>
  <c r="BA63" i="10"/>
  <c r="BC63" i="10"/>
  <c r="BE63" i="10"/>
  <c r="BA64" i="10"/>
  <c r="BC64" i="10"/>
  <c r="BE64" i="10"/>
  <c r="BE56" i="10"/>
  <c r="BG56" i="10"/>
  <c r="BE57" i="10"/>
  <c r="BG57" i="10"/>
  <c r="BA53" i="10"/>
  <c r="BC53" i="10"/>
  <c r="BE53" i="10"/>
  <c r="BG53" i="10"/>
  <c r="BG71" i="10" s="1"/>
  <c r="BA54" i="10"/>
  <c r="BC54" i="10"/>
  <c r="BE54" i="10"/>
  <c r="BG54" i="10"/>
  <c r="BG72" i="10" s="1"/>
  <c r="AY72" i="10"/>
  <c r="AY67" i="10"/>
  <c r="AY68" i="10"/>
  <c r="AY69" i="10"/>
  <c r="AY61" i="10"/>
  <c r="AY62" i="10"/>
  <c r="AY63" i="10"/>
  <c r="AY64" i="10"/>
  <c r="AY71" i="10"/>
  <c r="AY66" i="10"/>
  <c r="AY57" i="10"/>
  <c r="AY56" i="10"/>
  <c r="AY54" i="10"/>
  <c r="AO71" i="10"/>
  <c r="AQ71" i="10"/>
  <c r="AS71" i="10"/>
  <c r="AO72" i="10"/>
  <c r="AQ72" i="10"/>
  <c r="AS72" i="10"/>
  <c r="AO66" i="10"/>
  <c r="AQ66" i="10"/>
  <c r="AS66" i="10"/>
  <c r="AO67" i="10"/>
  <c r="AQ67" i="10"/>
  <c r="AS67" i="10"/>
  <c r="AO68" i="10"/>
  <c r="AQ68" i="10"/>
  <c r="AO69" i="10"/>
  <c r="AQ69" i="10"/>
  <c r="AO59" i="10"/>
  <c r="AS59" i="10"/>
  <c r="AO60" i="10"/>
  <c r="AS60" i="10"/>
  <c r="AO61" i="10"/>
  <c r="AQ61" i="10"/>
  <c r="AS61" i="10"/>
  <c r="AO62" i="10"/>
  <c r="AQ62" i="10"/>
  <c r="AS62" i="10"/>
  <c r="AO63" i="10"/>
  <c r="AQ63" i="10"/>
  <c r="AU63" i="10"/>
  <c r="AO64" i="10"/>
  <c r="AQ64" i="10"/>
  <c r="AU64" i="10"/>
  <c r="AQ56" i="10"/>
  <c r="AU56" i="10"/>
  <c r="AQ57" i="10"/>
  <c r="AU57" i="10"/>
  <c r="AO53" i="10"/>
  <c r="AQ53" i="10"/>
  <c r="AS53" i="10"/>
  <c r="AO54" i="10"/>
  <c r="AQ54" i="10"/>
  <c r="AS54" i="10"/>
  <c r="AM72" i="10"/>
  <c r="AM67" i="10"/>
  <c r="AM68" i="10"/>
  <c r="AM69" i="10"/>
  <c r="AM60" i="10"/>
  <c r="AM61" i="10"/>
  <c r="AM62" i="10"/>
  <c r="AM63" i="10"/>
  <c r="AM64" i="10"/>
  <c r="AM71" i="10"/>
  <c r="AM66" i="10"/>
  <c r="AM59" i="10"/>
  <c r="AM57" i="10"/>
  <c r="AM56" i="10"/>
  <c r="AM54" i="10"/>
  <c r="AC56" i="10"/>
  <c r="AG56" i="10"/>
  <c r="AC57" i="10"/>
  <c r="AG57" i="10"/>
  <c r="AC53" i="10"/>
  <c r="AE53" i="10"/>
  <c r="AG53" i="10"/>
  <c r="AI53" i="10"/>
  <c r="AI71" i="10" s="1"/>
  <c r="AC54" i="10"/>
  <c r="AE54" i="10"/>
  <c r="AG54" i="10"/>
  <c r="AI54" i="10"/>
  <c r="AI72" i="10" s="1"/>
  <c r="AC59" i="10"/>
  <c r="AE59" i="10"/>
  <c r="AG59" i="10"/>
  <c r="AC60" i="10"/>
  <c r="AE60" i="10"/>
  <c r="AG60" i="10"/>
  <c r="AC61" i="10"/>
  <c r="AE61" i="10"/>
  <c r="AG61" i="10"/>
  <c r="AI61" i="10"/>
  <c r="AC62" i="10"/>
  <c r="AE62" i="10"/>
  <c r="AG62" i="10"/>
  <c r="AI62" i="10"/>
  <c r="AC63" i="10"/>
  <c r="AE63" i="10"/>
  <c r="AG63" i="10"/>
  <c r="AC64" i="10"/>
  <c r="AE64" i="10"/>
  <c r="AG64" i="10"/>
  <c r="AC66" i="10"/>
  <c r="AG66" i="10"/>
  <c r="AI66" i="10"/>
  <c r="AC67" i="10"/>
  <c r="AG67" i="10"/>
  <c r="AI67" i="10"/>
  <c r="AC68" i="10"/>
  <c r="AG68" i="10"/>
  <c r="AC69" i="10"/>
  <c r="AG69" i="10"/>
  <c r="AC71" i="10"/>
  <c r="AE71" i="10"/>
  <c r="AG71" i="10"/>
  <c r="AC72" i="10"/>
  <c r="AE72" i="10"/>
  <c r="AG72" i="10"/>
  <c r="AA72" i="10"/>
  <c r="AA69" i="10"/>
  <c r="AA67" i="10"/>
  <c r="AA68" i="10"/>
  <c r="AA60" i="10"/>
  <c r="AA61" i="10"/>
  <c r="AA62" i="10"/>
  <c r="AA63" i="10"/>
  <c r="AA64" i="10"/>
  <c r="AA71" i="10"/>
  <c r="AA66" i="10"/>
  <c r="AA59" i="10"/>
  <c r="AA57" i="10"/>
  <c r="AA56" i="10"/>
  <c r="AA54" i="10"/>
  <c r="Q71" i="10"/>
  <c r="S71" i="10"/>
  <c r="U71" i="10"/>
  <c r="Q72" i="10"/>
  <c r="S72" i="10"/>
  <c r="U72" i="10"/>
  <c r="Q66" i="10"/>
  <c r="S66" i="10"/>
  <c r="U66" i="10"/>
  <c r="Q67" i="10"/>
  <c r="S67" i="10"/>
  <c r="U67" i="10"/>
  <c r="S68" i="10"/>
  <c r="U68" i="10"/>
  <c r="S69" i="10"/>
  <c r="U69" i="10"/>
  <c r="Q59" i="10"/>
  <c r="U59" i="10"/>
  <c r="W59" i="10"/>
  <c r="Q60" i="10"/>
  <c r="U60" i="10"/>
  <c r="W60" i="10"/>
  <c r="Q61" i="10"/>
  <c r="S61" i="10"/>
  <c r="U61" i="10"/>
  <c r="W61" i="10"/>
  <c r="Q62" i="10"/>
  <c r="S62" i="10"/>
  <c r="U62" i="10"/>
  <c r="W62" i="10"/>
  <c r="S63" i="10"/>
  <c r="U63" i="10"/>
  <c r="W63" i="10"/>
  <c r="S64" i="10"/>
  <c r="U64" i="10"/>
  <c r="W64" i="10"/>
  <c r="S56" i="10"/>
  <c r="S57" i="10"/>
  <c r="Q53" i="10"/>
  <c r="S53" i="10"/>
  <c r="U53" i="10"/>
  <c r="W53" i="10"/>
  <c r="W71" i="10" s="1"/>
  <c r="Q54" i="10"/>
  <c r="S54" i="10"/>
  <c r="U54" i="10"/>
  <c r="W54" i="10"/>
  <c r="W72" i="10" s="1"/>
  <c r="O72" i="10"/>
  <c r="O67" i="10"/>
  <c r="O68" i="10"/>
  <c r="O69" i="10"/>
  <c r="O60" i="10"/>
  <c r="O61" i="10"/>
  <c r="O62" i="10"/>
  <c r="O63" i="10"/>
  <c r="O64" i="10"/>
  <c r="O71" i="10"/>
  <c r="O66" i="10"/>
  <c r="O59" i="10"/>
  <c r="O57" i="10"/>
  <c r="O56" i="10"/>
  <c r="O54" i="10"/>
  <c r="E71" i="10"/>
  <c r="G71" i="10"/>
  <c r="I71" i="10"/>
  <c r="E72" i="10"/>
  <c r="G72" i="10"/>
  <c r="I72" i="10"/>
  <c r="E66" i="10"/>
  <c r="G66" i="10"/>
  <c r="I66" i="10"/>
  <c r="E67" i="10"/>
  <c r="G67" i="10"/>
  <c r="I67" i="10"/>
  <c r="E68" i="10"/>
  <c r="G68" i="10"/>
  <c r="I68" i="10"/>
  <c r="E69" i="10"/>
  <c r="G69" i="10"/>
  <c r="I69" i="10"/>
  <c r="E59" i="10"/>
  <c r="I59" i="10"/>
  <c r="K59" i="10"/>
  <c r="E60" i="10"/>
  <c r="I60" i="10"/>
  <c r="K60" i="10"/>
  <c r="E61" i="10"/>
  <c r="G61" i="10"/>
  <c r="K61" i="10"/>
  <c r="E62" i="10"/>
  <c r="G62" i="10"/>
  <c r="K62" i="10"/>
  <c r="E63" i="10"/>
  <c r="G63" i="10"/>
  <c r="I63" i="10"/>
  <c r="E64" i="10"/>
  <c r="G64" i="10"/>
  <c r="I64" i="10"/>
  <c r="G56" i="10"/>
  <c r="I56" i="10"/>
  <c r="G57" i="10"/>
  <c r="I57" i="10"/>
  <c r="E53" i="10"/>
  <c r="G53" i="10"/>
  <c r="I53" i="10"/>
  <c r="E54" i="10"/>
  <c r="G54" i="10"/>
  <c r="I54" i="10"/>
  <c r="C72" i="10"/>
  <c r="C67" i="10"/>
  <c r="C60" i="10"/>
  <c r="C61" i="10"/>
  <c r="C62" i="10"/>
  <c r="C71" i="10"/>
  <c r="C66" i="10"/>
  <c r="C59" i="10"/>
  <c r="C57" i="10"/>
  <c r="C56" i="10"/>
  <c r="C54" i="10"/>
  <c r="BY32" i="10"/>
  <c r="CA32" i="10"/>
  <c r="CC32" i="10"/>
  <c r="BY33" i="10"/>
  <c r="CA33" i="10"/>
  <c r="CC33" i="10"/>
  <c r="BY27" i="10"/>
  <c r="CA27" i="10"/>
  <c r="CE27" i="10"/>
  <c r="BY28" i="10"/>
  <c r="CA28" i="10"/>
  <c r="CE28" i="10"/>
  <c r="CA29" i="10"/>
  <c r="CC29" i="10"/>
  <c r="CA30" i="10"/>
  <c r="CC30" i="10"/>
  <c r="CA20" i="10"/>
  <c r="CA21" i="10"/>
  <c r="CA22" i="10"/>
  <c r="CE22" i="10"/>
  <c r="CA23" i="10"/>
  <c r="CE23" i="10"/>
  <c r="BY24" i="10"/>
  <c r="CC24" i="10"/>
  <c r="BY25" i="10"/>
  <c r="CC25" i="10"/>
  <c r="BY17" i="10"/>
  <c r="CA17" i="10"/>
  <c r="CC17" i="10"/>
  <c r="CE17" i="10"/>
  <c r="BY18" i="10"/>
  <c r="CA18" i="10"/>
  <c r="CC18" i="10"/>
  <c r="CE18" i="10"/>
  <c r="CE14" i="10"/>
  <c r="CE32" i="10" s="1"/>
  <c r="CE15" i="10"/>
  <c r="CE33" i="10" s="1"/>
  <c r="BY14" i="10"/>
  <c r="CA14" i="10"/>
  <c r="CC14" i="10"/>
  <c r="BY15" i="10"/>
  <c r="CA15" i="10"/>
  <c r="CC15" i="10"/>
  <c r="DF39" i="10"/>
  <c r="DR39" i="10" s="1"/>
  <c r="ED39" i="10" s="1"/>
  <c r="FZ39" i="10" s="1"/>
  <c r="DF38" i="10"/>
  <c r="DR38" i="10" s="1"/>
  <c r="ED38" i="10" s="1"/>
  <c r="FZ38" i="10" s="1"/>
  <c r="EG32" i="10"/>
  <c r="EI32" i="10"/>
  <c r="EK32" i="10"/>
  <c r="EG33" i="10"/>
  <c r="EI33" i="10"/>
  <c r="EK33" i="10"/>
  <c r="EG27" i="10"/>
  <c r="EI27" i="10"/>
  <c r="EK27" i="10"/>
  <c r="EM27" i="10"/>
  <c r="EG28" i="10"/>
  <c r="EI28" i="10"/>
  <c r="EK28" i="10"/>
  <c r="EM28" i="10"/>
  <c r="EG29" i="10"/>
  <c r="EI29" i="10"/>
  <c r="EK29" i="10"/>
  <c r="EM29" i="10"/>
  <c r="EG30" i="10"/>
  <c r="EI30" i="10"/>
  <c r="EK30" i="10"/>
  <c r="EM30" i="10"/>
  <c r="EG20" i="10"/>
  <c r="EI20" i="10"/>
  <c r="EK20" i="10"/>
  <c r="EM20" i="10"/>
  <c r="EG21" i="10"/>
  <c r="EI21" i="10"/>
  <c r="EK21" i="10"/>
  <c r="EM21" i="10"/>
  <c r="EG22" i="10"/>
  <c r="EI22" i="10"/>
  <c r="EK22" i="10"/>
  <c r="EM22" i="10"/>
  <c r="EG23" i="10"/>
  <c r="EI23" i="10"/>
  <c r="EK23" i="10"/>
  <c r="EM23" i="10"/>
  <c r="EG24" i="10"/>
  <c r="EI24" i="10"/>
  <c r="EK24" i="10"/>
  <c r="EM24" i="10"/>
  <c r="EG25" i="10"/>
  <c r="EI25" i="10"/>
  <c r="EK25" i="10"/>
  <c r="EM25" i="10"/>
  <c r="EG17" i="10"/>
  <c r="EI17" i="10"/>
  <c r="EK17" i="10"/>
  <c r="EM17" i="10"/>
  <c r="EG18" i="10"/>
  <c r="EI18" i="10"/>
  <c r="EK18" i="10"/>
  <c r="EM18" i="10"/>
  <c r="EG14" i="10"/>
  <c r="EI14" i="10"/>
  <c r="EK14" i="10"/>
  <c r="EM14" i="10"/>
  <c r="EG15" i="10"/>
  <c r="EI15" i="10"/>
  <c r="EK15" i="10"/>
  <c r="EM15" i="10"/>
  <c r="EE33" i="10"/>
  <c r="EE28" i="10"/>
  <c r="EE29" i="10"/>
  <c r="EE30" i="10"/>
  <c r="EE21" i="10"/>
  <c r="EE22" i="10"/>
  <c r="EE23" i="10"/>
  <c r="EE24" i="10"/>
  <c r="EE25" i="10"/>
  <c r="EE32" i="10"/>
  <c r="EE27" i="10"/>
  <c r="EE20" i="10"/>
  <c r="EE18" i="10"/>
  <c r="EE17" i="10"/>
  <c r="EE15" i="10"/>
  <c r="EE14" i="10"/>
  <c r="DU32" i="10"/>
  <c r="DW32" i="10"/>
  <c r="DY32" i="10"/>
  <c r="DU33" i="10"/>
  <c r="DW33" i="10"/>
  <c r="DY33" i="10"/>
  <c r="DU27" i="10"/>
  <c r="DY27" i="10"/>
  <c r="DU28" i="10"/>
  <c r="DY28" i="10"/>
  <c r="DW29" i="10"/>
  <c r="DY29" i="10"/>
  <c r="EA29" i="10"/>
  <c r="DW30" i="10"/>
  <c r="DY30" i="10"/>
  <c r="EA30" i="10"/>
  <c r="DU20" i="10"/>
  <c r="DW20" i="10"/>
  <c r="EA20" i="10"/>
  <c r="DU21" i="10"/>
  <c r="DW21" i="10"/>
  <c r="EA21" i="10"/>
  <c r="DU22" i="10"/>
  <c r="DY22" i="10"/>
  <c r="EA22" i="10"/>
  <c r="DU23" i="10"/>
  <c r="DY23" i="10"/>
  <c r="EA23" i="10"/>
  <c r="DU24" i="10"/>
  <c r="DW24" i="10"/>
  <c r="DY24" i="10"/>
  <c r="DU25" i="10"/>
  <c r="DW25" i="10"/>
  <c r="DY25" i="10"/>
  <c r="DW17" i="10"/>
  <c r="DY17" i="10"/>
  <c r="EA17" i="10"/>
  <c r="DW18" i="10"/>
  <c r="DY18" i="10"/>
  <c r="EA18" i="10"/>
  <c r="DU14" i="10"/>
  <c r="DW14" i="10"/>
  <c r="DY14" i="10"/>
  <c r="EA14" i="10"/>
  <c r="EA32" i="10" s="1"/>
  <c r="DU15" i="10"/>
  <c r="DW15" i="10"/>
  <c r="DY15" i="10"/>
  <c r="EA15" i="10"/>
  <c r="EA33" i="10" s="1"/>
  <c r="DS33" i="10"/>
  <c r="DS28" i="10"/>
  <c r="DS29" i="10"/>
  <c r="DS30" i="10"/>
  <c r="DS21" i="10"/>
  <c r="DS22" i="10"/>
  <c r="DS23" i="10"/>
  <c r="DS24" i="10"/>
  <c r="DS25" i="10"/>
  <c r="DS32" i="10"/>
  <c r="DS27" i="10"/>
  <c r="DS20" i="10"/>
  <c r="DS15" i="10"/>
  <c r="DI32" i="10"/>
  <c r="DK32" i="10"/>
  <c r="DM32" i="10"/>
  <c r="DI33" i="10"/>
  <c r="DK33" i="10"/>
  <c r="DM33" i="10"/>
  <c r="DI27" i="10"/>
  <c r="DK27" i="10"/>
  <c r="DO27" i="10"/>
  <c r="DI28" i="10"/>
  <c r="DK28" i="10"/>
  <c r="DO28" i="10"/>
  <c r="DI29" i="10"/>
  <c r="DK29" i="10"/>
  <c r="DM29" i="10"/>
  <c r="DI30" i="10"/>
  <c r="DK30" i="10"/>
  <c r="DM30" i="10"/>
  <c r="DI20" i="10"/>
  <c r="DK20" i="10"/>
  <c r="DM20" i="10"/>
  <c r="DI21" i="10"/>
  <c r="DK21" i="10"/>
  <c r="DM21" i="10"/>
  <c r="DI22" i="10"/>
  <c r="DO22" i="10"/>
  <c r="DI23" i="10"/>
  <c r="DO23" i="10"/>
  <c r="DK24" i="10"/>
  <c r="DM24" i="10"/>
  <c r="DK25" i="10"/>
  <c r="DM25" i="10"/>
  <c r="DI17" i="10"/>
  <c r="DK17" i="10"/>
  <c r="DM17" i="10"/>
  <c r="DO17" i="10"/>
  <c r="DI18" i="10"/>
  <c r="DK18" i="10"/>
  <c r="DM18" i="10"/>
  <c r="DO18" i="10"/>
  <c r="DI14" i="10"/>
  <c r="DK14" i="10"/>
  <c r="DM14" i="10"/>
  <c r="DI15" i="10"/>
  <c r="DK15" i="10"/>
  <c r="DM15" i="10"/>
  <c r="DG33" i="10"/>
  <c r="DG28" i="10"/>
  <c r="DG29" i="10"/>
  <c r="DG30" i="10"/>
  <c r="DG32" i="10"/>
  <c r="DG27" i="10"/>
  <c r="DG21" i="10"/>
  <c r="DG22" i="10"/>
  <c r="DG23" i="10"/>
  <c r="DG20" i="10"/>
  <c r="DG15" i="10"/>
  <c r="CW32" i="10"/>
  <c r="CY32" i="10"/>
  <c r="DA32" i="10"/>
  <c r="CW33" i="10"/>
  <c r="CY33" i="10"/>
  <c r="DA33" i="10"/>
  <c r="CW27" i="10"/>
  <c r="CY27" i="10"/>
  <c r="DA27" i="10"/>
  <c r="DC27" i="10"/>
  <c r="CW28" i="10"/>
  <c r="CY28" i="10"/>
  <c r="DA28" i="10"/>
  <c r="DC28" i="10"/>
  <c r="CW29" i="10"/>
  <c r="DA29" i="10"/>
  <c r="CW30" i="10"/>
  <c r="DA30" i="10"/>
  <c r="CW20" i="10"/>
  <c r="CY20" i="10"/>
  <c r="DA20" i="10"/>
  <c r="DC20" i="10"/>
  <c r="CW21" i="10"/>
  <c r="CY21" i="10"/>
  <c r="DA21" i="10"/>
  <c r="DC21" i="10"/>
  <c r="CW22" i="10"/>
  <c r="CY22" i="10"/>
  <c r="DA22" i="10"/>
  <c r="CW23" i="10"/>
  <c r="CY23" i="10"/>
  <c r="DA23" i="10"/>
  <c r="CW24" i="10"/>
  <c r="CY24" i="10"/>
  <c r="CW25" i="10"/>
  <c r="CY25" i="10"/>
  <c r="CW17" i="10"/>
  <c r="CY17" i="10"/>
  <c r="DA17" i="10"/>
  <c r="CW18" i="10"/>
  <c r="CY18" i="10"/>
  <c r="DA18" i="10"/>
  <c r="CW14" i="10"/>
  <c r="CY14" i="10"/>
  <c r="DA14" i="10"/>
  <c r="CW15" i="10"/>
  <c r="CY15" i="10"/>
  <c r="DA15" i="10"/>
  <c r="CU33" i="10"/>
  <c r="CU29" i="10"/>
  <c r="CU30" i="10"/>
  <c r="CU21" i="10"/>
  <c r="CU22" i="10"/>
  <c r="CU23" i="10"/>
  <c r="CU24" i="10"/>
  <c r="CU25" i="10"/>
  <c r="CU32" i="10"/>
  <c r="CU20" i="10"/>
  <c r="CU18" i="10"/>
  <c r="CU17" i="10"/>
  <c r="CU15" i="10"/>
  <c r="CK32" i="10"/>
  <c r="CM32" i="10"/>
  <c r="CO32" i="10"/>
  <c r="CK33" i="10"/>
  <c r="CM33" i="10"/>
  <c r="CO33" i="10"/>
  <c r="CK29" i="10"/>
  <c r="CO29" i="10"/>
  <c r="CK30" i="10"/>
  <c r="CO30" i="10"/>
  <c r="CK20" i="10"/>
  <c r="CM20" i="10"/>
  <c r="CO20" i="10"/>
  <c r="CK21" i="10"/>
  <c r="CM21" i="10"/>
  <c r="CO21" i="10"/>
  <c r="CK22" i="10"/>
  <c r="CM22" i="10"/>
  <c r="CO22" i="10"/>
  <c r="CK23" i="10"/>
  <c r="CM23" i="10"/>
  <c r="CO23" i="10"/>
  <c r="CK24" i="10"/>
  <c r="CO24" i="10"/>
  <c r="CQ24" i="10"/>
  <c r="CK25" i="10"/>
  <c r="CO25" i="10"/>
  <c r="CQ25" i="10"/>
  <c r="CM17" i="10"/>
  <c r="CQ17" i="10"/>
  <c r="CM18" i="10"/>
  <c r="CQ18" i="10"/>
  <c r="CK14" i="10"/>
  <c r="CM14" i="10"/>
  <c r="CO14" i="10"/>
  <c r="CK15" i="10"/>
  <c r="CM15" i="10"/>
  <c r="CO15" i="10"/>
  <c r="CI33" i="10"/>
  <c r="CI29" i="10"/>
  <c r="CI30" i="10"/>
  <c r="CI21" i="10"/>
  <c r="CI22" i="10"/>
  <c r="CI23" i="10"/>
  <c r="CI24" i="10"/>
  <c r="CI25" i="10"/>
  <c r="CI32" i="10"/>
  <c r="CI20" i="10"/>
  <c r="CI18" i="10"/>
  <c r="CI17" i="10"/>
  <c r="CI15" i="10"/>
  <c r="BW33" i="10"/>
  <c r="BW28" i="10"/>
  <c r="BW29" i="10"/>
  <c r="BW30" i="10"/>
  <c r="BW32" i="10"/>
  <c r="BW27" i="10"/>
  <c r="BW22" i="10"/>
  <c r="BW23" i="10"/>
  <c r="BW24" i="10"/>
  <c r="BW25" i="10"/>
  <c r="BW15" i="10"/>
  <c r="BM32" i="10"/>
  <c r="BO32" i="10"/>
  <c r="BQ32" i="10"/>
  <c r="BM33" i="10"/>
  <c r="BO33" i="10"/>
  <c r="BQ33" i="10"/>
  <c r="BM27" i="10"/>
  <c r="BS27" i="10"/>
  <c r="BM28" i="10"/>
  <c r="BS28" i="10"/>
  <c r="BO29" i="10"/>
  <c r="BQ29" i="10"/>
  <c r="BO30" i="10"/>
  <c r="BQ30" i="10"/>
  <c r="BM20" i="10"/>
  <c r="BQ20" i="10"/>
  <c r="BS20" i="10"/>
  <c r="BM21" i="10"/>
  <c r="BQ21" i="10"/>
  <c r="BS21" i="10"/>
  <c r="BM22" i="10"/>
  <c r="BO22" i="10"/>
  <c r="BQ22" i="10"/>
  <c r="BM23" i="10"/>
  <c r="BO23" i="10"/>
  <c r="BQ23" i="10"/>
  <c r="BO24" i="10"/>
  <c r="BQ24" i="10"/>
  <c r="BS24" i="10"/>
  <c r="BO25" i="10"/>
  <c r="BQ25" i="10"/>
  <c r="BS25" i="10"/>
  <c r="BQ17" i="10"/>
  <c r="BS17" i="10"/>
  <c r="BQ18" i="10"/>
  <c r="BS18" i="10"/>
  <c r="BM14" i="10"/>
  <c r="BO14" i="10"/>
  <c r="BQ14" i="10"/>
  <c r="BM15" i="10"/>
  <c r="BO15" i="10"/>
  <c r="BQ15" i="10"/>
  <c r="BK33" i="10"/>
  <c r="BK32" i="10"/>
  <c r="BK28" i="10"/>
  <c r="BK29" i="10"/>
  <c r="BK30" i="10"/>
  <c r="BK27" i="10"/>
  <c r="BK21" i="10"/>
  <c r="BK22" i="10"/>
  <c r="BK23" i="10"/>
  <c r="BK24" i="10"/>
  <c r="BK25" i="10"/>
  <c r="BK20" i="10"/>
  <c r="BK18" i="10"/>
  <c r="BK17" i="10"/>
  <c r="BK15" i="10"/>
  <c r="AO32" i="10"/>
  <c r="AQ32" i="10"/>
  <c r="AS32" i="10"/>
  <c r="AO33" i="10"/>
  <c r="AQ33" i="10"/>
  <c r="AS33" i="10"/>
  <c r="AO27" i="10"/>
  <c r="AQ27" i="10"/>
  <c r="AO28" i="10"/>
  <c r="AQ28" i="10"/>
  <c r="AO29" i="10"/>
  <c r="AS29" i="10"/>
  <c r="AO30" i="10"/>
  <c r="AS30" i="10"/>
  <c r="AO20" i="10"/>
  <c r="AS20" i="10"/>
  <c r="AO21" i="10"/>
  <c r="AS21" i="10"/>
  <c r="AO22" i="10"/>
  <c r="AS22" i="10"/>
  <c r="AO23" i="10"/>
  <c r="AS23" i="10"/>
  <c r="AO24" i="10"/>
  <c r="AQ24" i="10"/>
  <c r="AS24" i="10"/>
  <c r="AO25" i="10"/>
  <c r="AQ25" i="10"/>
  <c r="AS25" i="10"/>
  <c r="AS17" i="10"/>
  <c r="AO14" i="10"/>
  <c r="AS14" i="10"/>
  <c r="AO15" i="10"/>
  <c r="AS15" i="10"/>
  <c r="BA32" i="10"/>
  <c r="BC32" i="10"/>
  <c r="BE32" i="10"/>
  <c r="BA33" i="10"/>
  <c r="BC33" i="10"/>
  <c r="BE33" i="10"/>
  <c r="BC27" i="10"/>
  <c r="BG27" i="10"/>
  <c r="BC28" i="10"/>
  <c r="BG28" i="10"/>
  <c r="BA29" i="10"/>
  <c r="BC29" i="10"/>
  <c r="BE29" i="10"/>
  <c r="BA30" i="10"/>
  <c r="BC30" i="10"/>
  <c r="BE30" i="10"/>
  <c r="BA20" i="10"/>
  <c r="BC20" i="10"/>
  <c r="BG20" i="10"/>
  <c r="BA21" i="10"/>
  <c r="BC21" i="10"/>
  <c r="BG21" i="10"/>
  <c r="BE22" i="10"/>
  <c r="BE23" i="10"/>
  <c r="BA24" i="10"/>
  <c r="BC24" i="10"/>
  <c r="BE24" i="10"/>
  <c r="BA25" i="10"/>
  <c r="BC25" i="10"/>
  <c r="BE25" i="10"/>
  <c r="BA17" i="10"/>
  <c r="BC17" i="10"/>
  <c r="BE17" i="10"/>
  <c r="BA18" i="10"/>
  <c r="BC18" i="10"/>
  <c r="BE18" i="10"/>
  <c r="BA14" i="10"/>
  <c r="BC14" i="10"/>
  <c r="BE14" i="10"/>
  <c r="BA15" i="10"/>
  <c r="BC15" i="10"/>
  <c r="BE15" i="10"/>
  <c r="AY33" i="10"/>
  <c r="AY32" i="10"/>
  <c r="AY28" i="10"/>
  <c r="AY29" i="10"/>
  <c r="AY30" i="10"/>
  <c r="AY27" i="10"/>
  <c r="AY21" i="10"/>
  <c r="AY22" i="10"/>
  <c r="AY23" i="10"/>
  <c r="AY20" i="10"/>
  <c r="AY18" i="10"/>
  <c r="AY17" i="10"/>
  <c r="AY15" i="10"/>
  <c r="AM33" i="10"/>
  <c r="AM32" i="10"/>
  <c r="AM21" i="10"/>
  <c r="AM22" i="10"/>
  <c r="AM23" i="10"/>
  <c r="AM20" i="10"/>
  <c r="AM17" i="10"/>
  <c r="AM15" i="10"/>
  <c r="AA33" i="10"/>
  <c r="AA32" i="10"/>
  <c r="AA29" i="10"/>
  <c r="AA30" i="10"/>
  <c r="AA21" i="10"/>
  <c r="AA22" i="10"/>
  <c r="AA23" i="10"/>
  <c r="AA24" i="10"/>
  <c r="AA25" i="10"/>
  <c r="AA20" i="10"/>
  <c r="AA18" i="10"/>
  <c r="AA17" i="10"/>
  <c r="AA15" i="10"/>
  <c r="CU63" i="10" l="1"/>
  <c r="CY56" i="10"/>
  <c r="CU64" i="10"/>
  <c r="CY57" i="10"/>
  <c r="O33" i="10"/>
  <c r="O32" i="10"/>
  <c r="O29" i="10"/>
  <c r="O30" i="10"/>
  <c r="O22" i="10"/>
  <c r="O23" i="10"/>
  <c r="O18" i="10"/>
  <c r="O17" i="10"/>
  <c r="O15" i="10"/>
  <c r="E32" i="10"/>
  <c r="G32" i="10"/>
  <c r="I32" i="10"/>
  <c r="E33" i="10"/>
  <c r="G33" i="10"/>
  <c r="I33" i="10"/>
  <c r="G27" i="10"/>
  <c r="I27" i="10"/>
  <c r="G28" i="10"/>
  <c r="I28" i="10"/>
  <c r="E29" i="10"/>
  <c r="G29" i="10"/>
  <c r="I29" i="10"/>
  <c r="K29" i="10"/>
  <c r="E30" i="10"/>
  <c r="G30" i="10"/>
  <c r="I30" i="10"/>
  <c r="K30" i="10"/>
  <c r="E20" i="10"/>
  <c r="I20" i="10"/>
  <c r="E21" i="10"/>
  <c r="I21" i="10"/>
  <c r="E22" i="10"/>
  <c r="G22" i="10"/>
  <c r="E23" i="10"/>
  <c r="G23" i="10"/>
  <c r="E24" i="10"/>
  <c r="G24" i="10"/>
  <c r="I24" i="10"/>
  <c r="E25" i="10"/>
  <c r="G25" i="10"/>
  <c r="I25" i="10"/>
  <c r="E17" i="10"/>
  <c r="G17" i="10"/>
  <c r="I17" i="10"/>
  <c r="E18" i="10"/>
  <c r="G18" i="10"/>
  <c r="I18" i="10"/>
  <c r="E14" i="10"/>
  <c r="G14" i="10"/>
  <c r="I14" i="10"/>
  <c r="K14" i="10"/>
  <c r="K32" i="10" s="1"/>
  <c r="E15" i="10"/>
  <c r="G15" i="10"/>
  <c r="I15" i="10"/>
  <c r="K15" i="10"/>
  <c r="K33" i="10" s="1"/>
  <c r="C33" i="10"/>
  <c r="C32" i="10"/>
  <c r="C28" i="10"/>
  <c r="C29" i="10"/>
  <c r="C30" i="10"/>
  <c r="C27" i="10"/>
  <c r="C21" i="10"/>
  <c r="C22" i="10"/>
  <c r="C23" i="10"/>
  <c r="C24" i="10"/>
  <c r="C25" i="10"/>
  <c r="C20" i="10"/>
  <c r="C18" i="10"/>
  <c r="C17" i="10"/>
  <c r="Y28" i="1" l="1"/>
  <c r="Y25" i="1"/>
  <c r="S23" i="1" l="1"/>
  <c r="AQ16" i="1" l="1"/>
  <c r="AR16" i="1"/>
  <c r="AS16" i="1"/>
  <c r="AT16" i="1"/>
  <c r="AQ18" i="1"/>
  <c r="AR18" i="1"/>
  <c r="AS18" i="1"/>
  <c r="AT18" i="1"/>
  <c r="AQ21" i="1"/>
  <c r="AR21" i="1"/>
  <c r="AS21" i="1"/>
  <c r="AT21" i="1"/>
  <c r="AQ23" i="1"/>
  <c r="AR23" i="1"/>
  <c r="AS23" i="1"/>
  <c r="AT23" i="1"/>
  <c r="AQ25" i="1"/>
  <c r="AR25" i="1"/>
  <c r="AS25" i="1"/>
  <c r="AT25" i="1"/>
  <c r="AQ28" i="1"/>
  <c r="AR28" i="1"/>
  <c r="AS28" i="1"/>
  <c r="AT28" i="1"/>
  <c r="AQ30" i="1"/>
  <c r="AR30" i="1"/>
  <c r="AS30" i="1"/>
  <c r="AT30" i="1"/>
  <c r="AQ33" i="1"/>
  <c r="AR33" i="1"/>
  <c r="AS33" i="1"/>
  <c r="AT33" i="1"/>
  <c r="AQ35" i="1"/>
  <c r="AR35" i="1"/>
  <c r="AS35" i="1"/>
  <c r="AT35" i="1"/>
  <c r="AM16" i="1"/>
  <c r="AN16" i="1"/>
  <c r="AO16" i="1"/>
  <c r="AP16" i="1"/>
  <c r="AM18" i="1"/>
  <c r="AN18" i="1"/>
  <c r="AO18" i="1"/>
  <c r="AP18" i="1"/>
  <c r="AM21" i="1"/>
  <c r="AN21" i="1"/>
  <c r="AO21" i="1"/>
  <c r="AP21" i="1"/>
  <c r="AM23" i="1"/>
  <c r="AN23" i="1"/>
  <c r="AO23" i="1"/>
  <c r="AP23" i="1"/>
  <c r="AM25" i="1"/>
  <c r="AN25" i="1"/>
  <c r="AO25" i="1"/>
  <c r="AP25" i="1"/>
  <c r="AM28" i="1"/>
  <c r="AN28" i="1"/>
  <c r="AO28" i="1"/>
  <c r="AP28" i="1"/>
  <c r="AM30" i="1"/>
  <c r="AN30" i="1"/>
  <c r="AO30" i="1"/>
  <c r="AP30" i="1"/>
  <c r="AM33" i="1"/>
  <c r="AN33" i="1"/>
  <c r="AO33" i="1"/>
  <c r="AP33" i="1"/>
  <c r="AM35" i="1"/>
  <c r="AN35" i="1"/>
  <c r="AO35" i="1"/>
  <c r="AP35" i="1"/>
  <c r="Y16" i="1"/>
  <c r="Z16" i="1"/>
  <c r="AA16" i="1"/>
  <c r="AB16" i="1"/>
  <c r="X18" i="1"/>
  <c r="Y18" i="1"/>
  <c r="Z18" i="1"/>
  <c r="AA18" i="1"/>
  <c r="AB18" i="1"/>
  <c r="X21" i="1"/>
  <c r="Y21" i="1"/>
  <c r="Z21" i="1"/>
  <c r="AA21" i="1"/>
  <c r="AB21" i="1"/>
  <c r="X23" i="1"/>
  <c r="Y23" i="1"/>
  <c r="Z23" i="1"/>
  <c r="AA23" i="1"/>
  <c r="AB23" i="1"/>
  <c r="X25" i="1"/>
  <c r="Z25" i="1"/>
  <c r="AA25" i="1"/>
  <c r="AB25" i="1"/>
  <c r="X28" i="1"/>
  <c r="Z28" i="1"/>
  <c r="AA28" i="1"/>
  <c r="AB28" i="1"/>
  <c r="X30" i="1"/>
  <c r="Y30" i="1"/>
  <c r="Z30" i="1"/>
  <c r="AA30" i="1"/>
  <c r="AB30" i="1"/>
  <c r="X33" i="1"/>
  <c r="Y33" i="1"/>
  <c r="Z33" i="1"/>
  <c r="AA33" i="1"/>
  <c r="AB33" i="1"/>
  <c r="X35" i="1"/>
  <c r="Y35" i="1"/>
  <c r="Z35" i="1"/>
  <c r="AA35" i="1"/>
  <c r="AB35" i="1"/>
  <c r="AG35" i="1" l="1"/>
  <c r="AH35" i="1"/>
  <c r="AI35" i="1"/>
  <c r="AJ35" i="1"/>
  <c r="AK35" i="1"/>
  <c r="AL35" i="1"/>
  <c r="AF35" i="1"/>
  <c r="R35" i="1"/>
  <c r="S35" i="1"/>
  <c r="T35" i="1"/>
  <c r="U35" i="1"/>
  <c r="V35" i="1"/>
  <c r="W35" i="1"/>
  <c r="AC35" i="1"/>
  <c r="AD35" i="1"/>
  <c r="AE35" i="1"/>
  <c r="AC30" i="1" l="1"/>
  <c r="Q35" i="1" l="1"/>
  <c r="AD33" i="1" l="1"/>
  <c r="AE33" i="1"/>
  <c r="AD30" i="1"/>
  <c r="AE30" i="1"/>
  <c r="AD28" i="1"/>
  <c r="AE28" i="1"/>
  <c r="AD25" i="1"/>
  <c r="AE25" i="1"/>
  <c r="AD23" i="1"/>
  <c r="AE23" i="1"/>
  <c r="AD21" i="1"/>
  <c r="AE21" i="1"/>
  <c r="AD18" i="1"/>
  <c r="AE18" i="1"/>
  <c r="AD16" i="1"/>
  <c r="AE16" i="1"/>
  <c r="M127" i="1" l="1"/>
  <c r="M168" i="1"/>
  <c r="H126" i="1" l="1"/>
  <c r="H167" i="1" s="1"/>
  <c r="AG16" i="1" l="1"/>
  <c r="AH16" i="1"/>
  <c r="AI16" i="1"/>
  <c r="AJ16" i="1"/>
  <c r="AK16" i="1"/>
  <c r="AL16" i="1"/>
  <c r="AG18" i="1"/>
  <c r="AH18" i="1"/>
  <c r="AI18" i="1"/>
  <c r="AJ18" i="1"/>
  <c r="AK18" i="1"/>
  <c r="AL18" i="1"/>
  <c r="AG21" i="1"/>
  <c r="AI21" i="1"/>
  <c r="AJ21" i="1"/>
  <c r="AK21" i="1"/>
  <c r="AL21" i="1"/>
  <c r="AG23" i="1"/>
  <c r="AH23" i="1"/>
  <c r="AI23" i="1"/>
  <c r="AJ23" i="1"/>
  <c r="AK23" i="1"/>
  <c r="AL23" i="1"/>
  <c r="AG25" i="1"/>
  <c r="AH25" i="1"/>
  <c r="AI25" i="1"/>
  <c r="AJ25" i="1"/>
  <c r="AK25" i="1"/>
  <c r="AL25" i="1"/>
  <c r="AG28" i="1"/>
  <c r="AH28" i="1"/>
  <c r="AI28" i="1"/>
  <c r="AJ28" i="1"/>
  <c r="AK28" i="1"/>
  <c r="AL28" i="1"/>
  <c r="AG30" i="1"/>
  <c r="AH30" i="1"/>
  <c r="AI30" i="1"/>
  <c r="AJ30" i="1"/>
  <c r="AK30" i="1"/>
  <c r="AL30" i="1"/>
  <c r="AG33" i="1"/>
  <c r="AH33" i="1"/>
  <c r="AI33" i="1"/>
  <c r="AJ33" i="1"/>
  <c r="AK33" i="1"/>
  <c r="AL33" i="1"/>
  <c r="AF21" i="1"/>
  <c r="AF23" i="1"/>
  <c r="AF25" i="1"/>
  <c r="AF28" i="1"/>
  <c r="AF30" i="1"/>
  <c r="AF33" i="1"/>
  <c r="AF18" i="1"/>
  <c r="AF16" i="1"/>
  <c r="Q28" i="1"/>
  <c r="Q18" i="1"/>
  <c r="R18" i="1"/>
  <c r="S18" i="1"/>
  <c r="T18" i="1"/>
  <c r="U18" i="1"/>
  <c r="V18" i="1"/>
  <c r="W18" i="1"/>
  <c r="AC18" i="1"/>
  <c r="Q21" i="1"/>
  <c r="R21" i="1"/>
  <c r="S21" i="1"/>
  <c r="T21" i="1"/>
  <c r="U21" i="1"/>
  <c r="V21" i="1"/>
  <c r="W21" i="1"/>
  <c r="AC21" i="1"/>
  <c r="Q23" i="1"/>
  <c r="R23" i="1"/>
  <c r="T23" i="1"/>
  <c r="U23" i="1"/>
  <c r="V23" i="1"/>
  <c r="W23" i="1"/>
  <c r="AC23" i="1"/>
  <c r="Q25" i="1"/>
  <c r="R25" i="1"/>
  <c r="S25" i="1"/>
  <c r="T25" i="1"/>
  <c r="U25" i="1"/>
  <c r="V25" i="1"/>
  <c r="W25" i="1"/>
  <c r="AC25" i="1"/>
  <c r="R28" i="1"/>
  <c r="S28" i="1"/>
  <c r="T28" i="1"/>
  <c r="U28" i="1"/>
  <c r="V28" i="1"/>
  <c r="W28" i="1"/>
  <c r="AC28" i="1"/>
  <c r="Q30" i="1"/>
  <c r="R30" i="1"/>
  <c r="S30" i="1"/>
  <c r="T30" i="1"/>
  <c r="U30" i="1"/>
  <c r="V30" i="1"/>
  <c r="W30" i="1"/>
  <c r="Q33" i="1"/>
  <c r="R33" i="1"/>
  <c r="S33" i="1"/>
  <c r="T33" i="1"/>
  <c r="U33" i="1"/>
  <c r="V33" i="1"/>
  <c r="W33" i="1"/>
  <c r="AC33" i="1"/>
  <c r="AC16" i="1"/>
  <c r="S16" i="1"/>
  <c r="T16" i="1"/>
  <c r="U16" i="1"/>
  <c r="V16" i="1"/>
  <c r="W16" i="1"/>
  <c r="R16" i="1"/>
  <c r="Q16" i="1"/>
  <c r="AY18" i="1" l="1"/>
  <c r="I36" i="1" s="1"/>
  <c r="CM36" i="14" s="1"/>
  <c r="AY42" i="1"/>
  <c r="B37" i="1" s="1"/>
  <c r="AY36" i="1"/>
  <c r="F79" i="1" s="1"/>
  <c r="GE36" i="14" s="1"/>
  <c r="AY43" i="1"/>
  <c r="AY47" i="1"/>
  <c r="AY46" i="1"/>
  <c r="AY38" i="1"/>
  <c r="D36" i="1" s="1"/>
  <c r="AE36" i="14" s="1"/>
  <c r="AY34" i="1"/>
  <c r="I79" i="1" s="1"/>
  <c r="HO36" i="14" s="1"/>
  <c r="AY30" i="1"/>
  <c r="B80" i="1" s="1"/>
  <c r="JK36" i="14" s="1"/>
  <c r="AY26" i="1"/>
  <c r="K79" i="1" s="1"/>
  <c r="IM36" i="14" s="1"/>
  <c r="AY22" i="1"/>
  <c r="K37" i="1" s="1"/>
  <c r="KI36" i="14" s="1"/>
  <c r="AY45" i="1"/>
  <c r="AY41" i="1"/>
  <c r="K36" i="1" s="1"/>
  <c r="DK36" i="14" s="1"/>
  <c r="AY37" i="1"/>
  <c r="H36" i="1" s="1"/>
  <c r="CA36" i="14" s="1"/>
  <c r="AY33" i="1"/>
  <c r="AY29" i="1"/>
  <c r="M36" i="1" s="1"/>
  <c r="IY36" i="14" s="1"/>
  <c r="AY25" i="1"/>
  <c r="E36" i="1" s="1"/>
  <c r="AQ36" i="14" s="1"/>
  <c r="AY21" i="1"/>
  <c r="C36" i="1" s="1"/>
  <c r="S36" i="14" s="1"/>
  <c r="AY44" i="1"/>
  <c r="C80" i="1" s="1"/>
  <c r="AY40" i="1"/>
  <c r="G80" i="1" s="1"/>
  <c r="KU36" i="14" s="1"/>
  <c r="AY32" i="1"/>
  <c r="L36" i="1" s="1"/>
  <c r="DW36" i="14" s="1"/>
  <c r="AY28" i="1"/>
  <c r="B36" i="1" s="1"/>
  <c r="G36" i="14" s="1"/>
  <c r="AY24" i="1"/>
  <c r="J79" i="1" s="1"/>
  <c r="IA36" i="14" s="1"/>
  <c r="AY20" i="1"/>
  <c r="G79" i="1" s="1"/>
  <c r="GQ36" i="14" s="1"/>
  <c r="AY39" i="1"/>
  <c r="D79" i="1" s="1"/>
  <c r="FG36" i="14" s="1"/>
  <c r="AY35" i="1"/>
  <c r="C79" i="1" s="1"/>
  <c r="EU36" i="14" s="1"/>
  <c r="AY31" i="1"/>
  <c r="G36" i="1" s="1"/>
  <c r="BO36" i="14" s="1"/>
  <c r="AY27" i="1"/>
  <c r="J36" i="1" s="1"/>
  <c r="CY36" i="14" s="1"/>
  <c r="AY23" i="1"/>
  <c r="AY19" i="1"/>
  <c r="B79" i="1" s="1"/>
  <c r="EI36" i="14" s="1"/>
  <c r="AY16" i="1"/>
  <c r="AY17" i="1"/>
  <c r="E79" i="1" s="1"/>
  <c r="FS36" i="14" s="1"/>
  <c r="AY60" i="1"/>
  <c r="AY59" i="1"/>
  <c r="AY58" i="1"/>
  <c r="AY55" i="1"/>
  <c r="AY49" i="1"/>
  <c r="AY57" i="1"/>
  <c r="AY53" i="1"/>
  <c r="AY52" i="1"/>
  <c r="AY51" i="1"/>
  <c r="AY50" i="1"/>
  <c r="AY54" i="1"/>
  <c r="AY48" i="1"/>
  <c r="A51" i="1"/>
  <c r="H79" i="1" l="1"/>
  <c r="HC36" i="14" s="1"/>
  <c r="J80" i="1"/>
  <c r="JW36" i="14" s="1"/>
  <c r="L37" i="1"/>
  <c r="F36" i="1"/>
  <c r="BC36" i="14" s="1"/>
  <c r="A167" i="1"/>
</calcChain>
</file>

<file path=xl/sharedStrings.xml><?xml version="1.0" encoding="utf-8"?>
<sst xmlns="http://schemas.openxmlformats.org/spreadsheetml/2006/main" count="5760" uniqueCount="523">
  <si>
    <t>Republic of the Phillipines</t>
  </si>
  <si>
    <t>Region III</t>
  </si>
  <si>
    <t>JULIA ORTIZ LUIS NATIONAL HIGH SCHOOL</t>
  </si>
  <si>
    <t>Sagaba, Sto. Domingo, Nueva Ecija</t>
  </si>
  <si>
    <t>Time</t>
  </si>
  <si>
    <t>TIME</t>
  </si>
  <si>
    <t>STEM</t>
  </si>
  <si>
    <t>HUMSS</t>
  </si>
  <si>
    <t xml:space="preserve">GRADE 11 SHS GENERAL CLASS SCHEDULE </t>
  </si>
  <si>
    <t>GAS</t>
  </si>
  <si>
    <t>H.E.</t>
  </si>
  <si>
    <t>HOME ECONOMICS</t>
  </si>
  <si>
    <t>AGRICULTURE</t>
  </si>
  <si>
    <t>M.Hierco/C.Lorenzana</t>
  </si>
  <si>
    <t>R. Coronel</t>
  </si>
  <si>
    <t>P.Adrineda</t>
  </si>
  <si>
    <t>R.Crisostomo</t>
  </si>
  <si>
    <t>M.Sagnip</t>
  </si>
  <si>
    <t>V.Domingo</t>
  </si>
  <si>
    <t>R.Carillo</t>
  </si>
  <si>
    <t>7:00-7:30</t>
  </si>
  <si>
    <t>7:30-8:30</t>
  </si>
  <si>
    <t>8:30-9:30</t>
  </si>
  <si>
    <t>9:30-10:00</t>
  </si>
  <si>
    <t>10:00-11:00</t>
  </si>
  <si>
    <t>11:00-12:00</t>
  </si>
  <si>
    <t>12:00-1:00</t>
  </si>
  <si>
    <t>1:00-2:00</t>
  </si>
  <si>
    <t>2:00-3:00</t>
  </si>
  <si>
    <t>3:00-4:00</t>
  </si>
  <si>
    <t>4:00-5:00</t>
  </si>
  <si>
    <t>11-B</t>
  </si>
  <si>
    <t>14-B</t>
  </si>
  <si>
    <t>15-B</t>
  </si>
  <si>
    <t>8-B</t>
  </si>
  <si>
    <t>7-B</t>
  </si>
  <si>
    <t>6-B</t>
  </si>
  <si>
    <t>5-B</t>
  </si>
  <si>
    <t>C.Lorenzana</t>
  </si>
  <si>
    <t>E.Orgil</t>
  </si>
  <si>
    <t>H.Bartolome</t>
  </si>
  <si>
    <t>OJ.Marcelo</t>
  </si>
  <si>
    <t>M.Hierco</t>
  </si>
  <si>
    <t>A.Sumait</t>
  </si>
  <si>
    <t>M.Fronda</t>
  </si>
  <si>
    <t>R.Coronel</t>
  </si>
  <si>
    <t>A.Cruz</t>
  </si>
  <si>
    <t>Teachers' Profile</t>
  </si>
  <si>
    <t>J.Macadamia</t>
  </si>
  <si>
    <t>N.Bacones</t>
  </si>
  <si>
    <t>B.Estrella</t>
  </si>
  <si>
    <t xml:space="preserve"> </t>
  </si>
  <si>
    <t>Core Subjects</t>
  </si>
  <si>
    <t>Applied and Specialized Subjects</t>
  </si>
  <si>
    <t>Oral Communication</t>
  </si>
  <si>
    <t>English for Academic and Professional Purposes</t>
  </si>
  <si>
    <t>Reading and Writing</t>
  </si>
  <si>
    <t>Practical Research 1</t>
  </si>
  <si>
    <t>Komunikasyon at Pananaliksik sa Wika at Kulturang Pilipino</t>
  </si>
  <si>
    <t>Practical Research 2</t>
  </si>
  <si>
    <t>Pagbasa at Pagsusuri ng Iba't Ibang Teksto Tungo sa Pananaliksik</t>
  </si>
  <si>
    <t>Filipino sa Piling Larang</t>
  </si>
  <si>
    <t>21st Century Literature from the Philippines and the World</t>
  </si>
  <si>
    <t>Empowerment Technologies</t>
  </si>
  <si>
    <t>Contemporary Philippine Arts from the Regions</t>
  </si>
  <si>
    <t>Entrepreneurship</t>
  </si>
  <si>
    <t>Media and Information Literacy</t>
  </si>
  <si>
    <t>Inquiries, Investigations and Immersion(Research Project)</t>
  </si>
  <si>
    <t>General Mathematics</t>
  </si>
  <si>
    <t>Pre-Calculus</t>
  </si>
  <si>
    <t>Statistics and Probability</t>
  </si>
  <si>
    <t>Basic Calculus</t>
  </si>
  <si>
    <t>Earth and Life Science</t>
  </si>
  <si>
    <t>General Biology 1</t>
  </si>
  <si>
    <t>Physical Science</t>
  </si>
  <si>
    <t>General Biology 2</t>
  </si>
  <si>
    <t>Personal Development/Pansariling Kaunlaran</t>
  </si>
  <si>
    <t>General Chemistry 1</t>
  </si>
  <si>
    <t>Understanding Culture, Society and Politics</t>
  </si>
  <si>
    <t>General Chemistry 2</t>
  </si>
  <si>
    <t>Introduction to the Philosophy of the Human Person</t>
  </si>
  <si>
    <t>General Physics 1</t>
  </si>
  <si>
    <t xml:space="preserve">Physical Education and Health </t>
  </si>
  <si>
    <t>General Physics 2</t>
  </si>
  <si>
    <t>Earth Science</t>
  </si>
  <si>
    <t>Capstone Project</t>
  </si>
  <si>
    <t>Disaster Readiness and Risk Reduction</t>
  </si>
  <si>
    <t>Creative Writing</t>
  </si>
  <si>
    <t>Creative Nonfiction</t>
  </si>
  <si>
    <t>Disciplines and Ideas in the Social Sciences</t>
  </si>
  <si>
    <t>Introduction to World Religions</t>
  </si>
  <si>
    <t>Philippine Politics and Governance</t>
  </si>
  <si>
    <t>Disciplines and Ideas in the Applied Social Sciences</t>
  </si>
  <si>
    <t>Community Engagement, Solidarity and Citizenship</t>
  </si>
  <si>
    <r>
      <t>Trends, Networks and Critical Thinking in the 21</t>
    </r>
    <r>
      <rPr>
        <vertAlign val="superscript"/>
        <sz val="11"/>
        <color theme="1"/>
        <rFont val="Arial Narrow"/>
        <family val="2"/>
      </rPr>
      <t>st</t>
    </r>
    <r>
      <rPr>
        <sz val="11"/>
        <color theme="1"/>
        <rFont val="Arial Narrow"/>
        <family val="2"/>
      </rPr>
      <t xml:space="preserve"> Century Culture</t>
    </r>
  </si>
  <si>
    <t>Culminating Activity</t>
  </si>
  <si>
    <t>Organization and Management</t>
  </si>
  <si>
    <t>Applied Economics</t>
  </si>
  <si>
    <t>Business Mathematics</t>
  </si>
  <si>
    <t>Principles of Marketing</t>
  </si>
  <si>
    <t>Work Immersion</t>
  </si>
  <si>
    <t>Food and Beverage Services</t>
  </si>
  <si>
    <t>Bread and Pastry</t>
  </si>
  <si>
    <t>Cookery</t>
  </si>
  <si>
    <t>AGRI</t>
  </si>
  <si>
    <t>IA</t>
  </si>
  <si>
    <t>Shielded Metal Arc Welding (NC I)</t>
  </si>
  <si>
    <t>Shielded Metal Arc Welding (NC II)</t>
  </si>
  <si>
    <t>ICT</t>
  </si>
  <si>
    <t>Animation</t>
  </si>
  <si>
    <t>Computer System Servicing (NC-II)</t>
  </si>
  <si>
    <t>STEM only</t>
  </si>
  <si>
    <t>Oral Com</t>
  </si>
  <si>
    <t>Kom Pan</t>
  </si>
  <si>
    <t>21st Century</t>
  </si>
  <si>
    <t>UCSP</t>
  </si>
  <si>
    <t>P.E. and Health</t>
  </si>
  <si>
    <t>Pagbasa</t>
  </si>
  <si>
    <t>Stat &amp; Prob</t>
  </si>
  <si>
    <t>Earth &amp; Life</t>
  </si>
  <si>
    <t>Per Dev</t>
  </si>
  <si>
    <t>Philosophy</t>
  </si>
  <si>
    <t>Media</t>
  </si>
  <si>
    <t>DRRR</t>
  </si>
  <si>
    <t>Physical Sci</t>
  </si>
  <si>
    <t>CPAR</t>
  </si>
  <si>
    <t>SMAW NC I</t>
  </si>
  <si>
    <t>SMAW NC II</t>
  </si>
  <si>
    <t>CSS</t>
  </si>
  <si>
    <t>DISS</t>
  </si>
  <si>
    <t>Religion</t>
  </si>
  <si>
    <t>HUMSS/GAS</t>
  </si>
  <si>
    <t>Piling Larang</t>
  </si>
  <si>
    <t>Rrsearch Project</t>
  </si>
  <si>
    <t>Biology 2</t>
  </si>
  <si>
    <t>Biology 1</t>
  </si>
  <si>
    <t>Chemistry 2</t>
  </si>
  <si>
    <t>Chemistry 1</t>
  </si>
  <si>
    <t>Physics 1</t>
  </si>
  <si>
    <t>Physics 2</t>
  </si>
  <si>
    <t>PPG</t>
  </si>
  <si>
    <t>DIASS</t>
  </si>
  <si>
    <t>CESC</t>
  </si>
  <si>
    <t>TNCTCC</t>
  </si>
  <si>
    <t>Culminating</t>
  </si>
  <si>
    <t>Economics</t>
  </si>
  <si>
    <t>Empowerment</t>
  </si>
  <si>
    <t>Agricrops</t>
  </si>
  <si>
    <t>CSS NC II</t>
  </si>
  <si>
    <t>R &amp; W</t>
  </si>
  <si>
    <t>Gen Math</t>
  </si>
  <si>
    <t>P.E. &amp; Health</t>
  </si>
  <si>
    <t>Business Math</t>
  </si>
  <si>
    <t>Marketing</t>
  </si>
  <si>
    <t>Research 2</t>
  </si>
  <si>
    <t>Research 1</t>
  </si>
  <si>
    <t>Rsearch 2</t>
  </si>
  <si>
    <t>Project Research</t>
  </si>
  <si>
    <t>Prepared by:</t>
  </si>
  <si>
    <t>Cristituto P. Lorenzana</t>
  </si>
  <si>
    <t>Anicia F. Santiago</t>
  </si>
  <si>
    <t>Assistant Principal II</t>
  </si>
  <si>
    <t>Checked by:</t>
  </si>
  <si>
    <t xml:space="preserve">GRADE 12 SHS GENERAL CLASS SCHEDULE </t>
  </si>
  <si>
    <t>Wednesday</t>
  </si>
  <si>
    <t>Friday</t>
  </si>
  <si>
    <t>English for Academic</t>
  </si>
  <si>
    <t>Food &amp; Beverage</t>
  </si>
  <si>
    <t>FLAG CEREMONY(Monday Only)/ROOM and GROUND IMPROVEMENT</t>
  </si>
  <si>
    <t>Organ-Man</t>
  </si>
  <si>
    <t>GAS -B</t>
  </si>
  <si>
    <t>I.A</t>
  </si>
  <si>
    <t>13-B</t>
  </si>
  <si>
    <t>12-B</t>
  </si>
  <si>
    <t>3-B</t>
  </si>
  <si>
    <t>10-B</t>
  </si>
  <si>
    <t>4-B</t>
  </si>
  <si>
    <t>1-B</t>
  </si>
  <si>
    <t>2-B</t>
  </si>
  <si>
    <t>RECESS</t>
  </si>
  <si>
    <t>LUNCH BREAK</t>
  </si>
  <si>
    <t>Conforme:</t>
  </si>
  <si>
    <t>Approved by:</t>
  </si>
  <si>
    <t>Adviser:</t>
  </si>
  <si>
    <t>14-A</t>
  </si>
  <si>
    <t>21st Century Literarure</t>
  </si>
  <si>
    <t>CORE SUBJECTS</t>
  </si>
  <si>
    <t>1st Semester</t>
  </si>
  <si>
    <t>3rd Semester</t>
  </si>
  <si>
    <t>4th Semester</t>
  </si>
  <si>
    <t>As per Division Memo # 102 s. 2018</t>
  </si>
  <si>
    <t>Concenptualized Subjects</t>
  </si>
  <si>
    <t>Specialization Subjects</t>
  </si>
  <si>
    <t>Stat and Prob</t>
  </si>
  <si>
    <t>Personal Development</t>
  </si>
  <si>
    <t>Common</t>
  </si>
  <si>
    <t>GAS/HUMSS</t>
  </si>
  <si>
    <t>IACT</t>
  </si>
  <si>
    <t>ALL</t>
  </si>
  <si>
    <t>World Religions</t>
  </si>
  <si>
    <t>Creative Non-Fiction</t>
  </si>
  <si>
    <t>Research Project</t>
  </si>
  <si>
    <t>Organ Man</t>
  </si>
  <si>
    <t>2nd Semester</t>
  </si>
  <si>
    <t>AGFA</t>
  </si>
  <si>
    <t>Food and Beverage</t>
  </si>
  <si>
    <t>Reading and Writing Skills</t>
  </si>
  <si>
    <t>21st Century Literarure from the Phillipines and the World</t>
  </si>
  <si>
    <t>Horticulture</t>
  </si>
  <si>
    <t>Horti</t>
  </si>
  <si>
    <t>Computer System Servicing</t>
  </si>
  <si>
    <t>STRAND</t>
  </si>
  <si>
    <t>CAT(Optional)</t>
  </si>
  <si>
    <t>HUMSS A</t>
  </si>
  <si>
    <t>HUMSS B</t>
  </si>
  <si>
    <t xml:space="preserve">HUMSS </t>
  </si>
  <si>
    <t>Dr.A.Laxamana</t>
  </si>
  <si>
    <t>Dr.OJ.Marcelo</t>
  </si>
  <si>
    <t>Dr.H.Bartolome</t>
  </si>
  <si>
    <t>M.Gaspar</t>
  </si>
  <si>
    <t>R.Portacio</t>
  </si>
  <si>
    <t>SHS Teacher III</t>
  </si>
  <si>
    <t xml:space="preserve">ICT  </t>
  </si>
  <si>
    <t>SHS T-III</t>
  </si>
  <si>
    <t>Strand:</t>
  </si>
  <si>
    <t>EDISON V. ORGIL</t>
  </si>
  <si>
    <t>Creative Writing*</t>
  </si>
  <si>
    <t>L.Agustin</t>
  </si>
  <si>
    <t>Schools Division of Nueva Ecija</t>
  </si>
  <si>
    <t>E.Sebastian</t>
  </si>
  <si>
    <t>Second Semester S.Y. 2018-2019</t>
  </si>
  <si>
    <t>GAS A</t>
  </si>
  <si>
    <t>H. Bartolome</t>
  </si>
  <si>
    <t>Specialized Subjects</t>
  </si>
  <si>
    <t>(SUGGESTED GAS SCHEDULE)</t>
  </si>
  <si>
    <t>Elective***</t>
  </si>
  <si>
    <t>Subject</t>
  </si>
  <si>
    <t>Disciplines and Ideas in the Social Sciences(DISS)</t>
  </si>
  <si>
    <t>Disciplines and Ideas in the Applied Social Sciences(DIASS)</t>
  </si>
  <si>
    <t>Trends, Networks and Critical Thinking in the 21st Century Culture(TNCTCC)</t>
  </si>
  <si>
    <t>Pre-requisite/s</t>
  </si>
  <si>
    <t>Philippine Politics and Governance**</t>
  </si>
  <si>
    <t>*Select any of two from HUMSS Strand 1-4</t>
  </si>
  <si>
    <t>**Select one from HUMSS strand 5-8</t>
  </si>
  <si>
    <t>*** Any two( from any Track/Starnd)</t>
  </si>
  <si>
    <t>Trends, Networks and Critical Thinking in the 21st Century Culture*(TNCTCC)</t>
  </si>
  <si>
    <t>Applied Econimics</t>
  </si>
  <si>
    <t>P.E.and Health</t>
  </si>
  <si>
    <t>4:00-4:30</t>
  </si>
  <si>
    <t>Friday 10:00-5:00</t>
  </si>
  <si>
    <t>Hierco</t>
  </si>
  <si>
    <t xml:space="preserve">  </t>
  </si>
  <si>
    <t>Culminating Activity/Work Immersion</t>
  </si>
  <si>
    <t>Agri-Crops Production</t>
  </si>
  <si>
    <t>M.Fonda</t>
  </si>
  <si>
    <t>4-B/Marcos Bldg.</t>
  </si>
  <si>
    <t>LR. Agustin</t>
  </si>
  <si>
    <t>Second Semester S.Y. 2019-2020</t>
  </si>
  <si>
    <t>HUMSS C</t>
  </si>
  <si>
    <t xml:space="preserve">ICT </t>
  </si>
  <si>
    <t>Industrial Arts</t>
  </si>
  <si>
    <t>INDUSTRIAL ARTS</t>
  </si>
  <si>
    <t>GRADE 12</t>
  </si>
  <si>
    <t>GRADE 11</t>
  </si>
  <si>
    <t>3B</t>
  </si>
  <si>
    <t>1B</t>
  </si>
  <si>
    <t>5B</t>
  </si>
  <si>
    <t>School Principal IV</t>
  </si>
  <si>
    <t>R.Estrella</t>
  </si>
  <si>
    <t>HumSS C</t>
  </si>
  <si>
    <t>Bread and Pastry*** (Elective)</t>
  </si>
  <si>
    <t>HumSS A</t>
  </si>
  <si>
    <t>HumSS B</t>
  </si>
  <si>
    <t>HumSS D</t>
  </si>
  <si>
    <t>Agri-Crops NC II</t>
  </si>
  <si>
    <t>8B</t>
  </si>
  <si>
    <t>14B</t>
  </si>
  <si>
    <t>7B</t>
  </si>
  <si>
    <t>10B</t>
  </si>
  <si>
    <t>HGP</t>
  </si>
  <si>
    <t>R.Valdez</t>
  </si>
  <si>
    <t>I. De Leon</t>
  </si>
  <si>
    <t>OIC-Assistant Principal II</t>
  </si>
  <si>
    <t>CRISTITUTO P. LORENZANA</t>
  </si>
  <si>
    <t>AURORA T. AGUILA</t>
  </si>
  <si>
    <t>Republic of the Philippines</t>
  </si>
  <si>
    <t>Sagaba, Sto. Domongo, Nueva Ecija</t>
  </si>
  <si>
    <t>Grade 11-HumSS A</t>
  </si>
  <si>
    <t>Grade 11-HumSS B</t>
  </si>
  <si>
    <t>Grade 11-HumSS C</t>
  </si>
  <si>
    <t>Grade 11-HumSS D</t>
  </si>
  <si>
    <t>Grade 11-ICT</t>
  </si>
  <si>
    <t>Teacher II</t>
  </si>
  <si>
    <t>Teacher III</t>
  </si>
  <si>
    <t>No. of Minutes</t>
  </si>
  <si>
    <t>MONDAY</t>
  </si>
  <si>
    <t>TUESDAY</t>
  </si>
  <si>
    <t>WEDNESDAY</t>
  </si>
  <si>
    <t>THURSDAY</t>
  </si>
  <si>
    <t>FRIDAY</t>
  </si>
  <si>
    <t>PRELIMINARY ACTIVITIES</t>
  </si>
  <si>
    <t>SHS-JULIA ORTIZ LUIS NATIONAL HIGH SCHOOL</t>
  </si>
  <si>
    <t>First Semester S.Y. 2022-2023</t>
  </si>
  <si>
    <t>FLAG CEREMONY/ROOM and GROUND IMPROVEMENT</t>
  </si>
  <si>
    <t>Grade 11-GAS</t>
  </si>
  <si>
    <t>LUNCH</t>
  </si>
  <si>
    <t>1:00 -2:00</t>
  </si>
  <si>
    <t>CLASS SCHEDULE</t>
  </si>
  <si>
    <t>Romeo DR. Crisostomo</t>
  </si>
  <si>
    <t>TEACHER'S SCHEDULE</t>
  </si>
  <si>
    <t>HGP* See Class Schedule</t>
  </si>
  <si>
    <t>Emp Tech</t>
  </si>
  <si>
    <t>21st Cen Lit</t>
  </si>
  <si>
    <t>MIL</t>
  </si>
  <si>
    <t>Philo</t>
  </si>
  <si>
    <t>Flag Retreat</t>
  </si>
  <si>
    <t>Master Teacher I</t>
  </si>
  <si>
    <t>Grade 12-STEM A</t>
  </si>
  <si>
    <t>Grade 12-HumSS A</t>
  </si>
  <si>
    <t>Grade 12-HumSS B</t>
  </si>
  <si>
    <t>Grade 12-HumSS D</t>
  </si>
  <si>
    <t>Grade 12-HumSS C</t>
  </si>
  <si>
    <t>Grade 12-AFA</t>
  </si>
  <si>
    <t>Master Teacher II</t>
  </si>
  <si>
    <t>Grade 12-SMAW</t>
  </si>
  <si>
    <t>Grade 11-COOKERY/GAS B</t>
  </si>
  <si>
    <t xml:space="preserve">GAS </t>
  </si>
  <si>
    <t xml:space="preserve">Grade 11-STEM </t>
  </si>
  <si>
    <t xml:space="preserve">STEM </t>
  </si>
  <si>
    <t>Grade 12 STEM B</t>
  </si>
  <si>
    <t>Grade 12-COOKERY/GAS B</t>
  </si>
  <si>
    <t>7:00-7:20</t>
  </si>
  <si>
    <t xml:space="preserve">7:20-8:10 </t>
  </si>
  <si>
    <t>9:00-9:30</t>
  </si>
  <si>
    <t>9:30-10:20</t>
  </si>
  <si>
    <t>10:20-11:10</t>
  </si>
  <si>
    <t>2:40-3:10</t>
  </si>
  <si>
    <t>3:10-4:00</t>
  </si>
  <si>
    <t xml:space="preserve">11:10-12:00 </t>
  </si>
  <si>
    <t>Room and Ground Improvement</t>
  </si>
  <si>
    <t>7:20-8:10</t>
  </si>
  <si>
    <t>8:10-9:00</t>
  </si>
  <si>
    <t xml:space="preserve">1:00-1:50 </t>
  </si>
  <si>
    <t xml:space="preserve">1:50-2:40 </t>
  </si>
  <si>
    <t>TOTAL</t>
  </si>
  <si>
    <t xml:space="preserve">8:10-9:00 </t>
  </si>
  <si>
    <t>8:10-9:00 8:40-9:30</t>
  </si>
  <si>
    <t>D Reyes</t>
  </si>
  <si>
    <t>ABM</t>
  </si>
  <si>
    <t>Fundamentals ABM 1</t>
  </si>
  <si>
    <t>Fundamentals ABM 2</t>
  </si>
  <si>
    <t>Business Finance</t>
  </si>
  <si>
    <t>BESR</t>
  </si>
  <si>
    <t>Busiiness Entrep. Sim</t>
  </si>
  <si>
    <t>Grade 11-H.E.</t>
  </si>
  <si>
    <t>6B</t>
  </si>
  <si>
    <t>11B</t>
  </si>
  <si>
    <t>12B</t>
  </si>
  <si>
    <t>9B</t>
  </si>
  <si>
    <t>4B</t>
  </si>
  <si>
    <t>14A</t>
  </si>
  <si>
    <t>COM Lab</t>
  </si>
  <si>
    <t>15A</t>
  </si>
  <si>
    <t>13B</t>
  </si>
  <si>
    <t>15B</t>
  </si>
  <si>
    <t>2B</t>
  </si>
  <si>
    <t>AGRI Lab</t>
  </si>
  <si>
    <t>13A</t>
  </si>
  <si>
    <t>Grade 11-SMAW</t>
  </si>
  <si>
    <t xml:space="preserve">Grade 12-GAS </t>
  </si>
  <si>
    <t>Grade 12 - H.E.</t>
  </si>
  <si>
    <t>Loads</t>
  </si>
  <si>
    <t xml:space="preserve"> 2:10-3:00</t>
  </si>
  <si>
    <t>1:50-2:40 2:10-3:00</t>
  </si>
  <si>
    <t>Teaching Loads</t>
  </si>
  <si>
    <t>P.E.</t>
  </si>
  <si>
    <t>HumSS E</t>
  </si>
  <si>
    <t xml:space="preserve">AGRI </t>
  </si>
  <si>
    <t>Grade 11 HumSS E</t>
  </si>
  <si>
    <t>Grade 11-AFA</t>
  </si>
  <si>
    <t xml:space="preserve">10:20-11:10 </t>
  </si>
  <si>
    <t>I De Leon</t>
  </si>
  <si>
    <t>P E</t>
  </si>
  <si>
    <t>T Maniquiz</t>
  </si>
  <si>
    <t>Hrs/day</t>
  </si>
  <si>
    <t>Min./wk</t>
  </si>
  <si>
    <t>AJD Almazan</t>
  </si>
  <si>
    <t>LG Guerrero</t>
  </si>
  <si>
    <t>A Tamondong</t>
  </si>
  <si>
    <t>3:00-4:00 3:10-4:00</t>
  </si>
  <si>
    <t>2:40-3:00</t>
  </si>
  <si>
    <t>1:50-2:50</t>
  </si>
  <si>
    <t>Vacant</t>
  </si>
  <si>
    <t>9:20-10:20 9:30-10:20</t>
  </si>
  <si>
    <t>10:20-11:10 10:20-11:20</t>
  </si>
  <si>
    <t>1:50-2:40 1:50-2:50</t>
  </si>
  <si>
    <t xml:space="preserve"> 8:10-9:10</t>
  </si>
  <si>
    <t>Lorenzana C</t>
  </si>
  <si>
    <t>Almazan AD</t>
  </si>
  <si>
    <t>Domingo V</t>
  </si>
  <si>
    <t>Orgil E</t>
  </si>
  <si>
    <t>Bartolome H</t>
  </si>
  <si>
    <t>Marcelo OJ</t>
  </si>
  <si>
    <t>Hierco M</t>
  </si>
  <si>
    <t>Crisostomo R</t>
  </si>
  <si>
    <t>Aguilar EM</t>
  </si>
  <si>
    <t>Sagnip M</t>
  </si>
  <si>
    <t>Mamaid MC</t>
  </si>
  <si>
    <t>Coronel R</t>
  </si>
  <si>
    <t>Tamondong A</t>
  </si>
  <si>
    <t>Carillo R</t>
  </si>
  <si>
    <t>Maniquiz T</t>
  </si>
  <si>
    <t>Guerrero LG</t>
  </si>
  <si>
    <t>Lorenzo C</t>
  </si>
  <si>
    <t>De Leon I</t>
  </si>
  <si>
    <t>Valdez R</t>
  </si>
  <si>
    <t>Estrella R</t>
  </si>
  <si>
    <t>Reyes D</t>
  </si>
  <si>
    <t>Gardoce J</t>
  </si>
  <si>
    <t>Sarmiento F</t>
  </si>
  <si>
    <t>Almadin H</t>
  </si>
  <si>
    <t>Mercado R</t>
  </si>
  <si>
    <t>Pascua I</t>
  </si>
  <si>
    <t xml:space="preserve"> First Semester S.Y. 2024-2025</t>
  </si>
  <si>
    <t>Name of Teacher:</t>
  </si>
  <si>
    <t>Designation:</t>
  </si>
  <si>
    <t>Advisory:</t>
  </si>
  <si>
    <t>Total No. of actual hours per week:</t>
  </si>
  <si>
    <t>Total No. of actual teaching load per week:</t>
  </si>
  <si>
    <t>Number of teaching preparation/s:</t>
  </si>
  <si>
    <t>Special Class Assignment/s:</t>
  </si>
  <si>
    <t>Checked and validated by:</t>
  </si>
  <si>
    <t>Teacher A</t>
  </si>
  <si>
    <t>Teacher B</t>
  </si>
  <si>
    <t>Teacher C</t>
  </si>
  <si>
    <t>Teacher E</t>
  </si>
  <si>
    <t>Science A</t>
  </si>
  <si>
    <t>Science B</t>
  </si>
  <si>
    <t>HumSS</t>
  </si>
  <si>
    <t>Teacher D</t>
  </si>
  <si>
    <t>Soc Sci</t>
  </si>
  <si>
    <t>SMAW</t>
  </si>
  <si>
    <t>English</t>
  </si>
  <si>
    <t>OJ Marcelo</t>
  </si>
  <si>
    <t>C Lorenzo</t>
  </si>
  <si>
    <t>R Coronel</t>
  </si>
  <si>
    <t>R Crisostomo</t>
  </si>
  <si>
    <t>MELANIE J. YAMBOT</t>
  </si>
  <si>
    <t>OIC Assistant Principal II</t>
  </si>
  <si>
    <t>MAUREEN A. HIERCO</t>
  </si>
  <si>
    <t>ROMNICK T. ESTRELLA</t>
  </si>
  <si>
    <t>11 HumSS C</t>
  </si>
  <si>
    <t>11 STEM</t>
  </si>
  <si>
    <t>11 HumSS A</t>
  </si>
  <si>
    <t>11 HumSS B</t>
  </si>
  <si>
    <t>11 humSS D</t>
  </si>
  <si>
    <t>MERRY CHRISTINE B. MAMAID</t>
  </si>
  <si>
    <t>11 HumSS E</t>
  </si>
  <si>
    <t>DARWIN E, REYES</t>
  </si>
  <si>
    <t>11 AGRI</t>
  </si>
  <si>
    <t>ANGEL JOY DIANNE ALMAZAN</t>
  </si>
  <si>
    <t>11 SMAW</t>
  </si>
  <si>
    <t>LOVELY GRACE GUERRERO</t>
  </si>
  <si>
    <t>11 ICT</t>
  </si>
  <si>
    <t>REALINE S VALDEZ</t>
  </si>
  <si>
    <t>11 GAS</t>
  </si>
  <si>
    <t>TERESITA N. MANIQUIZ</t>
  </si>
  <si>
    <t>11 COOKERY</t>
  </si>
  <si>
    <t>MARIEFE M SAGNIP</t>
  </si>
  <si>
    <t>International</t>
  </si>
  <si>
    <t>5A</t>
  </si>
  <si>
    <t>ROMARC B CORONEL</t>
  </si>
  <si>
    <t>ELENA MARIE A AGUILAR</t>
  </si>
  <si>
    <t>HAROLD A BARTOLOME,Ph,D,</t>
  </si>
  <si>
    <t>FERDINAND A SARMIENTO</t>
  </si>
  <si>
    <t xml:space="preserve">Teacher II </t>
  </si>
  <si>
    <t>HANNAH JHANE C ALMADIN</t>
  </si>
  <si>
    <t>IMEEE R PASCUA</t>
  </si>
  <si>
    <t xml:space="preserve"> Teacher II</t>
  </si>
  <si>
    <t>RICHARD T CARILLO</t>
  </si>
  <si>
    <t>IRENEO L DE LEON</t>
  </si>
  <si>
    <t>Grade 12-ICT</t>
  </si>
  <si>
    <t>RAYMOND DL MERCADO</t>
  </si>
  <si>
    <t>VICTORINO B DOMINGO</t>
  </si>
  <si>
    <t>JOY P GARDOCE</t>
  </si>
  <si>
    <t>12 STEM</t>
  </si>
  <si>
    <t>12 HumSS A</t>
  </si>
  <si>
    <t>12 HumSS B</t>
  </si>
  <si>
    <t>12 HumSS C</t>
  </si>
  <si>
    <t>12 HumSS D</t>
  </si>
  <si>
    <t>12 AGRI</t>
  </si>
  <si>
    <t>AFA</t>
  </si>
  <si>
    <t>12 SMAW</t>
  </si>
  <si>
    <t>I.A.</t>
  </si>
  <si>
    <t>12 ICT</t>
  </si>
  <si>
    <t>12 GAS</t>
  </si>
  <si>
    <t>12 COOKERY</t>
  </si>
  <si>
    <t>11 HumSS D</t>
  </si>
  <si>
    <t>11 Cookery</t>
  </si>
  <si>
    <t>12 Cookery</t>
  </si>
  <si>
    <t xml:space="preserve">Emp Tech </t>
  </si>
  <si>
    <t>Plus 11 P.E.</t>
  </si>
  <si>
    <t>Bread &amp; Pastry</t>
  </si>
  <si>
    <t>Research</t>
  </si>
  <si>
    <t>12 H.E.</t>
  </si>
  <si>
    <t>Physics</t>
  </si>
  <si>
    <t>Plus 10 P.E.</t>
  </si>
  <si>
    <t>11 H.E.</t>
  </si>
  <si>
    <t>CYRAH H LORENZO</t>
  </si>
  <si>
    <t>Co-Adviser:</t>
  </si>
  <si>
    <t>OLEN JOHN V MARCELO, Ph.D.</t>
  </si>
  <si>
    <t>ROMEO DR. CRISOSTOMO</t>
  </si>
  <si>
    <t>11 humSS A</t>
  </si>
  <si>
    <t>11 humSS C</t>
  </si>
  <si>
    <t>ACHRISTALYN A.TAMONDONG</t>
  </si>
  <si>
    <t>12  HumSS A</t>
  </si>
  <si>
    <t>Gurrero LG</t>
  </si>
  <si>
    <t>12 HumSS E</t>
  </si>
  <si>
    <t>1:50-2:40</t>
  </si>
  <si>
    <t>R Carillo</t>
  </si>
  <si>
    <t xml:space="preserve">1:50-2:50 </t>
  </si>
  <si>
    <t>H Bartolome</t>
  </si>
  <si>
    <t>Teacher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</si>
</sst>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sz val="11"/>
      <color theme="1"/>
      <name val="CA Chess"/>
      <family val="2"/>
    </font>
    <font>
      <sz val="11"/>
      <color theme="1"/>
      <name val="Arial Narrow"/>
      <family val="2"/>
    </font>
    <font>
      <sz val="10"/>
      <color theme="1"/>
      <name val="CA Chess"/>
      <family val="2"/>
    </font>
    <font>
      <sz val="12"/>
      <color theme="1"/>
      <name val="Arial Narrow"/>
      <family val="2"/>
    </font>
    <font>
      <vertAlign val="superscript"/>
      <sz val="11"/>
      <color theme="1"/>
      <name val="Arial Narrow"/>
      <family val="2"/>
    </font>
    <font>
      <b/>
      <sz val="12"/>
      <color theme="1"/>
      <name val="CA Chess"/>
      <family val="2"/>
    </font>
    <font>
      <b/>
      <sz val="11"/>
      <color theme="1"/>
      <name val="CA Chess"/>
      <family val="2"/>
    </font>
    <font>
      <sz val="9"/>
      <color theme="1"/>
      <name val="CA Chess"/>
      <family val="2"/>
    </font>
    <font>
      <b/>
      <sz val="11"/>
      <color theme="1"/>
      <name val="Calibri"/>
      <family val="2"/>
      <scheme val="minor"/>
    </font>
    <font>
      <sz val="11"/>
      <name val="CA Chess"/>
      <family val="2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0"/>
      <color theme="0"/>
      <name val="CA Chess"/>
      <family val="2"/>
    </font>
    <font>
      <sz val="10"/>
      <name val="CA Chess"/>
      <family val="2"/>
    </font>
    <font>
      <b/>
      <sz val="12"/>
      <name val="CA Chess"/>
      <family val="2"/>
    </font>
    <font>
      <sz val="11"/>
      <color theme="0"/>
      <name val="CA Chess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sz val="12"/>
      <color theme="1"/>
      <name val="CA Chess"/>
      <family val="2"/>
    </font>
    <font>
      <b/>
      <u/>
      <sz val="12"/>
      <color theme="1"/>
      <name val="CA Chess"/>
      <family val="2"/>
    </font>
    <font>
      <b/>
      <u/>
      <sz val="12"/>
      <name val="CA Chess"/>
      <family val="2"/>
    </font>
    <font>
      <sz val="8"/>
      <color theme="1"/>
      <name val="CA Chess"/>
      <family val="2"/>
    </font>
    <font>
      <b/>
      <u/>
      <sz val="11"/>
      <color theme="1"/>
      <name val="CA Chess"/>
      <family val="2"/>
    </font>
    <font>
      <b/>
      <sz val="10"/>
      <color theme="1"/>
      <name val="CA Chess"/>
      <family val="2"/>
    </font>
    <font>
      <b/>
      <sz val="9"/>
      <color theme="1"/>
      <name val="CA Chess"/>
      <family val="2"/>
    </font>
    <font>
      <b/>
      <sz val="11"/>
      <name val="CA Chess"/>
      <family val="2"/>
    </font>
    <font>
      <b/>
      <sz val="10"/>
      <name val="CA Chess"/>
      <family val="2"/>
    </font>
    <font>
      <u/>
      <sz val="9"/>
      <color theme="1"/>
      <name val="CA Chess"/>
      <family val="2"/>
    </font>
    <font>
      <b/>
      <u/>
      <sz val="9"/>
      <color theme="1"/>
      <name val="CA Chess"/>
      <family val="2"/>
    </font>
    <font>
      <b/>
      <u/>
      <sz val="11"/>
      <color theme="1"/>
      <name val="Calibri"/>
      <family val="2"/>
      <scheme val="minor"/>
    </font>
    <font>
      <sz val="9"/>
      <name val="CA Chess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shrinkToFit="1"/>
    </xf>
    <xf numFmtId="0" fontId="7" fillId="0" borderId="0" xfId="0" applyFont="1"/>
    <xf numFmtId="0" fontId="11" fillId="0" borderId="0" xfId="0" applyFont="1"/>
    <xf numFmtId="0" fontId="13" fillId="0" borderId="0" xfId="0" applyFont="1"/>
    <xf numFmtId="0" fontId="12" fillId="3" borderId="0" xfId="0" applyFont="1" applyFill="1"/>
    <xf numFmtId="0" fontId="3" fillId="0" borderId="0" xfId="0" applyFont="1" applyAlignment="1">
      <alignment horizontal="center" shrinkToFit="1"/>
    </xf>
    <xf numFmtId="0" fontId="15" fillId="2" borderId="0" xfId="0" applyFont="1" applyFill="1"/>
    <xf numFmtId="0" fontId="16" fillId="2" borderId="0" xfId="0" applyFont="1" applyFill="1"/>
    <xf numFmtId="0" fontId="0" fillId="0" borderId="0" xfId="0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" fillId="0" borderId="1" xfId="0" applyFont="1" applyBorder="1" applyAlignment="1">
      <alignment shrinkToFit="1"/>
    </xf>
    <xf numFmtId="0" fontId="3" fillId="2" borderId="1" xfId="0" applyFont="1" applyFill="1" applyBorder="1" applyAlignment="1">
      <alignment horizontal="center" shrinkToFit="1"/>
    </xf>
    <xf numFmtId="0" fontId="3" fillId="2" borderId="6" xfId="0" applyFont="1" applyFill="1" applyBorder="1" applyAlignment="1">
      <alignment horizontal="center" shrinkToFit="1"/>
    </xf>
    <xf numFmtId="0" fontId="3" fillId="3" borderId="6" xfId="0" applyFont="1" applyFill="1" applyBorder="1" applyAlignment="1">
      <alignment horizontal="center" shrinkToFit="1"/>
    </xf>
    <xf numFmtId="0" fontId="3" fillId="3" borderId="1" xfId="0" applyFont="1" applyFill="1" applyBorder="1" applyAlignment="1">
      <alignment horizontal="center" shrinkToFit="1"/>
    </xf>
    <xf numFmtId="0" fontId="3" fillId="4" borderId="1" xfId="0" applyFont="1" applyFill="1" applyBorder="1" applyAlignment="1">
      <alignment horizontal="center" shrinkToFit="1"/>
    </xf>
    <xf numFmtId="0" fontId="1" fillId="0" borderId="0" xfId="0" applyFont="1" applyAlignment="1">
      <alignment horizontal="center" vertical="center" shrinkToFit="1"/>
    </xf>
    <xf numFmtId="0" fontId="3" fillId="6" borderId="1" xfId="0" applyFont="1" applyFill="1" applyBorder="1" applyAlignment="1">
      <alignment horizontal="center" shrinkToFit="1"/>
    </xf>
    <xf numFmtId="0" fontId="3" fillId="6" borderId="6" xfId="0" applyFont="1" applyFill="1" applyBorder="1" applyAlignment="1">
      <alignment horizontal="center" shrinkToFit="1"/>
    </xf>
    <xf numFmtId="0" fontId="3" fillId="5" borderId="1" xfId="0" applyFont="1" applyFill="1" applyBorder="1" applyAlignment="1">
      <alignment horizontal="center" shrinkToFit="1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22" fillId="0" borderId="0" xfId="0" applyFont="1" applyAlignment="1">
      <alignment vertical="center"/>
    </xf>
    <xf numFmtId="0" fontId="0" fillId="0" borderId="13" xfId="0" applyBorder="1" applyAlignment="1">
      <alignment vertical="center"/>
    </xf>
    <xf numFmtId="0" fontId="3" fillId="8" borderId="1" xfId="0" applyFont="1" applyFill="1" applyBorder="1" applyAlignment="1">
      <alignment horizontal="center" shrinkToFit="1"/>
    </xf>
    <xf numFmtId="0" fontId="3" fillId="9" borderId="1" xfId="0" applyFont="1" applyFill="1" applyBorder="1" applyAlignment="1">
      <alignment horizontal="center" shrinkToFit="1"/>
    </xf>
    <xf numFmtId="0" fontId="3" fillId="9" borderId="6" xfId="0" applyFont="1" applyFill="1" applyBorder="1" applyAlignment="1">
      <alignment horizontal="center" shrinkToFit="1"/>
    </xf>
    <xf numFmtId="0" fontId="3" fillId="10" borderId="1" xfId="0" applyFont="1" applyFill="1" applyBorder="1" applyAlignment="1">
      <alignment horizontal="center" shrinkToFit="1"/>
    </xf>
    <xf numFmtId="0" fontId="1" fillId="6" borderId="1" xfId="0" applyFont="1" applyFill="1" applyBorder="1" applyAlignment="1">
      <alignment shrinkToFit="1"/>
    </xf>
    <xf numFmtId="0" fontId="3" fillId="8" borderId="3" xfId="0" applyFont="1" applyFill="1" applyBorder="1" applyAlignment="1">
      <alignment horizontal="center" shrinkToFit="1"/>
    </xf>
    <xf numFmtId="0" fontId="3" fillId="8" borderId="6" xfId="0" applyFont="1" applyFill="1" applyBorder="1" applyAlignment="1">
      <alignment horizontal="center" shrinkToFit="1"/>
    </xf>
    <xf numFmtId="0" fontId="3" fillId="2" borderId="3" xfId="0" applyFont="1" applyFill="1" applyBorder="1" applyAlignment="1">
      <alignment horizontal="center" shrinkToFit="1"/>
    </xf>
    <xf numFmtId="0" fontId="3" fillId="11" borderId="1" xfId="0" applyFont="1" applyFill="1" applyBorder="1" applyAlignment="1">
      <alignment horizontal="center" shrinkToFit="1"/>
    </xf>
    <xf numFmtId="0" fontId="3" fillId="11" borderId="6" xfId="0" applyFont="1" applyFill="1" applyBorder="1" applyAlignment="1">
      <alignment horizontal="center" shrinkToFit="1"/>
    </xf>
    <xf numFmtId="0" fontId="1" fillId="6" borderId="1" xfId="0" applyFont="1" applyFill="1" applyBorder="1" applyAlignment="1">
      <alignment horizontal="center" vertical="center" shrinkToFit="1"/>
    </xf>
    <xf numFmtId="0" fontId="1" fillId="0" borderId="0" xfId="0" applyFont="1" applyAlignment="1">
      <alignment shrinkToFit="1"/>
    </xf>
    <xf numFmtId="0" fontId="1" fillId="0" borderId="0" xfId="0" applyFont="1" applyAlignment="1">
      <alignment horizont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left" shrinkToFit="1"/>
    </xf>
    <xf numFmtId="0" fontId="1" fillId="0" borderId="0" xfId="0" applyFont="1" applyAlignment="1">
      <alignment horizontal="right" shrinkToFit="1"/>
    </xf>
    <xf numFmtId="0" fontId="6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1" fillId="0" borderId="1" xfId="0" applyFont="1" applyBorder="1" applyAlignment="1">
      <alignment horizontal="center" shrinkToFit="1"/>
    </xf>
    <xf numFmtId="0" fontId="3" fillId="0" borderId="1" xfId="0" applyFont="1" applyBorder="1" applyAlignment="1">
      <alignment horizontal="center" vertical="top" shrinkToFit="1"/>
    </xf>
    <xf numFmtId="0" fontId="1" fillId="3" borderId="15" xfId="0" applyFont="1" applyFill="1" applyBorder="1" applyAlignment="1">
      <alignment horizontal="center" shrinkToFit="1"/>
    </xf>
    <xf numFmtId="0" fontId="1" fillId="0" borderId="6" xfId="0" applyFont="1" applyBorder="1" applyAlignment="1">
      <alignment horizontal="center" shrinkToFit="1"/>
    </xf>
    <xf numFmtId="0" fontId="7" fillId="5" borderId="1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3" fillId="6" borderId="2" xfId="0" applyFont="1" applyFill="1" applyBorder="1" applyAlignment="1">
      <alignment horizontal="center" vertical="center" shrinkToFit="1"/>
    </xf>
    <xf numFmtId="0" fontId="3" fillId="6" borderId="12" xfId="0" applyFont="1" applyFill="1" applyBorder="1" applyAlignment="1">
      <alignment horizontal="center" vertical="center" shrinkToFit="1"/>
    </xf>
    <xf numFmtId="0" fontId="3" fillId="6" borderId="3" xfId="0" applyFont="1" applyFill="1" applyBorder="1" applyAlignment="1">
      <alignment horizontal="center" vertical="center" shrinkToFit="1"/>
    </xf>
    <xf numFmtId="0" fontId="3" fillId="4" borderId="6" xfId="0" applyFont="1" applyFill="1" applyBorder="1" applyAlignment="1">
      <alignment horizontal="center" shrinkToFit="1"/>
    </xf>
    <xf numFmtId="0" fontId="0" fillId="6" borderId="0" xfId="0" applyFill="1"/>
    <xf numFmtId="0" fontId="1" fillId="6" borderId="0" xfId="0" applyFont="1" applyFill="1" applyAlignment="1">
      <alignment horizontal="center" shrinkToFit="1"/>
    </xf>
    <xf numFmtId="0" fontId="1" fillId="6" borderId="0" xfId="0" applyFont="1" applyFill="1" applyAlignment="1">
      <alignment shrinkToFit="1"/>
    </xf>
    <xf numFmtId="0" fontId="3" fillId="6" borderId="0" xfId="0" applyFont="1" applyFill="1" applyAlignment="1">
      <alignment horizontal="center" shrinkToFit="1"/>
    </xf>
    <xf numFmtId="0" fontId="6" fillId="6" borderId="0" xfId="0" applyFont="1" applyFill="1" applyAlignment="1">
      <alignment shrinkToFit="1"/>
    </xf>
    <xf numFmtId="0" fontId="6" fillId="6" borderId="0" xfId="0" applyFont="1" applyFill="1" applyAlignment="1">
      <alignment horizontal="center" shrinkToFi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0" fillId="6" borderId="0" xfId="0" applyFont="1" applyFill="1" applyAlignment="1">
      <alignment shrinkToFit="1"/>
    </xf>
    <xf numFmtId="0" fontId="17" fillId="6" borderId="0" xfId="0" applyFont="1" applyFill="1" applyAlignment="1">
      <alignment horizontal="center" shrinkToFit="1"/>
    </xf>
    <xf numFmtId="0" fontId="20" fillId="6" borderId="0" xfId="0" applyFont="1" applyFill="1" applyAlignment="1">
      <alignment horizontal="center" vertical="center" shrinkToFit="1"/>
    </xf>
    <xf numFmtId="0" fontId="18" fillId="6" borderId="1" xfId="0" applyFont="1" applyFill="1" applyBorder="1" applyAlignment="1">
      <alignment horizontal="center" shrinkToFit="1"/>
    </xf>
    <xf numFmtId="0" fontId="18" fillId="5" borderId="1" xfId="0" applyFont="1" applyFill="1" applyBorder="1" applyAlignment="1">
      <alignment horizontal="center" shrinkToFit="1"/>
    </xf>
    <xf numFmtId="0" fontId="10" fillId="6" borderId="1" xfId="0" applyFont="1" applyFill="1" applyBorder="1" applyAlignment="1">
      <alignment shrinkToFit="1"/>
    </xf>
    <xf numFmtId="0" fontId="18" fillId="5" borderId="1" xfId="0" applyFont="1" applyFill="1" applyBorder="1" applyAlignment="1">
      <alignment horizontal="center" vertical="center" shrinkToFit="1"/>
    </xf>
    <xf numFmtId="0" fontId="18" fillId="6" borderId="1" xfId="0" applyFont="1" applyFill="1" applyBorder="1" applyAlignment="1">
      <alignment horizontal="center" vertical="center" shrinkToFit="1"/>
    </xf>
    <xf numFmtId="0" fontId="8" fillId="6" borderId="1" xfId="0" applyFont="1" applyFill="1" applyBorder="1" applyAlignment="1">
      <alignment horizontal="center" shrinkToFit="1"/>
    </xf>
    <xf numFmtId="0" fontId="1" fillId="0" borderId="4" xfId="0" applyFont="1" applyBorder="1" applyAlignment="1">
      <alignment shrinkToFit="1"/>
    </xf>
    <xf numFmtId="0" fontId="0" fillId="0" borderId="1" xfId="0" applyBorder="1"/>
    <xf numFmtId="0" fontId="10" fillId="6" borderId="1" xfId="0" applyFont="1" applyFill="1" applyBorder="1" applyAlignment="1">
      <alignment horizontal="center" shrinkToFit="1"/>
    </xf>
    <xf numFmtId="2" fontId="30" fillId="5" borderId="1" xfId="0" applyNumberFormat="1" applyFont="1" applyFill="1" applyBorder="1" applyAlignment="1">
      <alignment horizontal="center" vertical="center"/>
    </xf>
    <xf numFmtId="20" fontId="0" fillId="0" borderId="0" xfId="0" applyNumberFormat="1"/>
    <xf numFmtId="20" fontId="0" fillId="2" borderId="0" xfId="0" applyNumberFormat="1" applyFill="1"/>
    <xf numFmtId="0" fontId="3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9" fillId="0" borderId="0" xfId="0" applyFont="1"/>
    <xf numFmtId="0" fontId="8" fillId="0" borderId="0" xfId="0" applyFont="1" applyAlignment="1">
      <alignment shrinkToFit="1"/>
    </xf>
    <xf numFmtId="0" fontId="3" fillId="0" borderId="0" xfId="0" applyFont="1" applyAlignment="1">
      <alignment shrinkToFit="1"/>
    </xf>
    <xf numFmtId="0" fontId="36" fillId="5" borderId="0" xfId="0" applyFont="1" applyFill="1" applyAlignment="1">
      <alignment horizontal="center"/>
    </xf>
    <xf numFmtId="2" fontId="35" fillId="5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top" wrapText="1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8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5" borderId="0" xfId="0" applyFill="1"/>
    <xf numFmtId="0" fontId="17" fillId="6" borderId="1" xfId="0" applyFont="1" applyFill="1" applyBorder="1" applyAlignment="1">
      <alignment horizontal="center" shrinkToFit="1"/>
    </xf>
    <xf numFmtId="0" fontId="18" fillId="0" borderId="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3" fillId="6" borderId="2" xfId="0" applyFont="1" applyFill="1" applyBorder="1" applyAlignment="1">
      <alignment horizontal="center" vertical="center" wrapText="1" shrinkToFit="1"/>
    </xf>
    <xf numFmtId="0" fontId="3" fillId="6" borderId="3" xfId="0" applyFont="1" applyFill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3" xfId="0" applyFont="1" applyBorder="1" applyAlignment="1">
      <alignment horizontal="center" vertical="center" wrapText="1" shrinkToFit="1"/>
    </xf>
    <xf numFmtId="0" fontId="18" fillId="6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wrapText="1" shrinkToFit="1"/>
    </xf>
    <xf numFmtId="0" fontId="18" fillId="0" borderId="3" xfId="0" applyFont="1" applyBorder="1" applyAlignment="1">
      <alignment horizontal="center" vertical="center" wrapText="1" shrinkToFit="1"/>
    </xf>
    <xf numFmtId="0" fontId="18" fillId="6" borderId="2" xfId="0" applyFont="1" applyFill="1" applyBorder="1" applyAlignment="1">
      <alignment horizontal="center" vertical="center" wrapText="1" shrinkToFit="1"/>
    </xf>
    <xf numFmtId="0" fontId="18" fillId="6" borderId="3" xfId="0" applyFont="1" applyFill="1" applyBorder="1" applyAlignment="1">
      <alignment horizontal="center" vertical="center" wrapText="1" shrinkToFit="1"/>
    </xf>
    <xf numFmtId="0" fontId="1" fillId="0" borderId="0" xfId="0" applyFont="1" applyAlignment="1">
      <alignment horizontal="left" shrinkToFit="1"/>
    </xf>
    <xf numFmtId="0" fontId="26" fillId="0" borderId="0" xfId="0" applyFont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33" fillId="5" borderId="5" xfId="0" applyFont="1" applyFill="1" applyBorder="1" applyAlignment="1">
      <alignment horizontal="center" vertical="center" shrinkToFit="1"/>
    </xf>
    <xf numFmtId="0" fontId="33" fillId="5" borderId="6" xfId="0" applyFont="1" applyFill="1" applyBorder="1" applyAlignment="1">
      <alignment horizontal="center" vertical="center" shrinkToFit="1"/>
    </xf>
    <xf numFmtId="0" fontId="32" fillId="5" borderId="1" xfId="0" applyFont="1" applyFill="1" applyBorder="1" applyAlignment="1">
      <alignment horizontal="center" shrinkToFit="1"/>
    </xf>
    <xf numFmtId="0" fontId="3" fillId="6" borderId="2" xfId="0" applyFont="1" applyFill="1" applyBorder="1" applyAlignment="1">
      <alignment horizontal="center" vertical="center" shrinkToFit="1"/>
    </xf>
    <xf numFmtId="0" fontId="3" fillId="6" borderId="12" xfId="0" applyFont="1" applyFill="1" applyBorder="1" applyAlignment="1">
      <alignment horizontal="center" vertical="center" shrinkToFit="1"/>
    </xf>
    <xf numFmtId="0" fontId="3" fillId="6" borderId="3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7" fillId="5" borderId="4" xfId="0" applyFont="1" applyFill="1" applyBorder="1" applyAlignment="1">
      <alignment horizontal="center" shrinkToFit="1"/>
    </xf>
    <xf numFmtId="0" fontId="7" fillId="5" borderId="5" xfId="0" applyFont="1" applyFill="1" applyBorder="1" applyAlignment="1">
      <alignment horizontal="center" shrinkToFit="1"/>
    </xf>
    <xf numFmtId="0" fontId="7" fillId="5" borderId="6" xfId="0" applyFont="1" applyFill="1" applyBorder="1" applyAlignment="1">
      <alignment horizont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shrinkToFit="1"/>
    </xf>
    <xf numFmtId="0" fontId="27" fillId="0" borderId="0" xfId="0" applyFont="1" applyAlignment="1">
      <alignment horizontal="center" shrinkToFit="1"/>
    </xf>
    <xf numFmtId="0" fontId="25" fillId="6" borderId="2" xfId="0" applyFont="1" applyFill="1" applyBorder="1" applyAlignment="1">
      <alignment horizontal="center" vertical="center" shrinkToFit="1"/>
    </xf>
    <xf numFmtId="0" fontId="25" fillId="6" borderId="12" xfId="0" applyFont="1" applyFill="1" applyBorder="1" applyAlignment="1">
      <alignment horizontal="center" vertical="center" shrinkToFit="1"/>
    </xf>
    <xf numFmtId="0" fontId="25" fillId="6" borderId="3" xfId="0" applyFont="1" applyFill="1" applyBorder="1" applyAlignment="1">
      <alignment horizontal="center" vertical="center" shrinkToFit="1"/>
    </xf>
    <xf numFmtId="0" fontId="1" fillId="3" borderId="15" xfId="0" applyFont="1" applyFill="1" applyBorder="1" applyAlignment="1">
      <alignment horizontal="center" shrinkToFit="1"/>
    </xf>
    <xf numFmtId="0" fontId="8" fillId="0" borderId="2" xfId="0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 wrapText="1" shrinkToFit="1"/>
    </xf>
    <xf numFmtId="0" fontId="1" fillId="0" borderId="0" xfId="0" applyFont="1" applyAlignment="1">
      <alignment horizontal="left" vertical="center" shrinkToFit="1"/>
    </xf>
    <xf numFmtId="0" fontId="10" fillId="6" borderId="0" xfId="0" applyFont="1" applyFill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shrinkToFit="1"/>
    </xf>
    <xf numFmtId="0" fontId="1" fillId="2" borderId="15" xfId="0" applyFont="1" applyFill="1" applyBorder="1" applyAlignment="1">
      <alignment horizontal="center" shrinkToFit="1"/>
    </xf>
    <xf numFmtId="0" fontId="1" fillId="0" borderId="0" xfId="0" applyFont="1" applyAlignment="1">
      <alignment horizontal="center" vertical="center" shrinkToFit="1"/>
    </xf>
    <xf numFmtId="0" fontId="14" fillId="5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5" borderId="1" xfId="0" applyFont="1" applyFill="1" applyBorder="1" applyAlignment="1">
      <alignment horizontal="center" vertical="center" textRotation="90"/>
    </xf>
    <xf numFmtId="0" fontId="0" fillId="5" borderId="1" xfId="0" applyFill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hidden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9" xfId="0" applyFont="1" applyBorder="1" applyAlignment="1">
      <alignment horizontal="center" vertical="center" textRotation="90" wrapText="1"/>
    </xf>
    <xf numFmtId="0" fontId="9" fillId="0" borderId="10" xfId="0" applyFont="1" applyBorder="1" applyAlignment="1">
      <alignment horizontal="center" vertical="center" textRotation="90" wrapText="1"/>
    </xf>
    <xf numFmtId="0" fontId="9" fillId="0" borderId="1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 textRotation="90" wrapText="1"/>
    </xf>
    <xf numFmtId="0" fontId="9" fillId="5" borderId="9" xfId="0" applyFont="1" applyFill="1" applyBorder="1" applyAlignment="1">
      <alignment horizontal="center" vertical="center" textRotation="90" wrapText="1"/>
    </xf>
    <xf numFmtId="0" fontId="9" fillId="5" borderId="10" xfId="0" applyFont="1" applyFill="1" applyBorder="1" applyAlignment="1">
      <alignment horizontal="center" vertical="center" textRotation="90" wrapText="1"/>
    </xf>
    <xf numFmtId="0" fontId="9" fillId="5" borderId="1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2" fillId="0" borderId="1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9" fillId="5" borderId="2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shrinkToFit="1"/>
    </xf>
    <xf numFmtId="0" fontId="22" fillId="0" borderId="5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shrinkToFit="1"/>
    </xf>
    <xf numFmtId="0" fontId="24" fillId="7" borderId="5" xfId="0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textRotation="90" wrapText="1"/>
    </xf>
    <xf numFmtId="0" fontId="9" fillId="0" borderId="12" xfId="0" applyFont="1" applyBorder="1" applyAlignment="1">
      <alignment horizontal="center" vertical="center" textRotation="90" wrapText="1"/>
    </xf>
    <xf numFmtId="0" fontId="9" fillId="0" borderId="3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textRotation="90" wrapText="1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textRotation="90" wrapText="1"/>
    </xf>
    <xf numFmtId="0" fontId="9" fillId="5" borderId="12" xfId="0" applyFont="1" applyFill="1" applyBorder="1" applyAlignment="1">
      <alignment horizontal="center" vertical="center" textRotation="90" wrapText="1"/>
    </xf>
    <xf numFmtId="0" fontId="9" fillId="5" borderId="3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center" shrinkToFit="1"/>
    </xf>
    <xf numFmtId="0" fontId="1" fillId="6" borderId="4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8" fillId="2" borderId="2" xfId="0" applyFont="1" applyFill="1" applyBorder="1" applyAlignment="1">
      <alignment horizontal="center" vertical="center" wrapText="1" shrinkToFit="1"/>
    </xf>
    <xf numFmtId="0" fontId="8" fillId="2" borderId="3" xfId="0" applyFont="1" applyFill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shrinkToFit="1"/>
    </xf>
    <xf numFmtId="0" fontId="10" fillId="6" borderId="4" xfId="0" applyFont="1" applyFill="1" applyBorder="1" applyAlignment="1">
      <alignment horizontal="center" shrinkToFit="1"/>
    </xf>
    <xf numFmtId="0" fontId="10" fillId="6" borderId="6" xfId="0" applyFont="1" applyFill="1" applyBorder="1" applyAlignment="1">
      <alignment horizontal="center" shrinkToFit="1"/>
    </xf>
    <xf numFmtId="0" fontId="29" fillId="0" borderId="0" xfId="0" applyFont="1" applyAlignment="1">
      <alignment horizontal="center" shrinkToFit="1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shrinkToFit="1"/>
    </xf>
    <xf numFmtId="0" fontId="10" fillId="12" borderId="6" xfId="0" applyFont="1" applyFill="1" applyBorder="1" applyAlignment="1">
      <alignment horizontal="center" shrinkToFit="1"/>
    </xf>
    <xf numFmtId="0" fontId="10" fillId="2" borderId="4" xfId="0" applyFont="1" applyFill="1" applyBorder="1" applyAlignment="1">
      <alignment horizontal="center" shrinkToFit="1"/>
    </xf>
    <xf numFmtId="0" fontId="10" fillId="2" borderId="6" xfId="0" applyFont="1" applyFill="1" applyBorder="1" applyAlignment="1">
      <alignment horizontal="center" shrinkToFit="1"/>
    </xf>
    <xf numFmtId="0" fontId="1" fillId="0" borderId="0" xfId="0" applyFont="1" applyAlignment="1">
      <alignment horizontal="left"/>
    </xf>
    <xf numFmtId="0" fontId="1" fillId="0" borderId="0" xfId="0" applyFont="1"/>
    <xf numFmtId="0" fontId="8" fillId="6" borderId="2" xfId="0" applyFont="1" applyFill="1" applyBorder="1" applyAlignment="1">
      <alignment horizontal="center" vertical="center" shrinkToFit="1"/>
    </xf>
    <xf numFmtId="0" fontId="8" fillId="6" borderId="3" xfId="0" applyFont="1" applyFill="1" applyBorder="1" applyAlignment="1">
      <alignment horizontal="center" vertical="center" shrinkToFit="1"/>
    </xf>
    <xf numFmtId="0" fontId="8" fillId="6" borderId="2" xfId="0" applyFont="1" applyFill="1" applyBorder="1" applyAlignment="1">
      <alignment horizontal="center" vertical="center" wrapText="1" shrinkToFit="1"/>
    </xf>
    <xf numFmtId="0" fontId="8" fillId="6" borderId="3" xfId="0" applyFont="1" applyFill="1" applyBorder="1" applyAlignment="1">
      <alignment horizontal="center" vertical="center" wrapText="1" shrinkToFit="1"/>
    </xf>
    <xf numFmtId="0" fontId="1" fillId="6" borderId="15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28" fillId="0" borderId="2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top" wrapText="1"/>
    </xf>
    <xf numFmtId="0" fontId="3" fillId="0" borderId="0" xfId="0" applyFont="1"/>
    <xf numFmtId="0" fontId="10" fillId="6" borderId="4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10" fillId="9" borderId="6" xfId="0" applyFont="1" applyFill="1" applyBorder="1" applyAlignment="1">
      <alignment horizontal="center"/>
    </xf>
    <xf numFmtId="0" fontId="37" fillId="6" borderId="4" xfId="0" applyFont="1" applyFill="1" applyBorder="1" applyAlignment="1">
      <alignment horizontal="center"/>
    </xf>
    <xf numFmtId="0" fontId="37" fillId="6" borderId="6" xfId="0" applyFont="1" applyFill="1" applyBorder="1" applyAlignment="1">
      <alignment horizontal="center"/>
    </xf>
    <xf numFmtId="0" fontId="37" fillId="6" borderId="4" xfId="0" applyFont="1" applyFill="1" applyBorder="1" applyAlignment="1">
      <alignment horizontal="center" shrinkToFit="1"/>
    </xf>
    <xf numFmtId="0" fontId="37" fillId="6" borderId="6" xfId="0" applyFont="1" applyFill="1" applyBorder="1" applyAlignment="1">
      <alignment horizontal="center" shrinkToFit="1"/>
    </xf>
    <xf numFmtId="0" fontId="10" fillId="12" borderId="4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42136</xdr:colOff>
      <xdr:row>0</xdr:row>
      <xdr:rowOff>41198</xdr:rowOff>
    </xdr:from>
    <xdr:to>
      <xdr:col>1</xdr:col>
      <xdr:colOff>238588</xdr:colOff>
      <xdr:row>4</xdr:row>
      <xdr:rowOff>107619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36" y="41198"/>
          <a:ext cx="839699" cy="820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29766</xdr:colOff>
      <xdr:row>43</xdr:row>
      <xdr:rowOff>29765</xdr:rowOff>
    </xdr:from>
    <xdr:to>
      <xdr:col>1</xdr:col>
      <xdr:colOff>215446</xdr:colOff>
      <xdr:row>47</xdr:row>
      <xdr:rowOff>113392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6" y="7989944"/>
          <a:ext cx="968091" cy="866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123702</xdr:colOff>
      <xdr:row>43</xdr:row>
      <xdr:rowOff>91723</xdr:rowOff>
    </xdr:from>
    <xdr:to>
      <xdr:col>15</xdr:col>
      <xdr:colOff>836373</xdr:colOff>
      <xdr:row>47</xdr:row>
      <xdr:rowOff>56696</xdr:rowOff>
    </xdr:to>
    <xdr:pic>
      <xdr:nvPicPr>
        <xdr:cNvPr id="6" name="Picture 35" descr="New-DepEd-Official-Sea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6494" y="7761204"/>
          <a:ext cx="712671" cy="71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29766</xdr:colOff>
      <xdr:row>86</xdr:row>
      <xdr:rowOff>28829</xdr:rowOff>
    </xdr:from>
    <xdr:to>
      <xdr:col>1</xdr:col>
      <xdr:colOff>122238</xdr:colOff>
      <xdr:row>90</xdr:row>
      <xdr:rowOff>64945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6" y="28829"/>
          <a:ext cx="874241" cy="799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441561</xdr:colOff>
      <xdr:row>86</xdr:row>
      <xdr:rowOff>86914</xdr:rowOff>
    </xdr:from>
    <xdr:to>
      <xdr:col>13</xdr:col>
      <xdr:colOff>999419</xdr:colOff>
      <xdr:row>89</xdr:row>
      <xdr:rowOff>186134</xdr:rowOff>
    </xdr:to>
    <xdr:pic>
      <xdr:nvPicPr>
        <xdr:cNvPr id="9" name="Picture 35" descr="New-DepEd-Official-Sea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1" y="86914"/>
          <a:ext cx="557858" cy="665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441561</xdr:colOff>
      <xdr:row>127</xdr:row>
      <xdr:rowOff>86914</xdr:rowOff>
    </xdr:from>
    <xdr:to>
      <xdr:col>13</xdr:col>
      <xdr:colOff>999419</xdr:colOff>
      <xdr:row>130</xdr:row>
      <xdr:rowOff>186134</xdr:rowOff>
    </xdr:to>
    <xdr:pic>
      <xdr:nvPicPr>
        <xdr:cNvPr id="12" name="Picture 35" descr="New-DepEd-Official-Seal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1" y="86914"/>
          <a:ext cx="557858" cy="665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29766</xdr:colOff>
      <xdr:row>127</xdr:row>
      <xdr:rowOff>29766</xdr:rowOff>
    </xdr:from>
    <xdr:to>
      <xdr:col>1</xdr:col>
      <xdr:colOff>122238</xdr:colOff>
      <xdr:row>131</xdr:row>
      <xdr:rowOff>65882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6" y="7811511"/>
          <a:ext cx="874241" cy="799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426117</xdr:colOff>
      <xdr:row>127</xdr:row>
      <xdr:rowOff>29873</xdr:rowOff>
    </xdr:from>
    <xdr:to>
      <xdr:col>13</xdr:col>
      <xdr:colOff>1007537</xdr:colOff>
      <xdr:row>130</xdr:row>
      <xdr:rowOff>129094</xdr:rowOff>
    </xdr:to>
    <xdr:pic>
      <xdr:nvPicPr>
        <xdr:cNvPr id="15" name="Picture 35" descr="New-DepEd-Official-Seal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0527" y="7811618"/>
          <a:ext cx="581420" cy="665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139162</xdr:colOff>
      <xdr:row>0</xdr:row>
      <xdr:rowOff>57726</xdr:rowOff>
    </xdr:from>
    <xdr:to>
      <xdr:col>15</xdr:col>
      <xdr:colOff>766948</xdr:colOff>
      <xdr:row>3</xdr:row>
      <xdr:rowOff>193797</xdr:rowOff>
    </xdr:to>
    <xdr:pic>
      <xdr:nvPicPr>
        <xdr:cNvPr id="17" name="Picture 35" descr="New-DepEd-Official-Seal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1954" y="57726"/>
          <a:ext cx="627786" cy="6927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53068</xdr:colOff>
      <xdr:row>0</xdr:row>
      <xdr:rowOff>42021</xdr:rowOff>
    </xdr:from>
    <xdr:to>
      <xdr:col>1</xdr:col>
      <xdr:colOff>422331</xdr:colOff>
      <xdr:row>4</xdr:row>
      <xdr:rowOff>119328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68" y="42021"/>
          <a:ext cx="985587" cy="861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435769</xdr:colOff>
      <xdr:row>0</xdr:row>
      <xdr:rowOff>48604</xdr:rowOff>
    </xdr:from>
    <xdr:to>
      <xdr:col>10</xdr:col>
      <xdr:colOff>453208</xdr:colOff>
      <xdr:row>4</xdr:row>
      <xdr:rowOff>114656</xdr:rowOff>
    </xdr:to>
    <xdr:pic>
      <xdr:nvPicPr>
        <xdr:cNvPr id="3" name="Picture 2" descr="C:\Users\edison\Downloads\deplogo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082" y="48604"/>
          <a:ext cx="743721" cy="839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514350</xdr:colOff>
      <xdr:row>0</xdr:row>
      <xdr:rowOff>47064</xdr:rowOff>
    </xdr:from>
    <xdr:to>
      <xdr:col>11</xdr:col>
      <xdr:colOff>588221</xdr:colOff>
      <xdr:row>3</xdr:row>
      <xdr:rowOff>189939</xdr:rowOff>
    </xdr:to>
    <xdr:pic>
      <xdr:nvPicPr>
        <xdr:cNvPr id="4" name="Picture 35" descr="New-DepEd-Official-Seal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1997" y="47064"/>
          <a:ext cx="788246" cy="731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19050</xdr:colOff>
      <xdr:row>0</xdr:row>
      <xdr:rowOff>60231</xdr:rowOff>
    </xdr:from>
    <xdr:to>
      <xdr:col>13</xdr:col>
      <xdr:colOff>388313</xdr:colOff>
      <xdr:row>4</xdr:row>
      <xdr:rowOff>137538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2488" y="60231"/>
          <a:ext cx="1071731" cy="851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400050</xdr:colOff>
      <xdr:row>0</xdr:row>
      <xdr:rowOff>51546</xdr:rowOff>
    </xdr:from>
    <xdr:to>
      <xdr:col>22</xdr:col>
      <xdr:colOff>413521</xdr:colOff>
      <xdr:row>4</xdr:row>
      <xdr:rowOff>108073</xdr:rowOff>
    </xdr:to>
    <xdr:pic>
      <xdr:nvPicPr>
        <xdr:cNvPr id="6" name="Picture 5" descr="C:\Users\edison\Downloads\deplogo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7771" y="51546"/>
          <a:ext cx="741854" cy="840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514350</xdr:colOff>
      <xdr:row>0</xdr:row>
      <xdr:rowOff>47064</xdr:rowOff>
    </xdr:from>
    <xdr:to>
      <xdr:col>23</xdr:col>
      <xdr:colOff>588221</xdr:colOff>
      <xdr:row>3</xdr:row>
      <xdr:rowOff>189939</xdr:rowOff>
    </xdr:to>
    <xdr:pic>
      <xdr:nvPicPr>
        <xdr:cNvPr id="7" name="Picture 35" descr="New-DepEd-Official-Seal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0453" y="47064"/>
          <a:ext cx="802253" cy="731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94</xdr:col>
      <xdr:colOff>514350</xdr:colOff>
      <xdr:row>1</xdr:row>
      <xdr:rowOff>19050</xdr:rowOff>
    </xdr:from>
    <xdr:to>
      <xdr:col>95</xdr:col>
      <xdr:colOff>588221</xdr:colOff>
      <xdr:row>4</xdr:row>
      <xdr:rowOff>161925</xdr:rowOff>
    </xdr:to>
    <xdr:pic>
      <xdr:nvPicPr>
        <xdr:cNvPr id="8" name="Picture 35" descr="New-DepEd-Official-Seal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45325" y="209550"/>
          <a:ext cx="683471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117</xdr:col>
      <xdr:colOff>400050</xdr:colOff>
      <xdr:row>0</xdr:row>
      <xdr:rowOff>19993</xdr:rowOff>
    </xdr:from>
    <xdr:to>
      <xdr:col>118</xdr:col>
      <xdr:colOff>413521</xdr:colOff>
      <xdr:row>4</xdr:row>
      <xdr:rowOff>30957</xdr:rowOff>
    </xdr:to>
    <xdr:pic>
      <xdr:nvPicPr>
        <xdr:cNvPr id="9" name="Picture 8" descr="C:\Users\edison\Downloads\deplogo.jp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1825" y="19993"/>
          <a:ext cx="750071" cy="7824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34942</xdr:colOff>
      <xdr:row>39</xdr:row>
      <xdr:rowOff>34942</xdr:rowOff>
    </xdr:from>
    <xdr:to>
      <xdr:col>1</xdr:col>
      <xdr:colOff>404205</xdr:colOff>
      <xdr:row>43</xdr:row>
      <xdr:rowOff>112249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2" y="6408288"/>
          <a:ext cx="985587" cy="861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504593</xdr:colOff>
      <xdr:row>39</xdr:row>
      <xdr:rowOff>60771</xdr:rowOff>
    </xdr:from>
    <xdr:to>
      <xdr:col>10</xdr:col>
      <xdr:colOff>522032</xdr:colOff>
      <xdr:row>43</xdr:row>
      <xdr:rowOff>117296</xdr:rowOff>
    </xdr:to>
    <xdr:pic>
      <xdr:nvPicPr>
        <xdr:cNvPr id="11" name="Picture 10" descr="C:\Users\edison\Downloads\deplogo.jp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922" y="6925741"/>
          <a:ext cx="749529" cy="811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514350</xdr:colOff>
      <xdr:row>39</xdr:row>
      <xdr:rowOff>47064</xdr:rowOff>
    </xdr:from>
    <xdr:to>
      <xdr:col>11</xdr:col>
      <xdr:colOff>588221</xdr:colOff>
      <xdr:row>42</xdr:row>
      <xdr:rowOff>189939</xdr:rowOff>
    </xdr:to>
    <xdr:pic>
      <xdr:nvPicPr>
        <xdr:cNvPr id="12" name="Picture 35" descr="New-DepEd-Official-Seal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1997" y="6420410"/>
          <a:ext cx="788246" cy="731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33007</xdr:colOff>
      <xdr:row>39</xdr:row>
      <xdr:rowOff>35550</xdr:rowOff>
    </xdr:from>
    <xdr:to>
      <xdr:col>13</xdr:col>
      <xdr:colOff>402270</xdr:colOff>
      <xdr:row>43</xdr:row>
      <xdr:rowOff>112857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969" y="6971704"/>
          <a:ext cx="979839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400050</xdr:colOff>
      <xdr:row>39</xdr:row>
      <xdr:rowOff>37539</xdr:rowOff>
    </xdr:from>
    <xdr:to>
      <xdr:col>22</xdr:col>
      <xdr:colOff>413521</xdr:colOff>
      <xdr:row>43</xdr:row>
      <xdr:rowOff>94064</xdr:rowOff>
    </xdr:to>
    <xdr:pic>
      <xdr:nvPicPr>
        <xdr:cNvPr id="14" name="Picture 13" descr="C:\Users\edison\Downloads\deplogo.jp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7771" y="6410885"/>
          <a:ext cx="741854" cy="840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514350</xdr:colOff>
      <xdr:row>39</xdr:row>
      <xdr:rowOff>47064</xdr:rowOff>
    </xdr:from>
    <xdr:to>
      <xdr:col>23</xdr:col>
      <xdr:colOff>588221</xdr:colOff>
      <xdr:row>42</xdr:row>
      <xdr:rowOff>189939</xdr:rowOff>
    </xdr:to>
    <xdr:pic>
      <xdr:nvPicPr>
        <xdr:cNvPr id="15" name="Picture 35" descr="New-DepEd-Official-Seal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0453" y="6420410"/>
          <a:ext cx="802253" cy="731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72</xdr:col>
      <xdr:colOff>19050</xdr:colOff>
      <xdr:row>39</xdr:row>
      <xdr:rowOff>20935</xdr:rowOff>
    </xdr:from>
    <xdr:to>
      <xdr:col>73</xdr:col>
      <xdr:colOff>388313</xdr:colOff>
      <xdr:row>43</xdr:row>
      <xdr:rowOff>98241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38825" y="6174085"/>
          <a:ext cx="978863" cy="848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84</xdr:col>
      <xdr:colOff>19050</xdr:colOff>
      <xdr:row>39</xdr:row>
      <xdr:rowOff>10468</xdr:rowOff>
    </xdr:from>
    <xdr:to>
      <xdr:col>85</xdr:col>
      <xdr:colOff>388313</xdr:colOff>
      <xdr:row>43</xdr:row>
      <xdr:rowOff>87774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54025" y="6163618"/>
          <a:ext cx="978863" cy="848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19050</xdr:colOff>
      <xdr:row>0</xdr:row>
      <xdr:rowOff>0</xdr:rowOff>
    </xdr:from>
    <xdr:to>
      <xdr:col>25</xdr:col>
      <xdr:colOff>388313</xdr:colOff>
      <xdr:row>4</xdr:row>
      <xdr:rowOff>77307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0"/>
          <a:ext cx="978863" cy="848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400050</xdr:colOff>
      <xdr:row>0</xdr:row>
      <xdr:rowOff>9525</xdr:rowOff>
    </xdr:from>
    <xdr:to>
      <xdr:col>34</xdr:col>
      <xdr:colOff>413522</xdr:colOff>
      <xdr:row>4</xdr:row>
      <xdr:rowOff>66052</xdr:rowOff>
    </xdr:to>
    <xdr:pic>
      <xdr:nvPicPr>
        <xdr:cNvPr id="19" name="Picture 18" descr="C:\Users\edison\Downloads\deplogo.jp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97800" y="9525"/>
          <a:ext cx="750072" cy="828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514350</xdr:colOff>
      <xdr:row>0</xdr:row>
      <xdr:rowOff>19050</xdr:rowOff>
    </xdr:from>
    <xdr:to>
      <xdr:col>35</xdr:col>
      <xdr:colOff>588221</xdr:colOff>
      <xdr:row>3</xdr:row>
      <xdr:rowOff>161925</xdr:rowOff>
    </xdr:to>
    <xdr:pic>
      <xdr:nvPicPr>
        <xdr:cNvPr id="20" name="Picture 35" descr="New-DepEd-Official-Seal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1700" y="19050"/>
          <a:ext cx="683471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36</xdr:col>
      <xdr:colOff>19050</xdr:colOff>
      <xdr:row>0</xdr:row>
      <xdr:rowOff>0</xdr:rowOff>
    </xdr:from>
    <xdr:to>
      <xdr:col>37</xdr:col>
      <xdr:colOff>388313</xdr:colOff>
      <xdr:row>4</xdr:row>
      <xdr:rowOff>77307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0"/>
          <a:ext cx="978863" cy="848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45</xdr:col>
      <xdr:colOff>400050</xdr:colOff>
      <xdr:row>0</xdr:row>
      <xdr:rowOff>9525</xdr:rowOff>
    </xdr:from>
    <xdr:to>
      <xdr:col>46</xdr:col>
      <xdr:colOff>413522</xdr:colOff>
      <xdr:row>4</xdr:row>
      <xdr:rowOff>66052</xdr:rowOff>
    </xdr:to>
    <xdr:pic>
      <xdr:nvPicPr>
        <xdr:cNvPr id="22" name="Picture 21" descr="C:\Users\edison\Downloads\deplogo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0" y="9525"/>
          <a:ext cx="750072" cy="828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514350</xdr:colOff>
      <xdr:row>0</xdr:row>
      <xdr:rowOff>19050</xdr:rowOff>
    </xdr:from>
    <xdr:to>
      <xdr:col>47</xdr:col>
      <xdr:colOff>588221</xdr:colOff>
      <xdr:row>3</xdr:row>
      <xdr:rowOff>161925</xdr:rowOff>
    </xdr:to>
    <xdr:pic>
      <xdr:nvPicPr>
        <xdr:cNvPr id="23" name="Picture 35" descr="New-DepEd-Official-Seal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36900" y="19050"/>
          <a:ext cx="683471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19050</xdr:colOff>
      <xdr:row>0</xdr:row>
      <xdr:rowOff>0</xdr:rowOff>
    </xdr:from>
    <xdr:to>
      <xdr:col>49</xdr:col>
      <xdr:colOff>388313</xdr:colOff>
      <xdr:row>4</xdr:row>
      <xdr:rowOff>77307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0" y="0"/>
          <a:ext cx="1026488" cy="848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424474</xdr:colOff>
      <xdr:row>0</xdr:row>
      <xdr:rowOff>46161</xdr:rowOff>
    </xdr:from>
    <xdr:to>
      <xdr:col>58</xdr:col>
      <xdr:colOff>437945</xdr:colOff>
      <xdr:row>4</xdr:row>
      <xdr:rowOff>102688</xdr:rowOff>
    </xdr:to>
    <xdr:pic>
      <xdr:nvPicPr>
        <xdr:cNvPr id="25" name="Picture 24" descr="C:\Users\edison\Downloads\deplogo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41686" y="46161"/>
          <a:ext cx="733951" cy="83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514350</xdr:colOff>
      <xdr:row>0</xdr:row>
      <xdr:rowOff>19050</xdr:rowOff>
    </xdr:from>
    <xdr:to>
      <xdr:col>59</xdr:col>
      <xdr:colOff>588221</xdr:colOff>
      <xdr:row>3</xdr:row>
      <xdr:rowOff>161925</xdr:rowOff>
    </xdr:to>
    <xdr:pic>
      <xdr:nvPicPr>
        <xdr:cNvPr id="26" name="Picture 35" descr="New-DepEd-Official-Seal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99725" y="19050"/>
          <a:ext cx="683471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60</xdr:col>
      <xdr:colOff>19050</xdr:colOff>
      <xdr:row>0</xdr:row>
      <xdr:rowOff>0</xdr:rowOff>
    </xdr:from>
    <xdr:to>
      <xdr:col>61</xdr:col>
      <xdr:colOff>388313</xdr:colOff>
      <xdr:row>4</xdr:row>
      <xdr:rowOff>77307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23625" y="0"/>
          <a:ext cx="978863" cy="848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400050</xdr:colOff>
      <xdr:row>0</xdr:row>
      <xdr:rowOff>9525</xdr:rowOff>
    </xdr:from>
    <xdr:to>
      <xdr:col>70</xdr:col>
      <xdr:colOff>413522</xdr:colOff>
      <xdr:row>4</xdr:row>
      <xdr:rowOff>66052</xdr:rowOff>
    </xdr:to>
    <xdr:pic>
      <xdr:nvPicPr>
        <xdr:cNvPr id="28" name="Picture 27" descr="C:\Users\edison\Downloads\deplogo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91025" y="9525"/>
          <a:ext cx="750072" cy="828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70</xdr:col>
      <xdr:colOff>514350</xdr:colOff>
      <xdr:row>0</xdr:row>
      <xdr:rowOff>19050</xdr:rowOff>
    </xdr:from>
    <xdr:to>
      <xdr:col>71</xdr:col>
      <xdr:colOff>588221</xdr:colOff>
      <xdr:row>3</xdr:row>
      <xdr:rowOff>161925</xdr:rowOff>
    </xdr:to>
    <xdr:pic>
      <xdr:nvPicPr>
        <xdr:cNvPr id="29" name="Picture 35" descr="New-DepEd-Official-Seal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14925" y="19050"/>
          <a:ext cx="683471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72</xdr:col>
      <xdr:colOff>19050</xdr:colOff>
      <xdr:row>0</xdr:row>
      <xdr:rowOff>80452</xdr:rowOff>
    </xdr:from>
    <xdr:to>
      <xdr:col>73</xdr:col>
      <xdr:colOff>388313</xdr:colOff>
      <xdr:row>4</xdr:row>
      <xdr:rowOff>157759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3665" y="80452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81</xdr:col>
      <xdr:colOff>400050</xdr:colOff>
      <xdr:row>0</xdr:row>
      <xdr:rowOff>63758</xdr:rowOff>
    </xdr:from>
    <xdr:to>
      <xdr:col>82</xdr:col>
      <xdr:colOff>413522</xdr:colOff>
      <xdr:row>4</xdr:row>
      <xdr:rowOff>120285</xdr:rowOff>
    </xdr:to>
    <xdr:pic>
      <xdr:nvPicPr>
        <xdr:cNvPr id="31" name="Picture 30" descr="C:\Users\edison\Downloads\deplogo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69185" y="63758"/>
          <a:ext cx="733952" cy="83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82</xdr:col>
      <xdr:colOff>514350</xdr:colOff>
      <xdr:row>0</xdr:row>
      <xdr:rowOff>71488</xdr:rowOff>
    </xdr:from>
    <xdr:to>
      <xdr:col>83</xdr:col>
      <xdr:colOff>588221</xdr:colOff>
      <xdr:row>4</xdr:row>
      <xdr:rowOff>18979</xdr:rowOff>
    </xdr:to>
    <xdr:pic>
      <xdr:nvPicPr>
        <xdr:cNvPr id="32" name="Picture 35" descr="New-DepEd-Official-Seal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3965" y="71488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84</xdr:col>
      <xdr:colOff>19050</xdr:colOff>
      <xdr:row>0</xdr:row>
      <xdr:rowOff>66445</xdr:rowOff>
    </xdr:from>
    <xdr:to>
      <xdr:col>85</xdr:col>
      <xdr:colOff>388313</xdr:colOff>
      <xdr:row>4</xdr:row>
      <xdr:rowOff>143752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49627" y="66445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93</xdr:col>
      <xdr:colOff>400050</xdr:colOff>
      <xdr:row>0</xdr:row>
      <xdr:rowOff>9525</xdr:rowOff>
    </xdr:from>
    <xdr:to>
      <xdr:col>94</xdr:col>
      <xdr:colOff>413522</xdr:colOff>
      <xdr:row>4</xdr:row>
      <xdr:rowOff>66052</xdr:rowOff>
    </xdr:to>
    <xdr:pic>
      <xdr:nvPicPr>
        <xdr:cNvPr id="34" name="Picture 33" descr="C:\Users\edison\Downloads\deplogo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21425" y="9525"/>
          <a:ext cx="750072" cy="828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94</xdr:col>
      <xdr:colOff>514350</xdr:colOff>
      <xdr:row>0</xdr:row>
      <xdr:rowOff>19050</xdr:rowOff>
    </xdr:from>
    <xdr:to>
      <xdr:col>95</xdr:col>
      <xdr:colOff>588221</xdr:colOff>
      <xdr:row>3</xdr:row>
      <xdr:rowOff>161925</xdr:rowOff>
    </xdr:to>
    <xdr:pic>
      <xdr:nvPicPr>
        <xdr:cNvPr id="35" name="Picture 35" descr="New-DepEd-Official-Seal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45325" y="19050"/>
          <a:ext cx="683471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96</xdr:col>
      <xdr:colOff>33057</xdr:colOff>
      <xdr:row>0</xdr:row>
      <xdr:rowOff>42021</xdr:rowOff>
    </xdr:from>
    <xdr:to>
      <xdr:col>97</xdr:col>
      <xdr:colOff>402320</xdr:colOff>
      <xdr:row>4</xdr:row>
      <xdr:rowOff>119328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66770" y="42021"/>
          <a:ext cx="985587" cy="861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105</xdr:col>
      <xdr:colOff>400050</xdr:colOff>
      <xdr:row>0</xdr:row>
      <xdr:rowOff>51546</xdr:rowOff>
    </xdr:from>
    <xdr:to>
      <xdr:col>106</xdr:col>
      <xdr:colOff>413522</xdr:colOff>
      <xdr:row>4</xdr:row>
      <xdr:rowOff>108073</xdr:rowOff>
    </xdr:to>
    <xdr:pic>
      <xdr:nvPicPr>
        <xdr:cNvPr id="37" name="Picture 36" descr="C:\Users\edison\Downloads\deplogo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65087" y="51546"/>
          <a:ext cx="741854" cy="840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106</xdr:col>
      <xdr:colOff>514350</xdr:colOff>
      <xdr:row>0</xdr:row>
      <xdr:rowOff>47064</xdr:rowOff>
    </xdr:from>
    <xdr:to>
      <xdr:col>107</xdr:col>
      <xdr:colOff>588221</xdr:colOff>
      <xdr:row>3</xdr:row>
      <xdr:rowOff>189939</xdr:rowOff>
    </xdr:to>
    <xdr:pic>
      <xdr:nvPicPr>
        <xdr:cNvPr id="38" name="Picture 35" descr="New-DepEd-Official-Seal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07769" y="47064"/>
          <a:ext cx="802253" cy="731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108</xdr:col>
      <xdr:colOff>19050</xdr:colOff>
      <xdr:row>0</xdr:row>
      <xdr:rowOff>0</xdr:rowOff>
    </xdr:from>
    <xdr:to>
      <xdr:col>109</xdr:col>
      <xdr:colOff>388313</xdr:colOff>
      <xdr:row>4</xdr:row>
      <xdr:rowOff>77307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84425" y="0"/>
          <a:ext cx="978863" cy="848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118</xdr:col>
      <xdr:colOff>514350</xdr:colOff>
      <xdr:row>0</xdr:row>
      <xdr:rowOff>19050</xdr:rowOff>
    </xdr:from>
    <xdr:to>
      <xdr:col>119</xdr:col>
      <xdr:colOff>588221</xdr:colOff>
      <xdr:row>3</xdr:row>
      <xdr:rowOff>161925</xdr:rowOff>
    </xdr:to>
    <xdr:pic>
      <xdr:nvPicPr>
        <xdr:cNvPr id="40" name="Picture 35" descr="New-DepEd-Official-Seal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75725" y="19050"/>
          <a:ext cx="683471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45219</xdr:colOff>
      <xdr:row>39</xdr:row>
      <xdr:rowOff>34891</xdr:rowOff>
    </xdr:from>
    <xdr:to>
      <xdr:col>25</xdr:col>
      <xdr:colOff>414482</xdr:colOff>
      <xdr:row>43</xdr:row>
      <xdr:rowOff>112198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7142" y="7166429"/>
          <a:ext cx="979840" cy="858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400050</xdr:colOff>
      <xdr:row>39</xdr:row>
      <xdr:rowOff>33949</xdr:rowOff>
    </xdr:from>
    <xdr:to>
      <xdr:col>34</xdr:col>
      <xdr:colOff>413522</xdr:colOff>
      <xdr:row>43</xdr:row>
      <xdr:rowOff>90474</xdr:rowOff>
    </xdr:to>
    <xdr:pic>
      <xdr:nvPicPr>
        <xdr:cNvPr id="42" name="Picture 41" descr="C:\Users\edison\Downloads\deplogo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16492" y="6774718"/>
          <a:ext cx="733953" cy="838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514350</xdr:colOff>
      <xdr:row>39</xdr:row>
      <xdr:rowOff>31262</xdr:rowOff>
    </xdr:from>
    <xdr:to>
      <xdr:col>35</xdr:col>
      <xdr:colOff>588221</xdr:colOff>
      <xdr:row>42</xdr:row>
      <xdr:rowOff>174137</xdr:rowOff>
    </xdr:to>
    <xdr:pic>
      <xdr:nvPicPr>
        <xdr:cNvPr id="43" name="Picture 35" descr="New-DepEd-Official-Seal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51273" y="6772031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36</xdr:col>
      <xdr:colOff>8583</xdr:colOff>
      <xdr:row>39</xdr:row>
      <xdr:rowOff>34891</xdr:rowOff>
    </xdr:from>
    <xdr:to>
      <xdr:col>37</xdr:col>
      <xdr:colOff>377846</xdr:colOff>
      <xdr:row>43</xdr:row>
      <xdr:rowOff>112198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86468" y="6775660"/>
          <a:ext cx="979840" cy="858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45</xdr:col>
      <xdr:colOff>400050</xdr:colOff>
      <xdr:row>39</xdr:row>
      <xdr:rowOff>9525</xdr:rowOff>
    </xdr:from>
    <xdr:to>
      <xdr:col>46</xdr:col>
      <xdr:colOff>413522</xdr:colOff>
      <xdr:row>43</xdr:row>
      <xdr:rowOff>66050</xdr:rowOff>
    </xdr:to>
    <xdr:pic>
      <xdr:nvPicPr>
        <xdr:cNvPr id="45" name="Picture 44" descr="C:\Users\edison\Downloads\deplogo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0" y="6162675"/>
          <a:ext cx="750072" cy="828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514350</xdr:colOff>
      <xdr:row>39</xdr:row>
      <xdr:rowOff>19050</xdr:rowOff>
    </xdr:from>
    <xdr:to>
      <xdr:col>47</xdr:col>
      <xdr:colOff>588221</xdr:colOff>
      <xdr:row>42</xdr:row>
      <xdr:rowOff>161925</xdr:rowOff>
    </xdr:to>
    <xdr:pic>
      <xdr:nvPicPr>
        <xdr:cNvPr id="46" name="Picture 35" descr="New-DepEd-Official-Seal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36900" y="6172200"/>
          <a:ext cx="683471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8583</xdr:colOff>
      <xdr:row>39</xdr:row>
      <xdr:rowOff>10467</xdr:rowOff>
    </xdr:from>
    <xdr:to>
      <xdr:col>49</xdr:col>
      <xdr:colOff>377846</xdr:colOff>
      <xdr:row>43</xdr:row>
      <xdr:rowOff>87774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50333" y="6163617"/>
          <a:ext cx="1026488" cy="848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400050</xdr:colOff>
      <xdr:row>39</xdr:row>
      <xdr:rowOff>9525</xdr:rowOff>
    </xdr:from>
    <xdr:to>
      <xdr:col>58</xdr:col>
      <xdr:colOff>413521</xdr:colOff>
      <xdr:row>43</xdr:row>
      <xdr:rowOff>66050</xdr:rowOff>
    </xdr:to>
    <xdr:pic>
      <xdr:nvPicPr>
        <xdr:cNvPr id="48" name="Picture 47" descr="C:\Users\edison\Downloads\deplogo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75825" y="6162675"/>
          <a:ext cx="750071" cy="828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514350</xdr:colOff>
      <xdr:row>39</xdr:row>
      <xdr:rowOff>19050</xdr:rowOff>
    </xdr:from>
    <xdr:to>
      <xdr:col>59</xdr:col>
      <xdr:colOff>588221</xdr:colOff>
      <xdr:row>42</xdr:row>
      <xdr:rowOff>161925</xdr:rowOff>
    </xdr:to>
    <xdr:pic>
      <xdr:nvPicPr>
        <xdr:cNvPr id="49" name="Picture 35" descr="New-DepEd-Official-Seal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99725" y="6172200"/>
          <a:ext cx="683471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60</xdr:col>
      <xdr:colOff>57431</xdr:colOff>
      <xdr:row>39</xdr:row>
      <xdr:rowOff>71524</xdr:rowOff>
    </xdr:from>
    <xdr:to>
      <xdr:col>61</xdr:col>
      <xdr:colOff>426694</xdr:colOff>
      <xdr:row>43</xdr:row>
      <xdr:rowOff>148831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36085" y="7203062"/>
          <a:ext cx="979840" cy="858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400050</xdr:colOff>
      <xdr:row>39</xdr:row>
      <xdr:rowOff>9525</xdr:rowOff>
    </xdr:from>
    <xdr:to>
      <xdr:col>70</xdr:col>
      <xdr:colOff>413522</xdr:colOff>
      <xdr:row>43</xdr:row>
      <xdr:rowOff>66050</xdr:rowOff>
    </xdr:to>
    <xdr:pic>
      <xdr:nvPicPr>
        <xdr:cNvPr id="51" name="Picture 50" descr="C:\Users\edison\Downloads\deplogo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91025" y="6162675"/>
          <a:ext cx="750072" cy="828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70</xdr:col>
      <xdr:colOff>514350</xdr:colOff>
      <xdr:row>39</xdr:row>
      <xdr:rowOff>19050</xdr:rowOff>
    </xdr:from>
    <xdr:to>
      <xdr:col>71</xdr:col>
      <xdr:colOff>588221</xdr:colOff>
      <xdr:row>42</xdr:row>
      <xdr:rowOff>161925</xdr:rowOff>
    </xdr:to>
    <xdr:pic>
      <xdr:nvPicPr>
        <xdr:cNvPr id="52" name="Picture 35" descr="New-DepEd-Official-Seal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14925" y="6172200"/>
          <a:ext cx="683471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81</xdr:col>
      <xdr:colOff>400050</xdr:colOff>
      <xdr:row>39</xdr:row>
      <xdr:rowOff>9525</xdr:rowOff>
    </xdr:from>
    <xdr:to>
      <xdr:col>82</xdr:col>
      <xdr:colOff>413522</xdr:colOff>
      <xdr:row>43</xdr:row>
      <xdr:rowOff>66050</xdr:rowOff>
    </xdr:to>
    <xdr:pic>
      <xdr:nvPicPr>
        <xdr:cNvPr id="53" name="Picture 52" descr="C:\Users\edison\Downloads\deplogo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06225" y="6162675"/>
          <a:ext cx="750072" cy="828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82</xdr:col>
      <xdr:colOff>514350</xdr:colOff>
      <xdr:row>39</xdr:row>
      <xdr:rowOff>19050</xdr:rowOff>
    </xdr:from>
    <xdr:to>
      <xdr:col>83</xdr:col>
      <xdr:colOff>588221</xdr:colOff>
      <xdr:row>42</xdr:row>
      <xdr:rowOff>161925</xdr:rowOff>
    </xdr:to>
    <xdr:pic>
      <xdr:nvPicPr>
        <xdr:cNvPr id="54" name="Picture 35" descr="New-DepEd-Official-Seal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30125" y="6172200"/>
          <a:ext cx="683471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93</xdr:col>
      <xdr:colOff>400050</xdr:colOff>
      <xdr:row>39</xdr:row>
      <xdr:rowOff>23532</xdr:rowOff>
    </xdr:from>
    <xdr:to>
      <xdr:col>94</xdr:col>
      <xdr:colOff>413522</xdr:colOff>
      <xdr:row>43</xdr:row>
      <xdr:rowOff>80057</xdr:rowOff>
    </xdr:to>
    <xdr:pic>
      <xdr:nvPicPr>
        <xdr:cNvPr id="55" name="Picture 54" descr="C:\Users\edison\Downloads\deplogo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8616" y="6396878"/>
          <a:ext cx="741855" cy="840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94</xdr:col>
      <xdr:colOff>556385</xdr:colOff>
      <xdr:row>39</xdr:row>
      <xdr:rowOff>61065</xdr:rowOff>
    </xdr:from>
    <xdr:to>
      <xdr:col>95</xdr:col>
      <xdr:colOff>630256</xdr:colOff>
      <xdr:row>43</xdr:row>
      <xdr:rowOff>7837</xdr:rowOff>
    </xdr:to>
    <xdr:pic>
      <xdr:nvPicPr>
        <xdr:cNvPr id="56" name="Picture 35" descr="New-DepEd-Official-Seal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33334" y="6434411"/>
          <a:ext cx="802253" cy="731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105</xdr:col>
      <xdr:colOff>400050</xdr:colOff>
      <xdr:row>39</xdr:row>
      <xdr:rowOff>23532</xdr:rowOff>
    </xdr:from>
    <xdr:to>
      <xdr:col>106</xdr:col>
      <xdr:colOff>413522</xdr:colOff>
      <xdr:row>43</xdr:row>
      <xdr:rowOff>80057</xdr:rowOff>
    </xdr:to>
    <xdr:pic>
      <xdr:nvPicPr>
        <xdr:cNvPr id="58" name="Picture 57" descr="C:\Users\edison\Downloads\deplogo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65087" y="6396878"/>
          <a:ext cx="741854" cy="840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106</xdr:col>
      <xdr:colOff>599829</xdr:colOff>
      <xdr:row>39</xdr:row>
      <xdr:rowOff>33057</xdr:rowOff>
    </xdr:from>
    <xdr:to>
      <xdr:col>107</xdr:col>
      <xdr:colOff>673700</xdr:colOff>
      <xdr:row>42</xdr:row>
      <xdr:rowOff>175932</xdr:rowOff>
    </xdr:to>
    <xdr:pic>
      <xdr:nvPicPr>
        <xdr:cNvPr id="59" name="Picture 35" descr="New-DepEd-Official-Seal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41367" y="7164595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108</xdr:col>
      <xdr:colOff>28635</xdr:colOff>
      <xdr:row>39</xdr:row>
      <xdr:rowOff>10467</xdr:rowOff>
    </xdr:from>
    <xdr:to>
      <xdr:col>109</xdr:col>
      <xdr:colOff>397898</xdr:colOff>
      <xdr:row>43</xdr:row>
      <xdr:rowOff>87774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40767" y="7038914"/>
          <a:ext cx="1101184" cy="849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117</xdr:col>
      <xdr:colOff>400050</xdr:colOff>
      <xdr:row>39</xdr:row>
      <xdr:rowOff>9525</xdr:rowOff>
    </xdr:from>
    <xdr:to>
      <xdr:col>118</xdr:col>
      <xdr:colOff>413522</xdr:colOff>
      <xdr:row>43</xdr:row>
      <xdr:rowOff>66050</xdr:rowOff>
    </xdr:to>
    <xdr:pic>
      <xdr:nvPicPr>
        <xdr:cNvPr id="61" name="Picture 60" descr="C:\Users\edison\Downloads\deplogo.jpg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1825" y="6162675"/>
          <a:ext cx="750072" cy="828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118</xdr:col>
      <xdr:colOff>514350</xdr:colOff>
      <xdr:row>39</xdr:row>
      <xdr:rowOff>19050</xdr:rowOff>
    </xdr:from>
    <xdr:to>
      <xdr:col>119</xdr:col>
      <xdr:colOff>588221</xdr:colOff>
      <xdr:row>42</xdr:row>
      <xdr:rowOff>161925</xdr:rowOff>
    </xdr:to>
    <xdr:pic>
      <xdr:nvPicPr>
        <xdr:cNvPr id="62" name="Picture 35" descr="New-DepEd-Official-Seal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75725" y="6172200"/>
          <a:ext cx="683471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53068</xdr:colOff>
      <xdr:row>0</xdr:row>
      <xdr:rowOff>0</xdr:rowOff>
    </xdr:from>
    <xdr:to>
      <xdr:col>25</xdr:col>
      <xdr:colOff>422331</xdr:colOff>
      <xdr:row>4</xdr:row>
      <xdr:rowOff>77307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68" y="0"/>
          <a:ext cx="981584" cy="859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33</xdr:col>
      <xdr:colOff>400050</xdr:colOff>
      <xdr:row>0</xdr:row>
      <xdr:rowOff>70585</xdr:rowOff>
    </xdr:from>
    <xdr:ext cx="743721" cy="838938"/>
    <xdr:pic>
      <xdr:nvPicPr>
        <xdr:cNvPr id="67" name="Picture 66" descr="C:\Users\edison\Downloads\deplogo.jpg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16492" y="70585"/>
          <a:ext cx="743721" cy="838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34</xdr:col>
      <xdr:colOff>514350</xdr:colOff>
      <xdr:row>0</xdr:row>
      <xdr:rowOff>19050</xdr:rowOff>
    </xdr:from>
    <xdr:to>
      <xdr:col>35</xdr:col>
      <xdr:colOff>588221</xdr:colOff>
      <xdr:row>3</xdr:row>
      <xdr:rowOff>161925</xdr:rowOff>
    </xdr:to>
    <xdr:pic>
      <xdr:nvPicPr>
        <xdr:cNvPr id="68" name="Picture 35" descr="New-DepEd-Official-Seal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3993" y="19050"/>
          <a:ext cx="788246" cy="72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36</xdr:col>
      <xdr:colOff>53068</xdr:colOff>
      <xdr:row>0</xdr:row>
      <xdr:rowOff>36636</xdr:rowOff>
    </xdr:from>
    <xdr:to>
      <xdr:col>37</xdr:col>
      <xdr:colOff>422331</xdr:colOff>
      <xdr:row>4</xdr:row>
      <xdr:rowOff>113943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0953" y="36636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45</xdr:col>
      <xdr:colOff>400050</xdr:colOff>
      <xdr:row>0</xdr:row>
      <xdr:rowOff>33949</xdr:rowOff>
    </xdr:from>
    <xdr:ext cx="736917" cy="818527"/>
    <xdr:pic>
      <xdr:nvPicPr>
        <xdr:cNvPr id="70" name="Picture 69" descr="C:\Users\edison\Downloads\deplogo.jpg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42454" y="33949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46</xdr:col>
      <xdr:colOff>514350</xdr:colOff>
      <xdr:row>0</xdr:row>
      <xdr:rowOff>19050</xdr:rowOff>
    </xdr:from>
    <xdr:to>
      <xdr:col>47</xdr:col>
      <xdr:colOff>588221</xdr:colOff>
      <xdr:row>3</xdr:row>
      <xdr:rowOff>161925</xdr:rowOff>
    </xdr:to>
    <xdr:pic>
      <xdr:nvPicPr>
        <xdr:cNvPr id="71" name="Picture 35" descr="New-DepEd-Official-Seal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9050"/>
          <a:ext cx="781442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53068</xdr:colOff>
      <xdr:row>0</xdr:row>
      <xdr:rowOff>61060</xdr:rowOff>
    </xdr:from>
    <xdr:to>
      <xdr:col>49</xdr:col>
      <xdr:colOff>422331</xdr:colOff>
      <xdr:row>4</xdr:row>
      <xdr:rowOff>138367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56914" y="61060"/>
          <a:ext cx="1028686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514350</xdr:colOff>
      <xdr:row>0</xdr:row>
      <xdr:rowOff>19050</xdr:rowOff>
    </xdr:from>
    <xdr:to>
      <xdr:col>59</xdr:col>
      <xdr:colOff>588221</xdr:colOff>
      <xdr:row>3</xdr:row>
      <xdr:rowOff>161925</xdr:rowOff>
    </xdr:to>
    <xdr:pic>
      <xdr:nvPicPr>
        <xdr:cNvPr id="74" name="Picture 35" descr="New-DepEd-Official-Seal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9050"/>
          <a:ext cx="781442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60</xdr:col>
      <xdr:colOff>53068</xdr:colOff>
      <xdr:row>0</xdr:row>
      <xdr:rowOff>36636</xdr:rowOff>
    </xdr:from>
    <xdr:to>
      <xdr:col>61</xdr:col>
      <xdr:colOff>422331</xdr:colOff>
      <xdr:row>4</xdr:row>
      <xdr:rowOff>113943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31722" y="36636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69</xdr:col>
      <xdr:colOff>400050</xdr:colOff>
      <xdr:row>0</xdr:row>
      <xdr:rowOff>46161</xdr:rowOff>
    </xdr:from>
    <xdr:ext cx="736917" cy="818527"/>
    <xdr:pic>
      <xdr:nvPicPr>
        <xdr:cNvPr id="76" name="Picture 75" descr="C:\Users\edison\Downloads\deplogo.jpg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43223" y="46161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70</xdr:col>
      <xdr:colOff>514350</xdr:colOff>
      <xdr:row>0</xdr:row>
      <xdr:rowOff>31262</xdr:rowOff>
    </xdr:from>
    <xdr:to>
      <xdr:col>71</xdr:col>
      <xdr:colOff>588221</xdr:colOff>
      <xdr:row>3</xdr:row>
      <xdr:rowOff>174137</xdr:rowOff>
    </xdr:to>
    <xdr:pic>
      <xdr:nvPicPr>
        <xdr:cNvPr id="77" name="Picture 35" descr="New-DepEd-Official-Seal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78004" y="31262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93</xdr:col>
      <xdr:colOff>400050</xdr:colOff>
      <xdr:row>0</xdr:row>
      <xdr:rowOff>33949</xdr:rowOff>
    </xdr:from>
    <xdr:ext cx="736917" cy="818527"/>
    <xdr:pic>
      <xdr:nvPicPr>
        <xdr:cNvPr id="82" name="Picture 81" descr="C:\Users\edison\Downloads\deplogo.jpg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95146" y="33949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108</xdr:col>
      <xdr:colOff>28645</xdr:colOff>
      <xdr:row>0</xdr:row>
      <xdr:rowOff>61057</xdr:rowOff>
    </xdr:from>
    <xdr:to>
      <xdr:col>109</xdr:col>
      <xdr:colOff>397908</xdr:colOff>
      <xdr:row>4</xdr:row>
      <xdr:rowOff>138364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1145" y="61057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117</xdr:col>
      <xdr:colOff>400050</xdr:colOff>
      <xdr:row>0</xdr:row>
      <xdr:rowOff>9525</xdr:rowOff>
    </xdr:from>
    <xdr:ext cx="736917" cy="818527"/>
    <xdr:pic>
      <xdr:nvPicPr>
        <xdr:cNvPr id="88" name="Picture 87" descr="C:\Users\edison\Downloads\deplogo.jpg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479" y="9525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118</xdr:col>
      <xdr:colOff>514350</xdr:colOff>
      <xdr:row>0</xdr:row>
      <xdr:rowOff>19050</xdr:rowOff>
    </xdr:from>
    <xdr:to>
      <xdr:col>119</xdr:col>
      <xdr:colOff>588221</xdr:colOff>
      <xdr:row>3</xdr:row>
      <xdr:rowOff>161925</xdr:rowOff>
    </xdr:to>
    <xdr:pic>
      <xdr:nvPicPr>
        <xdr:cNvPr id="89" name="Picture 35" descr="New-DepEd-Official-Seal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9050"/>
          <a:ext cx="781442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514350</xdr:colOff>
      <xdr:row>39</xdr:row>
      <xdr:rowOff>19050</xdr:rowOff>
    </xdr:from>
    <xdr:to>
      <xdr:col>35</xdr:col>
      <xdr:colOff>588221</xdr:colOff>
      <xdr:row>42</xdr:row>
      <xdr:rowOff>161925</xdr:rowOff>
    </xdr:to>
    <xdr:pic>
      <xdr:nvPicPr>
        <xdr:cNvPr id="98" name="Picture 35" descr="New-DepEd-Official-Seal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9050"/>
          <a:ext cx="781442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45</xdr:col>
      <xdr:colOff>400050</xdr:colOff>
      <xdr:row>39</xdr:row>
      <xdr:rowOff>21737</xdr:rowOff>
    </xdr:from>
    <xdr:ext cx="736917" cy="818527"/>
    <xdr:pic>
      <xdr:nvPicPr>
        <xdr:cNvPr id="100" name="Picture 99" descr="C:\Users\edison\Downloads\deplogo.jpg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42454" y="6371737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46</xdr:col>
      <xdr:colOff>514350</xdr:colOff>
      <xdr:row>39</xdr:row>
      <xdr:rowOff>19050</xdr:rowOff>
    </xdr:from>
    <xdr:to>
      <xdr:col>47</xdr:col>
      <xdr:colOff>588221</xdr:colOff>
      <xdr:row>42</xdr:row>
      <xdr:rowOff>161925</xdr:rowOff>
    </xdr:to>
    <xdr:pic>
      <xdr:nvPicPr>
        <xdr:cNvPr id="101" name="Picture 35" descr="New-DepEd-Official-Seal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9050"/>
          <a:ext cx="781442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53068</xdr:colOff>
      <xdr:row>39</xdr:row>
      <xdr:rowOff>48848</xdr:rowOff>
    </xdr:from>
    <xdr:to>
      <xdr:col>49</xdr:col>
      <xdr:colOff>422331</xdr:colOff>
      <xdr:row>43</xdr:row>
      <xdr:rowOff>126155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56914" y="6398848"/>
          <a:ext cx="1028686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57</xdr:col>
      <xdr:colOff>400050</xdr:colOff>
      <xdr:row>39</xdr:row>
      <xdr:rowOff>21737</xdr:rowOff>
    </xdr:from>
    <xdr:ext cx="736917" cy="818527"/>
    <xdr:pic>
      <xdr:nvPicPr>
        <xdr:cNvPr id="103" name="Picture 102" descr="C:\Users\edison\Downloads\deplogo.jpg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17262" y="6371737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58</xdr:col>
      <xdr:colOff>514350</xdr:colOff>
      <xdr:row>39</xdr:row>
      <xdr:rowOff>19050</xdr:rowOff>
    </xdr:from>
    <xdr:to>
      <xdr:col>59</xdr:col>
      <xdr:colOff>588221</xdr:colOff>
      <xdr:row>42</xdr:row>
      <xdr:rowOff>161925</xdr:rowOff>
    </xdr:to>
    <xdr:pic>
      <xdr:nvPicPr>
        <xdr:cNvPr id="104" name="Picture 35" descr="New-DepEd-Official-Seal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9050"/>
          <a:ext cx="781442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69</xdr:col>
      <xdr:colOff>400050</xdr:colOff>
      <xdr:row>39</xdr:row>
      <xdr:rowOff>33949</xdr:rowOff>
    </xdr:from>
    <xdr:ext cx="736917" cy="818527"/>
    <xdr:pic>
      <xdr:nvPicPr>
        <xdr:cNvPr id="106" name="Picture 105" descr="C:\Users\edison\Downloads\deplogo.jpg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43223" y="6383949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70</xdr:col>
      <xdr:colOff>514350</xdr:colOff>
      <xdr:row>39</xdr:row>
      <xdr:rowOff>19050</xdr:rowOff>
    </xdr:from>
    <xdr:to>
      <xdr:col>71</xdr:col>
      <xdr:colOff>588221</xdr:colOff>
      <xdr:row>42</xdr:row>
      <xdr:rowOff>161925</xdr:rowOff>
    </xdr:to>
    <xdr:pic>
      <xdr:nvPicPr>
        <xdr:cNvPr id="107" name="Picture 35" descr="New-DepEd-Official-Seal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9050"/>
          <a:ext cx="781442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72</xdr:col>
      <xdr:colOff>53068</xdr:colOff>
      <xdr:row>39</xdr:row>
      <xdr:rowOff>24424</xdr:rowOff>
    </xdr:from>
    <xdr:to>
      <xdr:col>73</xdr:col>
      <xdr:colOff>422331</xdr:colOff>
      <xdr:row>43</xdr:row>
      <xdr:rowOff>101731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57683" y="6374424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81</xdr:col>
      <xdr:colOff>400050</xdr:colOff>
      <xdr:row>39</xdr:row>
      <xdr:rowOff>33949</xdr:rowOff>
    </xdr:from>
    <xdr:ext cx="736917" cy="818527"/>
    <xdr:pic>
      <xdr:nvPicPr>
        <xdr:cNvPr id="109" name="Picture 108" descr="C:\Users\edison\Downloads\deplogo.jpg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69185" y="6383949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82</xdr:col>
      <xdr:colOff>514350</xdr:colOff>
      <xdr:row>39</xdr:row>
      <xdr:rowOff>19050</xdr:rowOff>
    </xdr:from>
    <xdr:to>
      <xdr:col>83</xdr:col>
      <xdr:colOff>588221</xdr:colOff>
      <xdr:row>42</xdr:row>
      <xdr:rowOff>161925</xdr:rowOff>
    </xdr:to>
    <xdr:pic>
      <xdr:nvPicPr>
        <xdr:cNvPr id="110" name="Picture 35" descr="New-DepEd-Official-Seal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9050"/>
          <a:ext cx="781442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84</xdr:col>
      <xdr:colOff>53068</xdr:colOff>
      <xdr:row>39</xdr:row>
      <xdr:rowOff>40226</xdr:rowOff>
    </xdr:from>
    <xdr:to>
      <xdr:col>85</xdr:col>
      <xdr:colOff>422331</xdr:colOff>
      <xdr:row>43</xdr:row>
      <xdr:rowOff>117533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83645" y="6390226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117</xdr:col>
      <xdr:colOff>400050</xdr:colOff>
      <xdr:row>39</xdr:row>
      <xdr:rowOff>9525</xdr:rowOff>
    </xdr:from>
    <xdr:ext cx="736917" cy="818527"/>
    <xdr:pic>
      <xdr:nvPicPr>
        <xdr:cNvPr id="118" name="Picture 117" descr="C:\Users\edison\Downloads\deplogo.jpg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479" y="9525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118</xdr:col>
      <xdr:colOff>514350</xdr:colOff>
      <xdr:row>39</xdr:row>
      <xdr:rowOff>19050</xdr:rowOff>
    </xdr:from>
    <xdr:to>
      <xdr:col>119</xdr:col>
      <xdr:colOff>588221</xdr:colOff>
      <xdr:row>42</xdr:row>
      <xdr:rowOff>161925</xdr:rowOff>
    </xdr:to>
    <xdr:pic>
      <xdr:nvPicPr>
        <xdr:cNvPr id="119" name="Picture 35" descr="New-DepEd-Official-Seal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9050"/>
          <a:ext cx="781442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129</xdr:col>
      <xdr:colOff>400050</xdr:colOff>
      <xdr:row>0</xdr:row>
      <xdr:rowOff>19993</xdr:rowOff>
    </xdr:from>
    <xdr:ext cx="733952" cy="792502"/>
    <xdr:pic>
      <xdr:nvPicPr>
        <xdr:cNvPr id="145" name="Picture 144" descr="C:\Users\edison\Downloads\deplogo.jpg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47069" y="19993"/>
          <a:ext cx="733952" cy="792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130</xdr:col>
      <xdr:colOff>514350</xdr:colOff>
      <xdr:row>0</xdr:row>
      <xdr:rowOff>19050</xdr:rowOff>
    </xdr:from>
    <xdr:to>
      <xdr:col>131</xdr:col>
      <xdr:colOff>588221</xdr:colOff>
      <xdr:row>3</xdr:row>
      <xdr:rowOff>161925</xdr:rowOff>
    </xdr:to>
    <xdr:pic>
      <xdr:nvPicPr>
        <xdr:cNvPr id="147" name="Picture 35" descr="New-DepEd-Official-Seal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81850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53062</xdr:colOff>
      <xdr:row>0</xdr:row>
      <xdr:rowOff>61060</xdr:rowOff>
    </xdr:from>
    <xdr:to>
      <xdr:col>121</xdr:col>
      <xdr:colOff>422325</xdr:colOff>
      <xdr:row>4</xdr:row>
      <xdr:rowOff>138367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73735" y="61060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129</xdr:col>
      <xdr:colOff>400050</xdr:colOff>
      <xdr:row>0</xdr:row>
      <xdr:rowOff>33949</xdr:rowOff>
    </xdr:from>
    <xdr:ext cx="736917" cy="818527"/>
    <xdr:pic>
      <xdr:nvPicPr>
        <xdr:cNvPr id="149" name="Picture 148" descr="C:\Users\edison\Downloads\deplogo.jpg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21877" y="33949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130</xdr:col>
      <xdr:colOff>514350</xdr:colOff>
      <xdr:row>0</xdr:row>
      <xdr:rowOff>19050</xdr:rowOff>
    </xdr:from>
    <xdr:to>
      <xdr:col>131</xdr:col>
      <xdr:colOff>588221</xdr:colOff>
      <xdr:row>3</xdr:row>
      <xdr:rowOff>161925</xdr:rowOff>
    </xdr:to>
    <xdr:pic>
      <xdr:nvPicPr>
        <xdr:cNvPr id="150" name="Picture 35" descr="New-DepEd-Official-Seal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81850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141</xdr:col>
      <xdr:colOff>400050</xdr:colOff>
      <xdr:row>0</xdr:row>
      <xdr:rowOff>19993</xdr:rowOff>
    </xdr:from>
    <xdr:ext cx="733952" cy="792502"/>
    <xdr:pic>
      <xdr:nvPicPr>
        <xdr:cNvPr id="151" name="Picture 150" descr="C:\Users\edison\Downloads\deplogo.jpg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47069" y="19993"/>
          <a:ext cx="733952" cy="792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132</xdr:col>
      <xdr:colOff>19050</xdr:colOff>
      <xdr:row>0</xdr:row>
      <xdr:rowOff>36636</xdr:rowOff>
    </xdr:from>
    <xdr:to>
      <xdr:col>133</xdr:col>
      <xdr:colOff>388313</xdr:colOff>
      <xdr:row>4</xdr:row>
      <xdr:rowOff>113943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75588" y="36636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142</xdr:col>
      <xdr:colOff>514350</xdr:colOff>
      <xdr:row>0</xdr:row>
      <xdr:rowOff>19050</xdr:rowOff>
    </xdr:from>
    <xdr:to>
      <xdr:col>143</xdr:col>
      <xdr:colOff>588221</xdr:colOff>
      <xdr:row>3</xdr:row>
      <xdr:rowOff>161925</xdr:rowOff>
    </xdr:to>
    <xdr:pic>
      <xdr:nvPicPr>
        <xdr:cNvPr id="153" name="Picture 35" descr="New-DepEd-Official-Seal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81850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141</xdr:col>
      <xdr:colOff>400050</xdr:colOff>
      <xdr:row>0</xdr:row>
      <xdr:rowOff>9525</xdr:rowOff>
    </xdr:from>
    <xdr:ext cx="736917" cy="818527"/>
    <xdr:pic>
      <xdr:nvPicPr>
        <xdr:cNvPr id="155" name="Picture 154" descr="C:\Users\edison\Downloads\deplogo.jpg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47069" y="9525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142</xdr:col>
      <xdr:colOff>514350</xdr:colOff>
      <xdr:row>0</xdr:row>
      <xdr:rowOff>19050</xdr:rowOff>
    </xdr:from>
    <xdr:to>
      <xdr:col>143</xdr:col>
      <xdr:colOff>588221</xdr:colOff>
      <xdr:row>3</xdr:row>
      <xdr:rowOff>161925</xdr:rowOff>
    </xdr:to>
    <xdr:pic>
      <xdr:nvPicPr>
        <xdr:cNvPr id="156" name="Picture 35" descr="New-DepEd-Official-Seal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81850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144</xdr:col>
      <xdr:colOff>19050</xdr:colOff>
      <xdr:row>0</xdr:row>
      <xdr:rowOff>36636</xdr:rowOff>
    </xdr:from>
    <xdr:to>
      <xdr:col>145</xdr:col>
      <xdr:colOff>388313</xdr:colOff>
      <xdr:row>4</xdr:row>
      <xdr:rowOff>113943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23665" y="36636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154</xdr:col>
      <xdr:colOff>514350</xdr:colOff>
      <xdr:row>0</xdr:row>
      <xdr:rowOff>19050</xdr:rowOff>
    </xdr:from>
    <xdr:to>
      <xdr:col>155</xdr:col>
      <xdr:colOff>588221</xdr:colOff>
      <xdr:row>3</xdr:row>
      <xdr:rowOff>161925</xdr:rowOff>
    </xdr:to>
    <xdr:pic>
      <xdr:nvPicPr>
        <xdr:cNvPr id="159" name="Picture 35" descr="New-DepEd-Official-Seal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81850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154</xdr:col>
      <xdr:colOff>514350</xdr:colOff>
      <xdr:row>0</xdr:row>
      <xdr:rowOff>19050</xdr:rowOff>
    </xdr:from>
    <xdr:to>
      <xdr:col>155</xdr:col>
      <xdr:colOff>588221</xdr:colOff>
      <xdr:row>3</xdr:row>
      <xdr:rowOff>161925</xdr:rowOff>
    </xdr:to>
    <xdr:pic>
      <xdr:nvPicPr>
        <xdr:cNvPr id="162" name="Picture 35" descr="New-DepEd-Official-Seal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81850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157</xdr:col>
      <xdr:colOff>388313</xdr:colOff>
      <xdr:row>4</xdr:row>
      <xdr:rowOff>77307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01550" y="0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166</xdr:col>
      <xdr:colOff>514350</xdr:colOff>
      <xdr:row>0</xdr:row>
      <xdr:rowOff>19050</xdr:rowOff>
    </xdr:from>
    <xdr:to>
      <xdr:col>167</xdr:col>
      <xdr:colOff>588221</xdr:colOff>
      <xdr:row>3</xdr:row>
      <xdr:rowOff>161925</xdr:rowOff>
    </xdr:to>
    <xdr:pic>
      <xdr:nvPicPr>
        <xdr:cNvPr id="165" name="Picture 35" descr="New-DepEd-Official-Seal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81850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28645</xdr:colOff>
      <xdr:row>0</xdr:row>
      <xdr:rowOff>61057</xdr:rowOff>
    </xdr:from>
    <xdr:to>
      <xdr:col>157</xdr:col>
      <xdr:colOff>397908</xdr:colOff>
      <xdr:row>4</xdr:row>
      <xdr:rowOff>138364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1145" y="61057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166</xdr:col>
      <xdr:colOff>514350</xdr:colOff>
      <xdr:row>0</xdr:row>
      <xdr:rowOff>19050</xdr:rowOff>
    </xdr:from>
    <xdr:to>
      <xdr:col>167</xdr:col>
      <xdr:colOff>588221</xdr:colOff>
      <xdr:row>3</xdr:row>
      <xdr:rowOff>161925</xdr:rowOff>
    </xdr:to>
    <xdr:pic>
      <xdr:nvPicPr>
        <xdr:cNvPr id="168" name="Picture 35" descr="New-DepEd-Official-Seal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81850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168</xdr:col>
      <xdr:colOff>19050</xdr:colOff>
      <xdr:row>0</xdr:row>
      <xdr:rowOff>0</xdr:rowOff>
    </xdr:from>
    <xdr:to>
      <xdr:col>169</xdr:col>
      <xdr:colOff>388313</xdr:colOff>
      <xdr:row>4</xdr:row>
      <xdr:rowOff>77307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01550" y="0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178</xdr:col>
      <xdr:colOff>514350</xdr:colOff>
      <xdr:row>0</xdr:row>
      <xdr:rowOff>19050</xdr:rowOff>
    </xdr:from>
    <xdr:to>
      <xdr:col>179</xdr:col>
      <xdr:colOff>588221</xdr:colOff>
      <xdr:row>3</xdr:row>
      <xdr:rowOff>161925</xdr:rowOff>
    </xdr:to>
    <xdr:pic>
      <xdr:nvPicPr>
        <xdr:cNvPr id="171" name="Picture 35" descr="New-DepEd-Official-Seal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81850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168</xdr:col>
      <xdr:colOff>28645</xdr:colOff>
      <xdr:row>0</xdr:row>
      <xdr:rowOff>61057</xdr:rowOff>
    </xdr:from>
    <xdr:to>
      <xdr:col>169</xdr:col>
      <xdr:colOff>397908</xdr:colOff>
      <xdr:row>4</xdr:row>
      <xdr:rowOff>138364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1145" y="61057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178</xdr:col>
      <xdr:colOff>514350</xdr:colOff>
      <xdr:row>0</xdr:row>
      <xdr:rowOff>19050</xdr:rowOff>
    </xdr:from>
    <xdr:to>
      <xdr:col>179</xdr:col>
      <xdr:colOff>588221</xdr:colOff>
      <xdr:row>3</xdr:row>
      <xdr:rowOff>161925</xdr:rowOff>
    </xdr:to>
    <xdr:pic>
      <xdr:nvPicPr>
        <xdr:cNvPr id="174" name="Picture 35" descr="New-DepEd-Official-Seal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81850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53068</xdr:colOff>
      <xdr:row>39</xdr:row>
      <xdr:rowOff>42021</xdr:rowOff>
    </xdr:from>
    <xdr:to>
      <xdr:col>1</xdr:col>
      <xdr:colOff>422331</xdr:colOff>
      <xdr:row>43</xdr:row>
      <xdr:rowOff>119328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68" y="42021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502138</xdr:colOff>
      <xdr:row>39</xdr:row>
      <xdr:rowOff>47064</xdr:rowOff>
    </xdr:from>
    <xdr:to>
      <xdr:col>11</xdr:col>
      <xdr:colOff>576009</xdr:colOff>
      <xdr:row>42</xdr:row>
      <xdr:rowOff>189939</xdr:rowOff>
    </xdr:to>
    <xdr:pic>
      <xdr:nvPicPr>
        <xdr:cNvPr id="177" name="Picture 35" descr="New-DepEd-Official-Seal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7138" y="6983218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21</xdr:col>
      <xdr:colOff>400050</xdr:colOff>
      <xdr:row>39</xdr:row>
      <xdr:rowOff>51546</xdr:rowOff>
    </xdr:from>
    <xdr:ext cx="733953" cy="838065"/>
    <xdr:pic>
      <xdr:nvPicPr>
        <xdr:cNvPr id="179" name="Picture 178" descr="C:\Users\edison\Downloads\deplogo.jpg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90531" y="51546"/>
          <a:ext cx="733953" cy="83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22</xdr:col>
      <xdr:colOff>514350</xdr:colOff>
      <xdr:row>39</xdr:row>
      <xdr:rowOff>47064</xdr:rowOff>
    </xdr:from>
    <xdr:to>
      <xdr:col>23</xdr:col>
      <xdr:colOff>588221</xdr:colOff>
      <xdr:row>42</xdr:row>
      <xdr:rowOff>189939</xdr:rowOff>
    </xdr:to>
    <xdr:pic>
      <xdr:nvPicPr>
        <xdr:cNvPr id="180" name="Picture 35" descr="New-DepEd-Official-Seal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5312" y="47064"/>
          <a:ext cx="794351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117</xdr:col>
      <xdr:colOff>400050</xdr:colOff>
      <xdr:row>39</xdr:row>
      <xdr:rowOff>19993</xdr:rowOff>
    </xdr:from>
    <xdr:ext cx="733952" cy="792502"/>
    <xdr:pic>
      <xdr:nvPicPr>
        <xdr:cNvPr id="182" name="Picture 181" descr="C:\Users\edison\Downloads\deplogo.jpg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9281" y="19993"/>
          <a:ext cx="733952" cy="792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34</xdr:col>
      <xdr:colOff>514350</xdr:colOff>
      <xdr:row>39</xdr:row>
      <xdr:rowOff>19050</xdr:rowOff>
    </xdr:from>
    <xdr:to>
      <xdr:col>35</xdr:col>
      <xdr:colOff>588221</xdr:colOff>
      <xdr:row>42</xdr:row>
      <xdr:rowOff>161925</xdr:rowOff>
    </xdr:to>
    <xdr:pic>
      <xdr:nvPicPr>
        <xdr:cNvPr id="185" name="Picture 35" descr="New-DepEd-Official-Seal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51273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45</xdr:col>
      <xdr:colOff>400050</xdr:colOff>
      <xdr:row>39</xdr:row>
      <xdr:rowOff>9525</xdr:rowOff>
    </xdr:from>
    <xdr:ext cx="733953" cy="838065"/>
    <xdr:pic>
      <xdr:nvPicPr>
        <xdr:cNvPr id="187" name="Picture 186" descr="C:\Users\edison\Downloads\deplogo.jpg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42454" y="9525"/>
          <a:ext cx="733953" cy="83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46</xdr:col>
      <xdr:colOff>514350</xdr:colOff>
      <xdr:row>39</xdr:row>
      <xdr:rowOff>19050</xdr:rowOff>
    </xdr:from>
    <xdr:to>
      <xdr:col>47</xdr:col>
      <xdr:colOff>588221</xdr:colOff>
      <xdr:row>42</xdr:row>
      <xdr:rowOff>161925</xdr:rowOff>
    </xdr:to>
    <xdr:pic>
      <xdr:nvPicPr>
        <xdr:cNvPr id="188" name="Picture 35" descr="New-DepEd-Official-Seal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77235" y="19050"/>
          <a:ext cx="794351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19050</xdr:colOff>
      <xdr:row>39</xdr:row>
      <xdr:rowOff>36636</xdr:rowOff>
    </xdr:from>
    <xdr:to>
      <xdr:col>49</xdr:col>
      <xdr:colOff>388313</xdr:colOff>
      <xdr:row>43</xdr:row>
      <xdr:rowOff>113943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22896" y="7168174"/>
          <a:ext cx="1028686" cy="858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57</xdr:col>
      <xdr:colOff>424474</xdr:colOff>
      <xdr:row>39</xdr:row>
      <xdr:rowOff>46161</xdr:rowOff>
    </xdr:from>
    <xdr:ext cx="733951" cy="838065"/>
    <xdr:pic>
      <xdr:nvPicPr>
        <xdr:cNvPr id="190" name="Picture 189" descr="C:\Users\edison\Downloads\deplogo.jpg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41686" y="46161"/>
          <a:ext cx="733951" cy="83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58</xdr:col>
      <xdr:colOff>514350</xdr:colOff>
      <xdr:row>39</xdr:row>
      <xdr:rowOff>19050</xdr:rowOff>
    </xdr:from>
    <xdr:to>
      <xdr:col>59</xdr:col>
      <xdr:colOff>588221</xdr:colOff>
      <xdr:row>42</xdr:row>
      <xdr:rowOff>161925</xdr:rowOff>
    </xdr:to>
    <xdr:pic>
      <xdr:nvPicPr>
        <xdr:cNvPr id="191" name="Picture 35" descr="New-DepEd-Official-Seal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042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69</xdr:col>
      <xdr:colOff>400050</xdr:colOff>
      <xdr:row>39</xdr:row>
      <xdr:rowOff>9525</xdr:rowOff>
    </xdr:from>
    <xdr:ext cx="733953" cy="838065"/>
    <xdr:pic>
      <xdr:nvPicPr>
        <xdr:cNvPr id="193" name="Picture 192" descr="C:\Users\edison\Downloads\deplogo.jpg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43223" y="9525"/>
          <a:ext cx="733953" cy="83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70</xdr:col>
      <xdr:colOff>514350</xdr:colOff>
      <xdr:row>39</xdr:row>
      <xdr:rowOff>19050</xdr:rowOff>
    </xdr:from>
    <xdr:to>
      <xdr:col>71</xdr:col>
      <xdr:colOff>588221</xdr:colOff>
      <xdr:row>42</xdr:row>
      <xdr:rowOff>161925</xdr:rowOff>
    </xdr:to>
    <xdr:pic>
      <xdr:nvPicPr>
        <xdr:cNvPr id="194" name="Picture 35" descr="New-DepEd-Official-Seal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78004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72</xdr:col>
      <xdr:colOff>19050</xdr:colOff>
      <xdr:row>39</xdr:row>
      <xdr:rowOff>80452</xdr:rowOff>
    </xdr:from>
    <xdr:to>
      <xdr:col>73</xdr:col>
      <xdr:colOff>388313</xdr:colOff>
      <xdr:row>43</xdr:row>
      <xdr:rowOff>157759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3665" y="80452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81</xdr:col>
      <xdr:colOff>400050</xdr:colOff>
      <xdr:row>39</xdr:row>
      <xdr:rowOff>63758</xdr:rowOff>
    </xdr:from>
    <xdr:ext cx="733952" cy="838065"/>
    <xdr:pic>
      <xdr:nvPicPr>
        <xdr:cNvPr id="196" name="Picture 195" descr="C:\Users\edison\Downloads\deplogo.jpg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69185" y="63758"/>
          <a:ext cx="733952" cy="83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82</xdr:col>
      <xdr:colOff>514350</xdr:colOff>
      <xdr:row>39</xdr:row>
      <xdr:rowOff>71488</xdr:rowOff>
    </xdr:from>
    <xdr:to>
      <xdr:col>83</xdr:col>
      <xdr:colOff>588221</xdr:colOff>
      <xdr:row>43</xdr:row>
      <xdr:rowOff>18979</xdr:rowOff>
    </xdr:to>
    <xdr:pic>
      <xdr:nvPicPr>
        <xdr:cNvPr id="197" name="Picture 35" descr="New-DepEd-Official-Seal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3965" y="71488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84</xdr:col>
      <xdr:colOff>19050</xdr:colOff>
      <xdr:row>39</xdr:row>
      <xdr:rowOff>66445</xdr:rowOff>
    </xdr:from>
    <xdr:to>
      <xdr:col>85</xdr:col>
      <xdr:colOff>388313</xdr:colOff>
      <xdr:row>43</xdr:row>
      <xdr:rowOff>143752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49627" y="66445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93</xdr:col>
      <xdr:colOff>400050</xdr:colOff>
      <xdr:row>39</xdr:row>
      <xdr:rowOff>9525</xdr:rowOff>
    </xdr:from>
    <xdr:ext cx="733953" cy="838065"/>
    <xdr:pic>
      <xdr:nvPicPr>
        <xdr:cNvPr id="199" name="Picture 198" descr="C:\Users\edison\Downloads\deplogo.jpg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95146" y="9525"/>
          <a:ext cx="733953" cy="83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96</xdr:col>
      <xdr:colOff>33057</xdr:colOff>
      <xdr:row>39</xdr:row>
      <xdr:rowOff>42021</xdr:rowOff>
    </xdr:from>
    <xdr:to>
      <xdr:col>97</xdr:col>
      <xdr:colOff>402320</xdr:colOff>
      <xdr:row>43</xdr:row>
      <xdr:rowOff>119328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9595" y="42021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105</xdr:col>
      <xdr:colOff>400050</xdr:colOff>
      <xdr:row>39</xdr:row>
      <xdr:rowOff>51546</xdr:rowOff>
    </xdr:from>
    <xdr:ext cx="733952" cy="838065"/>
    <xdr:pic>
      <xdr:nvPicPr>
        <xdr:cNvPr id="202" name="Picture 201" descr="C:\Users\edison\Downloads\deplogo.jpg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21108" y="51546"/>
          <a:ext cx="733952" cy="83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118</xdr:col>
      <xdr:colOff>514350</xdr:colOff>
      <xdr:row>39</xdr:row>
      <xdr:rowOff>19050</xdr:rowOff>
    </xdr:from>
    <xdr:to>
      <xdr:col>119</xdr:col>
      <xdr:colOff>588221</xdr:colOff>
      <xdr:row>42</xdr:row>
      <xdr:rowOff>161925</xdr:rowOff>
    </xdr:to>
    <xdr:pic>
      <xdr:nvPicPr>
        <xdr:cNvPr id="205" name="Picture 35" descr="New-DepEd-Official-Seal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94062" y="19050"/>
          <a:ext cx="794351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514350</xdr:colOff>
      <xdr:row>39</xdr:row>
      <xdr:rowOff>19050</xdr:rowOff>
    </xdr:from>
    <xdr:to>
      <xdr:col>35</xdr:col>
      <xdr:colOff>588221</xdr:colOff>
      <xdr:row>42</xdr:row>
      <xdr:rowOff>161925</xdr:rowOff>
    </xdr:to>
    <xdr:pic>
      <xdr:nvPicPr>
        <xdr:cNvPr id="208" name="Picture 35" descr="New-DepEd-Official-Seal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51273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45</xdr:col>
      <xdr:colOff>485531</xdr:colOff>
      <xdr:row>39</xdr:row>
      <xdr:rowOff>21741</xdr:rowOff>
    </xdr:from>
    <xdr:ext cx="736917" cy="818527"/>
    <xdr:pic>
      <xdr:nvPicPr>
        <xdr:cNvPr id="210" name="Picture 209" descr="C:\Users\edison\Downloads\deplogo.jpg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7935" y="7153279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46</xdr:col>
      <xdr:colOff>514350</xdr:colOff>
      <xdr:row>39</xdr:row>
      <xdr:rowOff>19050</xdr:rowOff>
    </xdr:from>
    <xdr:to>
      <xdr:col>47</xdr:col>
      <xdr:colOff>588221</xdr:colOff>
      <xdr:row>42</xdr:row>
      <xdr:rowOff>161925</xdr:rowOff>
    </xdr:to>
    <xdr:pic>
      <xdr:nvPicPr>
        <xdr:cNvPr id="211" name="Picture 35" descr="New-DepEd-Official-Seal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77235" y="19050"/>
          <a:ext cx="794351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514350</xdr:colOff>
      <xdr:row>39</xdr:row>
      <xdr:rowOff>19050</xdr:rowOff>
    </xdr:from>
    <xdr:to>
      <xdr:col>59</xdr:col>
      <xdr:colOff>588221</xdr:colOff>
      <xdr:row>42</xdr:row>
      <xdr:rowOff>161925</xdr:rowOff>
    </xdr:to>
    <xdr:pic>
      <xdr:nvPicPr>
        <xdr:cNvPr id="213" name="Picture 35" descr="New-DepEd-Official-Seal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042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69</xdr:col>
      <xdr:colOff>400050</xdr:colOff>
      <xdr:row>39</xdr:row>
      <xdr:rowOff>46161</xdr:rowOff>
    </xdr:from>
    <xdr:ext cx="736917" cy="818527"/>
    <xdr:pic>
      <xdr:nvPicPr>
        <xdr:cNvPr id="215" name="Picture 214" descr="C:\Users\edison\Downloads\deplogo.jpg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43223" y="46161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93</xdr:col>
      <xdr:colOff>400050</xdr:colOff>
      <xdr:row>39</xdr:row>
      <xdr:rowOff>33949</xdr:rowOff>
    </xdr:from>
    <xdr:ext cx="736917" cy="818527"/>
    <xdr:pic>
      <xdr:nvPicPr>
        <xdr:cNvPr id="217" name="Picture 216" descr="C:\Users\edison\Downloads\deplogo.jpg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95146" y="33949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117</xdr:col>
      <xdr:colOff>400050</xdr:colOff>
      <xdr:row>39</xdr:row>
      <xdr:rowOff>9525</xdr:rowOff>
    </xdr:from>
    <xdr:ext cx="736917" cy="818527"/>
    <xdr:pic>
      <xdr:nvPicPr>
        <xdr:cNvPr id="219" name="Picture 218" descr="C:\Users\edison\Downloads\deplogo.jpg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9281" y="9525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118</xdr:col>
      <xdr:colOff>514350</xdr:colOff>
      <xdr:row>39</xdr:row>
      <xdr:rowOff>19050</xdr:rowOff>
    </xdr:from>
    <xdr:to>
      <xdr:col>119</xdr:col>
      <xdr:colOff>588221</xdr:colOff>
      <xdr:row>42</xdr:row>
      <xdr:rowOff>161925</xdr:rowOff>
    </xdr:to>
    <xdr:pic>
      <xdr:nvPicPr>
        <xdr:cNvPr id="220" name="Picture 35" descr="New-DepEd-Official-Seal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94062" y="19050"/>
          <a:ext cx="794351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129</xdr:col>
      <xdr:colOff>400050</xdr:colOff>
      <xdr:row>39</xdr:row>
      <xdr:rowOff>19993</xdr:rowOff>
    </xdr:from>
    <xdr:ext cx="733952" cy="792502"/>
    <xdr:pic>
      <xdr:nvPicPr>
        <xdr:cNvPr id="221" name="Picture 220" descr="C:\Users\edison\Downloads\deplogo.jpg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21877" y="19993"/>
          <a:ext cx="733952" cy="792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120</xdr:col>
      <xdr:colOff>43474</xdr:colOff>
      <xdr:row>39</xdr:row>
      <xdr:rowOff>24424</xdr:rowOff>
    </xdr:from>
    <xdr:to>
      <xdr:col>121</xdr:col>
      <xdr:colOff>412737</xdr:colOff>
      <xdr:row>43</xdr:row>
      <xdr:rowOff>101731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64147" y="7155962"/>
          <a:ext cx="979840" cy="858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130</xdr:col>
      <xdr:colOff>514350</xdr:colOff>
      <xdr:row>39</xdr:row>
      <xdr:rowOff>19050</xdr:rowOff>
    </xdr:from>
    <xdr:to>
      <xdr:col>131</xdr:col>
      <xdr:colOff>588221</xdr:colOff>
      <xdr:row>42</xdr:row>
      <xdr:rowOff>161925</xdr:rowOff>
    </xdr:to>
    <xdr:pic>
      <xdr:nvPicPr>
        <xdr:cNvPr id="223" name="Picture 35" descr="New-DepEd-Official-Seal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81081" y="19050"/>
          <a:ext cx="818775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129</xdr:col>
      <xdr:colOff>400050</xdr:colOff>
      <xdr:row>39</xdr:row>
      <xdr:rowOff>9525</xdr:rowOff>
    </xdr:from>
    <xdr:ext cx="736917" cy="818527"/>
    <xdr:pic>
      <xdr:nvPicPr>
        <xdr:cNvPr id="225" name="Picture 224" descr="C:\Users\edison\Downloads\deplogo.jpg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21877" y="9525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130</xdr:col>
      <xdr:colOff>514350</xdr:colOff>
      <xdr:row>39</xdr:row>
      <xdr:rowOff>19050</xdr:rowOff>
    </xdr:from>
    <xdr:to>
      <xdr:col>131</xdr:col>
      <xdr:colOff>588221</xdr:colOff>
      <xdr:row>42</xdr:row>
      <xdr:rowOff>161925</xdr:rowOff>
    </xdr:to>
    <xdr:pic>
      <xdr:nvPicPr>
        <xdr:cNvPr id="226" name="Picture 35" descr="New-DepEd-Official-Seal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81081" y="19050"/>
          <a:ext cx="818775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141</xdr:col>
      <xdr:colOff>400050</xdr:colOff>
      <xdr:row>39</xdr:row>
      <xdr:rowOff>19993</xdr:rowOff>
    </xdr:from>
    <xdr:ext cx="733952" cy="792502"/>
    <xdr:pic>
      <xdr:nvPicPr>
        <xdr:cNvPr id="227" name="Picture 226" descr="C:\Users\edison\Downloads\deplogo.jpg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06588" y="19993"/>
          <a:ext cx="733952" cy="792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132</xdr:col>
      <xdr:colOff>19050</xdr:colOff>
      <xdr:row>39</xdr:row>
      <xdr:rowOff>24424</xdr:rowOff>
    </xdr:from>
    <xdr:to>
      <xdr:col>133</xdr:col>
      <xdr:colOff>388313</xdr:colOff>
      <xdr:row>43</xdr:row>
      <xdr:rowOff>101731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75588" y="6765193"/>
          <a:ext cx="979840" cy="858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142</xdr:col>
      <xdr:colOff>514350</xdr:colOff>
      <xdr:row>39</xdr:row>
      <xdr:rowOff>19050</xdr:rowOff>
    </xdr:from>
    <xdr:to>
      <xdr:col>143</xdr:col>
      <xdr:colOff>588221</xdr:colOff>
      <xdr:row>42</xdr:row>
      <xdr:rowOff>161925</xdr:rowOff>
    </xdr:to>
    <xdr:pic>
      <xdr:nvPicPr>
        <xdr:cNvPr id="229" name="Picture 35" descr="New-DepEd-Official-Seal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3581" y="19050"/>
          <a:ext cx="806563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141</xdr:col>
      <xdr:colOff>400050</xdr:colOff>
      <xdr:row>39</xdr:row>
      <xdr:rowOff>21737</xdr:rowOff>
    </xdr:from>
    <xdr:ext cx="736917" cy="818527"/>
    <xdr:pic>
      <xdr:nvPicPr>
        <xdr:cNvPr id="231" name="Picture 230" descr="C:\Users\edison\Downloads\deplogo.jpg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06588" y="6762506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142</xdr:col>
      <xdr:colOff>514350</xdr:colOff>
      <xdr:row>39</xdr:row>
      <xdr:rowOff>31262</xdr:rowOff>
    </xdr:from>
    <xdr:to>
      <xdr:col>143</xdr:col>
      <xdr:colOff>588221</xdr:colOff>
      <xdr:row>42</xdr:row>
      <xdr:rowOff>174137</xdr:rowOff>
    </xdr:to>
    <xdr:pic>
      <xdr:nvPicPr>
        <xdr:cNvPr id="232" name="Picture 35" descr="New-DepEd-Official-Seal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3581" y="7162800"/>
          <a:ext cx="806563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144</xdr:col>
      <xdr:colOff>19050</xdr:colOff>
      <xdr:row>39</xdr:row>
      <xdr:rowOff>12212</xdr:rowOff>
    </xdr:from>
    <xdr:to>
      <xdr:col>145</xdr:col>
      <xdr:colOff>388313</xdr:colOff>
      <xdr:row>43</xdr:row>
      <xdr:rowOff>89519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23665" y="6752981"/>
          <a:ext cx="979840" cy="858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154</xdr:col>
      <xdr:colOff>514350</xdr:colOff>
      <xdr:row>39</xdr:row>
      <xdr:rowOff>19050</xdr:rowOff>
    </xdr:from>
    <xdr:to>
      <xdr:col>155</xdr:col>
      <xdr:colOff>588221</xdr:colOff>
      <xdr:row>42</xdr:row>
      <xdr:rowOff>161925</xdr:rowOff>
    </xdr:to>
    <xdr:pic>
      <xdr:nvPicPr>
        <xdr:cNvPr id="235" name="Picture 35" descr="New-DepEd-Official-Seal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01658" y="19050"/>
          <a:ext cx="806563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154</xdr:col>
      <xdr:colOff>514350</xdr:colOff>
      <xdr:row>39</xdr:row>
      <xdr:rowOff>19050</xdr:rowOff>
    </xdr:from>
    <xdr:to>
      <xdr:col>155</xdr:col>
      <xdr:colOff>588221</xdr:colOff>
      <xdr:row>42</xdr:row>
      <xdr:rowOff>161925</xdr:rowOff>
    </xdr:to>
    <xdr:pic>
      <xdr:nvPicPr>
        <xdr:cNvPr id="238" name="Picture 35" descr="New-DepEd-Official-Seal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01658" y="19050"/>
          <a:ext cx="806563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19050</xdr:colOff>
      <xdr:row>39</xdr:row>
      <xdr:rowOff>0</xdr:rowOff>
    </xdr:from>
    <xdr:to>
      <xdr:col>157</xdr:col>
      <xdr:colOff>388313</xdr:colOff>
      <xdr:row>43</xdr:row>
      <xdr:rowOff>77307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71742" y="0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166</xdr:col>
      <xdr:colOff>514350</xdr:colOff>
      <xdr:row>39</xdr:row>
      <xdr:rowOff>19050</xdr:rowOff>
    </xdr:from>
    <xdr:to>
      <xdr:col>167</xdr:col>
      <xdr:colOff>588221</xdr:colOff>
      <xdr:row>42</xdr:row>
      <xdr:rowOff>161925</xdr:rowOff>
    </xdr:to>
    <xdr:pic>
      <xdr:nvPicPr>
        <xdr:cNvPr id="241" name="Picture 35" descr="New-DepEd-Official-Seal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49735" y="19050"/>
          <a:ext cx="806563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28645</xdr:colOff>
      <xdr:row>39</xdr:row>
      <xdr:rowOff>61057</xdr:rowOff>
    </xdr:from>
    <xdr:to>
      <xdr:col>157</xdr:col>
      <xdr:colOff>397908</xdr:colOff>
      <xdr:row>43</xdr:row>
      <xdr:rowOff>138364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81337" y="61057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166</xdr:col>
      <xdr:colOff>514350</xdr:colOff>
      <xdr:row>39</xdr:row>
      <xdr:rowOff>19050</xdr:rowOff>
    </xdr:from>
    <xdr:to>
      <xdr:col>167</xdr:col>
      <xdr:colOff>588221</xdr:colOff>
      <xdr:row>42</xdr:row>
      <xdr:rowOff>161925</xdr:rowOff>
    </xdr:to>
    <xdr:pic>
      <xdr:nvPicPr>
        <xdr:cNvPr id="244" name="Picture 35" descr="New-DepEd-Official-Seal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49735" y="19050"/>
          <a:ext cx="806563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168</xdr:col>
      <xdr:colOff>19050</xdr:colOff>
      <xdr:row>39</xdr:row>
      <xdr:rowOff>0</xdr:rowOff>
    </xdr:from>
    <xdr:to>
      <xdr:col>169</xdr:col>
      <xdr:colOff>388313</xdr:colOff>
      <xdr:row>43</xdr:row>
      <xdr:rowOff>77307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19819" y="0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178</xdr:col>
      <xdr:colOff>514350</xdr:colOff>
      <xdr:row>39</xdr:row>
      <xdr:rowOff>19050</xdr:rowOff>
    </xdr:from>
    <xdr:to>
      <xdr:col>179</xdr:col>
      <xdr:colOff>588221</xdr:colOff>
      <xdr:row>42</xdr:row>
      <xdr:rowOff>161925</xdr:rowOff>
    </xdr:to>
    <xdr:pic>
      <xdr:nvPicPr>
        <xdr:cNvPr id="247" name="Picture 35" descr="New-DepEd-Official-Seal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00119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168</xdr:col>
      <xdr:colOff>28645</xdr:colOff>
      <xdr:row>39</xdr:row>
      <xdr:rowOff>61057</xdr:rowOff>
    </xdr:from>
    <xdr:to>
      <xdr:col>169</xdr:col>
      <xdr:colOff>397908</xdr:colOff>
      <xdr:row>43</xdr:row>
      <xdr:rowOff>138364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29414" y="61057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178</xdr:col>
      <xdr:colOff>514350</xdr:colOff>
      <xdr:row>39</xdr:row>
      <xdr:rowOff>19050</xdr:rowOff>
    </xdr:from>
    <xdr:to>
      <xdr:col>179</xdr:col>
      <xdr:colOff>588221</xdr:colOff>
      <xdr:row>42</xdr:row>
      <xdr:rowOff>161925</xdr:rowOff>
    </xdr:to>
    <xdr:pic>
      <xdr:nvPicPr>
        <xdr:cNvPr id="250" name="Picture 35" descr="New-DepEd-Official-Seal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00119" y="19050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189</xdr:col>
      <xdr:colOff>400050</xdr:colOff>
      <xdr:row>0</xdr:row>
      <xdr:rowOff>19993</xdr:rowOff>
    </xdr:from>
    <xdr:ext cx="733952" cy="792502"/>
    <xdr:pic>
      <xdr:nvPicPr>
        <xdr:cNvPr id="206" name="Picture 205" descr="C:\Users\edison\Downloads\deplogo.jpg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06588" y="19993"/>
          <a:ext cx="733952" cy="792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180</xdr:col>
      <xdr:colOff>19050</xdr:colOff>
      <xdr:row>0</xdr:row>
      <xdr:rowOff>36636</xdr:rowOff>
    </xdr:from>
    <xdr:to>
      <xdr:col>181</xdr:col>
      <xdr:colOff>388313</xdr:colOff>
      <xdr:row>4</xdr:row>
      <xdr:rowOff>113943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75588" y="36636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190</xdr:col>
      <xdr:colOff>514350</xdr:colOff>
      <xdr:row>0</xdr:row>
      <xdr:rowOff>19050</xdr:rowOff>
    </xdr:from>
    <xdr:to>
      <xdr:col>191</xdr:col>
      <xdr:colOff>588221</xdr:colOff>
      <xdr:row>3</xdr:row>
      <xdr:rowOff>161925</xdr:rowOff>
    </xdr:to>
    <xdr:pic>
      <xdr:nvPicPr>
        <xdr:cNvPr id="233" name="Picture 35" descr="New-DepEd-Official-Seal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3581" y="19050"/>
          <a:ext cx="806563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189</xdr:col>
      <xdr:colOff>400050</xdr:colOff>
      <xdr:row>0</xdr:row>
      <xdr:rowOff>9525</xdr:rowOff>
    </xdr:from>
    <xdr:ext cx="736917" cy="818527"/>
    <xdr:pic>
      <xdr:nvPicPr>
        <xdr:cNvPr id="236" name="Picture 235" descr="C:\Users\edison\Downloads\deplogo.jpg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06588" y="9525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190</xdr:col>
      <xdr:colOff>514350</xdr:colOff>
      <xdr:row>0</xdr:row>
      <xdr:rowOff>19050</xdr:rowOff>
    </xdr:from>
    <xdr:to>
      <xdr:col>191</xdr:col>
      <xdr:colOff>588221</xdr:colOff>
      <xdr:row>3</xdr:row>
      <xdr:rowOff>161925</xdr:rowOff>
    </xdr:to>
    <xdr:pic>
      <xdr:nvPicPr>
        <xdr:cNvPr id="237" name="Picture 35" descr="New-DepEd-Official-Seal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3581" y="19050"/>
          <a:ext cx="806563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189</xdr:col>
      <xdr:colOff>400050</xdr:colOff>
      <xdr:row>39</xdr:row>
      <xdr:rowOff>19993</xdr:rowOff>
    </xdr:from>
    <xdr:ext cx="733952" cy="792502"/>
    <xdr:pic>
      <xdr:nvPicPr>
        <xdr:cNvPr id="239" name="Picture 238" descr="C:\Users\edison\Downloads\deplogo.jpg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06588" y="6760762"/>
          <a:ext cx="733952" cy="792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180</xdr:col>
      <xdr:colOff>19050</xdr:colOff>
      <xdr:row>39</xdr:row>
      <xdr:rowOff>24424</xdr:rowOff>
    </xdr:from>
    <xdr:to>
      <xdr:col>181</xdr:col>
      <xdr:colOff>388313</xdr:colOff>
      <xdr:row>43</xdr:row>
      <xdr:rowOff>101731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75588" y="6765193"/>
          <a:ext cx="979840" cy="858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190</xdr:col>
      <xdr:colOff>514350</xdr:colOff>
      <xdr:row>39</xdr:row>
      <xdr:rowOff>19050</xdr:rowOff>
    </xdr:from>
    <xdr:to>
      <xdr:col>191</xdr:col>
      <xdr:colOff>588221</xdr:colOff>
      <xdr:row>42</xdr:row>
      <xdr:rowOff>161925</xdr:rowOff>
    </xdr:to>
    <xdr:pic>
      <xdr:nvPicPr>
        <xdr:cNvPr id="245" name="Picture 35" descr="New-DepEd-Official-Seal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3581" y="6759819"/>
          <a:ext cx="806563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189</xdr:col>
      <xdr:colOff>400050</xdr:colOff>
      <xdr:row>39</xdr:row>
      <xdr:rowOff>21737</xdr:rowOff>
    </xdr:from>
    <xdr:ext cx="736917" cy="818527"/>
    <xdr:pic>
      <xdr:nvPicPr>
        <xdr:cNvPr id="249" name="Picture 248" descr="C:\Users\edison\Downloads\deplogo.jpg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06588" y="6762506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190</xdr:col>
      <xdr:colOff>514350</xdr:colOff>
      <xdr:row>39</xdr:row>
      <xdr:rowOff>19050</xdr:rowOff>
    </xdr:from>
    <xdr:to>
      <xdr:col>191</xdr:col>
      <xdr:colOff>588221</xdr:colOff>
      <xdr:row>42</xdr:row>
      <xdr:rowOff>161925</xdr:rowOff>
    </xdr:to>
    <xdr:pic>
      <xdr:nvPicPr>
        <xdr:cNvPr id="251" name="Picture 35" descr="New-DepEd-Official-Seal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3581" y="6759819"/>
          <a:ext cx="806563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180</xdr:col>
      <xdr:colOff>19050</xdr:colOff>
      <xdr:row>39</xdr:row>
      <xdr:rowOff>20935</xdr:rowOff>
    </xdr:from>
    <xdr:to>
      <xdr:col>181</xdr:col>
      <xdr:colOff>388313</xdr:colOff>
      <xdr:row>43</xdr:row>
      <xdr:rowOff>98241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3665" y="6761704"/>
          <a:ext cx="979840" cy="85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189</xdr:col>
      <xdr:colOff>400050</xdr:colOff>
      <xdr:row>39</xdr:row>
      <xdr:rowOff>9525</xdr:rowOff>
    </xdr:from>
    <xdr:ext cx="733952" cy="838064"/>
    <xdr:pic>
      <xdr:nvPicPr>
        <xdr:cNvPr id="209" name="Picture 208" descr="C:\Users\edison\Downloads\deplogo.jpg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69185" y="6750294"/>
          <a:ext cx="733952" cy="838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190</xdr:col>
      <xdr:colOff>514350</xdr:colOff>
      <xdr:row>39</xdr:row>
      <xdr:rowOff>19050</xdr:rowOff>
    </xdr:from>
    <xdr:to>
      <xdr:col>191</xdr:col>
      <xdr:colOff>588221</xdr:colOff>
      <xdr:row>42</xdr:row>
      <xdr:rowOff>161925</xdr:rowOff>
    </xdr:to>
    <xdr:pic>
      <xdr:nvPicPr>
        <xdr:cNvPr id="252" name="Picture 35" descr="New-DepEd-Official-Seal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3965" y="6759819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180</xdr:col>
      <xdr:colOff>53068</xdr:colOff>
      <xdr:row>39</xdr:row>
      <xdr:rowOff>24424</xdr:rowOff>
    </xdr:from>
    <xdr:to>
      <xdr:col>181</xdr:col>
      <xdr:colOff>422331</xdr:colOff>
      <xdr:row>43</xdr:row>
      <xdr:rowOff>101731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57683" y="6765193"/>
          <a:ext cx="979840" cy="858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189</xdr:col>
      <xdr:colOff>400050</xdr:colOff>
      <xdr:row>39</xdr:row>
      <xdr:rowOff>33949</xdr:rowOff>
    </xdr:from>
    <xdr:ext cx="736917" cy="818527"/>
    <xdr:pic>
      <xdr:nvPicPr>
        <xdr:cNvPr id="254" name="Picture 253" descr="C:\Users\edison\Downloads\deplogo.jpg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69185" y="6774718"/>
          <a:ext cx="736917" cy="81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190</xdr:col>
      <xdr:colOff>514350</xdr:colOff>
      <xdr:row>39</xdr:row>
      <xdr:rowOff>19050</xdr:rowOff>
    </xdr:from>
    <xdr:to>
      <xdr:col>191</xdr:col>
      <xdr:colOff>588221</xdr:colOff>
      <xdr:row>42</xdr:row>
      <xdr:rowOff>161925</xdr:rowOff>
    </xdr:to>
    <xdr:pic>
      <xdr:nvPicPr>
        <xdr:cNvPr id="255" name="Picture 35" descr="New-DepEd-Official-Seal">
          <a:extLst>
            <a:ext uri="{FF2B5EF4-FFF2-40B4-BE49-F238E27FC236}">
              <a16:creationId xmlns:a16="http://schemas.microsoft.com/office/drawing/2014/main" id="{00000000-0008-0000-04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3965" y="6759819"/>
          <a:ext cx="794352" cy="729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180</xdr:col>
      <xdr:colOff>19050</xdr:colOff>
      <xdr:row>39</xdr:row>
      <xdr:rowOff>31604</xdr:rowOff>
    </xdr:from>
    <xdr:to>
      <xdr:col>181</xdr:col>
      <xdr:colOff>388313</xdr:colOff>
      <xdr:row>43</xdr:row>
      <xdr:rowOff>108911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23665" y="7163142"/>
          <a:ext cx="979840" cy="858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189</xdr:col>
      <xdr:colOff>400050</xdr:colOff>
      <xdr:row>39</xdr:row>
      <xdr:rowOff>63758</xdr:rowOff>
    </xdr:from>
    <xdr:ext cx="733952" cy="838065"/>
    <xdr:pic>
      <xdr:nvPicPr>
        <xdr:cNvPr id="257" name="Picture 256" descr="C:\Users\edison\Downloads\deplogo.jpg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69185" y="6804527"/>
          <a:ext cx="733952" cy="83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190</xdr:col>
      <xdr:colOff>514350</xdr:colOff>
      <xdr:row>39</xdr:row>
      <xdr:rowOff>71488</xdr:rowOff>
    </xdr:from>
    <xdr:to>
      <xdr:col>191</xdr:col>
      <xdr:colOff>588221</xdr:colOff>
      <xdr:row>43</xdr:row>
      <xdr:rowOff>18979</xdr:rowOff>
    </xdr:to>
    <xdr:pic>
      <xdr:nvPicPr>
        <xdr:cNvPr id="258" name="Picture 35" descr="New-DepEd-Official-Seal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3965" y="6812257"/>
          <a:ext cx="794352" cy="72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29284</xdr:colOff>
      <xdr:row>0</xdr:row>
      <xdr:rowOff>41867</xdr:rowOff>
    </xdr:from>
    <xdr:to>
      <xdr:col>1</xdr:col>
      <xdr:colOff>235451</xdr:colOff>
      <xdr:row>4</xdr:row>
      <xdr:rowOff>32106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6195" cy="7715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363880</xdr:colOff>
      <xdr:row>0</xdr:row>
      <xdr:rowOff>29517</xdr:rowOff>
    </xdr:from>
    <xdr:to>
      <xdr:col>11</xdr:col>
      <xdr:colOff>524093</xdr:colOff>
      <xdr:row>3</xdr:row>
      <xdr:rowOff>171596</xdr:rowOff>
    </xdr:to>
    <xdr:pic>
      <xdr:nvPicPr>
        <xdr:cNvPr id="4" name="Picture 35" descr="New-DepEd-Official-Sea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240" y="29517"/>
          <a:ext cx="706027" cy="7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29284</xdr:colOff>
      <xdr:row>0</xdr:row>
      <xdr:rowOff>41867</xdr:rowOff>
    </xdr:from>
    <xdr:to>
      <xdr:col>13</xdr:col>
      <xdr:colOff>235451</xdr:colOff>
      <xdr:row>4</xdr:row>
      <xdr:rowOff>32106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3386" cy="764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363880</xdr:colOff>
      <xdr:row>0</xdr:row>
      <xdr:rowOff>29517</xdr:rowOff>
    </xdr:from>
    <xdr:to>
      <xdr:col>23</xdr:col>
      <xdr:colOff>524093</xdr:colOff>
      <xdr:row>3</xdr:row>
      <xdr:rowOff>171596</xdr:rowOff>
    </xdr:to>
    <xdr:pic>
      <xdr:nvPicPr>
        <xdr:cNvPr id="8" name="Picture 35" descr="New-DepEd-Official-Seal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0286" y="29517"/>
          <a:ext cx="707901" cy="713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29284</xdr:colOff>
      <xdr:row>0</xdr:row>
      <xdr:rowOff>41867</xdr:rowOff>
    </xdr:from>
    <xdr:to>
      <xdr:col>25</xdr:col>
      <xdr:colOff>235451</xdr:colOff>
      <xdr:row>4</xdr:row>
      <xdr:rowOff>32106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5767" cy="764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363880</xdr:colOff>
      <xdr:row>0</xdr:row>
      <xdr:rowOff>29517</xdr:rowOff>
    </xdr:from>
    <xdr:to>
      <xdr:col>35</xdr:col>
      <xdr:colOff>524093</xdr:colOff>
      <xdr:row>3</xdr:row>
      <xdr:rowOff>171596</xdr:rowOff>
    </xdr:to>
    <xdr:pic>
      <xdr:nvPicPr>
        <xdr:cNvPr id="10" name="Picture 35" descr="New-DepEd-Official-Seal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8380" y="29517"/>
          <a:ext cx="706313" cy="713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36</xdr:col>
      <xdr:colOff>29284</xdr:colOff>
      <xdr:row>0</xdr:row>
      <xdr:rowOff>41867</xdr:rowOff>
    </xdr:from>
    <xdr:to>
      <xdr:col>37</xdr:col>
      <xdr:colOff>235451</xdr:colOff>
      <xdr:row>4</xdr:row>
      <xdr:rowOff>32106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38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363880</xdr:colOff>
      <xdr:row>0</xdr:row>
      <xdr:rowOff>29517</xdr:rowOff>
    </xdr:from>
    <xdr:to>
      <xdr:col>47</xdr:col>
      <xdr:colOff>524093</xdr:colOff>
      <xdr:row>3</xdr:row>
      <xdr:rowOff>171596</xdr:rowOff>
    </xdr:to>
    <xdr:pic>
      <xdr:nvPicPr>
        <xdr:cNvPr id="12" name="Picture 35" descr="New-DepEd-Official-Seal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686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29284</xdr:colOff>
      <xdr:row>0</xdr:row>
      <xdr:rowOff>41867</xdr:rowOff>
    </xdr:from>
    <xdr:to>
      <xdr:col>49</xdr:col>
      <xdr:colOff>235451</xdr:colOff>
      <xdr:row>4</xdr:row>
      <xdr:rowOff>32106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38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363880</xdr:colOff>
      <xdr:row>0</xdr:row>
      <xdr:rowOff>29517</xdr:rowOff>
    </xdr:from>
    <xdr:to>
      <xdr:col>59</xdr:col>
      <xdr:colOff>524093</xdr:colOff>
      <xdr:row>3</xdr:row>
      <xdr:rowOff>171596</xdr:rowOff>
    </xdr:to>
    <xdr:pic>
      <xdr:nvPicPr>
        <xdr:cNvPr id="14" name="Picture 35" descr="New-DepEd-Official-Seal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686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60</xdr:col>
      <xdr:colOff>29284</xdr:colOff>
      <xdr:row>0</xdr:row>
      <xdr:rowOff>41867</xdr:rowOff>
    </xdr:from>
    <xdr:to>
      <xdr:col>61</xdr:col>
      <xdr:colOff>235451</xdr:colOff>
      <xdr:row>4</xdr:row>
      <xdr:rowOff>32106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38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70</xdr:col>
      <xdr:colOff>363880</xdr:colOff>
      <xdr:row>0</xdr:row>
      <xdr:rowOff>29517</xdr:rowOff>
    </xdr:from>
    <xdr:to>
      <xdr:col>71</xdr:col>
      <xdr:colOff>524093</xdr:colOff>
      <xdr:row>3</xdr:row>
      <xdr:rowOff>171596</xdr:rowOff>
    </xdr:to>
    <xdr:pic>
      <xdr:nvPicPr>
        <xdr:cNvPr id="16" name="Picture 35" descr="New-DepEd-Official-Seal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686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72</xdr:col>
      <xdr:colOff>29284</xdr:colOff>
      <xdr:row>0</xdr:row>
      <xdr:rowOff>41867</xdr:rowOff>
    </xdr:from>
    <xdr:to>
      <xdr:col>73</xdr:col>
      <xdr:colOff>235451</xdr:colOff>
      <xdr:row>4</xdr:row>
      <xdr:rowOff>32106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38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82</xdr:col>
      <xdr:colOff>363880</xdr:colOff>
      <xdr:row>0</xdr:row>
      <xdr:rowOff>29517</xdr:rowOff>
    </xdr:from>
    <xdr:to>
      <xdr:col>83</xdr:col>
      <xdr:colOff>524093</xdr:colOff>
      <xdr:row>3</xdr:row>
      <xdr:rowOff>171596</xdr:rowOff>
    </xdr:to>
    <xdr:pic>
      <xdr:nvPicPr>
        <xdr:cNvPr id="18" name="Picture 35" descr="New-DepEd-Official-Seal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686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84</xdr:col>
      <xdr:colOff>29284</xdr:colOff>
      <xdr:row>0</xdr:row>
      <xdr:rowOff>41867</xdr:rowOff>
    </xdr:from>
    <xdr:to>
      <xdr:col>85</xdr:col>
      <xdr:colOff>235451</xdr:colOff>
      <xdr:row>4</xdr:row>
      <xdr:rowOff>32106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38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94</xdr:col>
      <xdr:colOff>363880</xdr:colOff>
      <xdr:row>0</xdr:row>
      <xdr:rowOff>29517</xdr:rowOff>
    </xdr:from>
    <xdr:to>
      <xdr:col>95</xdr:col>
      <xdr:colOff>524093</xdr:colOff>
      <xdr:row>3</xdr:row>
      <xdr:rowOff>171596</xdr:rowOff>
    </xdr:to>
    <xdr:pic>
      <xdr:nvPicPr>
        <xdr:cNvPr id="22" name="Picture 35" descr="New-DepEd-Official-Seal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686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96</xdr:col>
      <xdr:colOff>29284</xdr:colOff>
      <xdr:row>0</xdr:row>
      <xdr:rowOff>41867</xdr:rowOff>
    </xdr:from>
    <xdr:to>
      <xdr:col>97</xdr:col>
      <xdr:colOff>235451</xdr:colOff>
      <xdr:row>4</xdr:row>
      <xdr:rowOff>32106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38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106</xdr:col>
      <xdr:colOff>363880</xdr:colOff>
      <xdr:row>0</xdr:row>
      <xdr:rowOff>29517</xdr:rowOff>
    </xdr:from>
    <xdr:to>
      <xdr:col>107</xdr:col>
      <xdr:colOff>524093</xdr:colOff>
      <xdr:row>3</xdr:row>
      <xdr:rowOff>171596</xdr:rowOff>
    </xdr:to>
    <xdr:pic>
      <xdr:nvPicPr>
        <xdr:cNvPr id="24" name="Picture 35" descr="New-DepEd-Official-Seal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686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108</xdr:col>
      <xdr:colOff>29284</xdr:colOff>
      <xdr:row>0</xdr:row>
      <xdr:rowOff>41867</xdr:rowOff>
    </xdr:from>
    <xdr:to>
      <xdr:col>109</xdr:col>
      <xdr:colOff>235451</xdr:colOff>
      <xdr:row>4</xdr:row>
      <xdr:rowOff>32106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38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118</xdr:col>
      <xdr:colOff>363880</xdr:colOff>
      <xdr:row>0</xdr:row>
      <xdr:rowOff>29517</xdr:rowOff>
    </xdr:from>
    <xdr:to>
      <xdr:col>119</xdr:col>
      <xdr:colOff>524093</xdr:colOff>
      <xdr:row>3</xdr:row>
      <xdr:rowOff>171596</xdr:rowOff>
    </xdr:to>
    <xdr:pic>
      <xdr:nvPicPr>
        <xdr:cNvPr id="26" name="Picture 35" descr="New-DepEd-Official-Seal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686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29284</xdr:colOff>
      <xdr:row>0</xdr:row>
      <xdr:rowOff>41867</xdr:rowOff>
    </xdr:from>
    <xdr:to>
      <xdr:col>121</xdr:col>
      <xdr:colOff>235451</xdr:colOff>
      <xdr:row>4</xdr:row>
      <xdr:rowOff>32106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38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130</xdr:col>
      <xdr:colOff>363880</xdr:colOff>
      <xdr:row>0</xdr:row>
      <xdr:rowOff>29517</xdr:rowOff>
    </xdr:from>
    <xdr:to>
      <xdr:col>131</xdr:col>
      <xdr:colOff>524093</xdr:colOff>
      <xdr:row>3</xdr:row>
      <xdr:rowOff>171596</xdr:rowOff>
    </xdr:to>
    <xdr:pic>
      <xdr:nvPicPr>
        <xdr:cNvPr id="28" name="Picture 35" descr="New-DepEd-Official-Seal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686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132</xdr:col>
      <xdr:colOff>29284</xdr:colOff>
      <xdr:row>0</xdr:row>
      <xdr:rowOff>41867</xdr:rowOff>
    </xdr:from>
    <xdr:to>
      <xdr:col>133</xdr:col>
      <xdr:colOff>235451</xdr:colOff>
      <xdr:row>4</xdr:row>
      <xdr:rowOff>32106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38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142</xdr:col>
      <xdr:colOff>363880</xdr:colOff>
      <xdr:row>0</xdr:row>
      <xdr:rowOff>29517</xdr:rowOff>
    </xdr:from>
    <xdr:to>
      <xdr:col>143</xdr:col>
      <xdr:colOff>524093</xdr:colOff>
      <xdr:row>3</xdr:row>
      <xdr:rowOff>171596</xdr:rowOff>
    </xdr:to>
    <xdr:pic>
      <xdr:nvPicPr>
        <xdr:cNvPr id="30" name="Picture 35" descr="New-DepEd-Official-Seal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686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144</xdr:col>
      <xdr:colOff>29284</xdr:colOff>
      <xdr:row>0</xdr:row>
      <xdr:rowOff>41867</xdr:rowOff>
    </xdr:from>
    <xdr:to>
      <xdr:col>145</xdr:col>
      <xdr:colOff>235451</xdr:colOff>
      <xdr:row>4</xdr:row>
      <xdr:rowOff>32106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38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154</xdr:col>
      <xdr:colOff>363880</xdr:colOff>
      <xdr:row>0</xdr:row>
      <xdr:rowOff>29517</xdr:rowOff>
    </xdr:from>
    <xdr:to>
      <xdr:col>155</xdr:col>
      <xdr:colOff>524093</xdr:colOff>
      <xdr:row>3</xdr:row>
      <xdr:rowOff>171596</xdr:rowOff>
    </xdr:to>
    <xdr:pic>
      <xdr:nvPicPr>
        <xdr:cNvPr id="32" name="Picture 35" descr="New-DepEd-Official-Seal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686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29284</xdr:colOff>
      <xdr:row>0</xdr:row>
      <xdr:rowOff>41867</xdr:rowOff>
    </xdr:from>
    <xdr:to>
      <xdr:col>157</xdr:col>
      <xdr:colOff>235451</xdr:colOff>
      <xdr:row>4</xdr:row>
      <xdr:rowOff>32106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38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166</xdr:col>
      <xdr:colOff>363880</xdr:colOff>
      <xdr:row>0</xdr:row>
      <xdr:rowOff>29517</xdr:rowOff>
    </xdr:from>
    <xdr:to>
      <xdr:col>167</xdr:col>
      <xdr:colOff>524093</xdr:colOff>
      <xdr:row>3</xdr:row>
      <xdr:rowOff>171596</xdr:rowOff>
    </xdr:to>
    <xdr:pic>
      <xdr:nvPicPr>
        <xdr:cNvPr id="34" name="Picture 35" descr="New-DepEd-Official-Seal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686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168</xdr:col>
      <xdr:colOff>29284</xdr:colOff>
      <xdr:row>0</xdr:row>
      <xdr:rowOff>41867</xdr:rowOff>
    </xdr:from>
    <xdr:to>
      <xdr:col>169</xdr:col>
      <xdr:colOff>235451</xdr:colOff>
      <xdr:row>4</xdr:row>
      <xdr:rowOff>32106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178</xdr:col>
      <xdr:colOff>363880</xdr:colOff>
      <xdr:row>0</xdr:row>
      <xdr:rowOff>29517</xdr:rowOff>
    </xdr:from>
    <xdr:to>
      <xdr:col>179</xdr:col>
      <xdr:colOff>524093</xdr:colOff>
      <xdr:row>3</xdr:row>
      <xdr:rowOff>171596</xdr:rowOff>
    </xdr:to>
    <xdr:pic>
      <xdr:nvPicPr>
        <xdr:cNvPr id="80" name="Picture 35" descr="New-DepEd-Official-Seal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720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180</xdr:col>
      <xdr:colOff>29284</xdr:colOff>
      <xdr:row>0</xdr:row>
      <xdr:rowOff>41867</xdr:rowOff>
    </xdr:from>
    <xdr:to>
      <xdr:col>181</xdr:col>
      <xdr:colOff>235451</xdr:colOff>
      <xdr:row>4</xdr:row>
      <xdr:rowOff>32106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190</xdr:col>
      <xdr:colOff>363880</xdr:colOff>
      <xdr:row>0</xdr:row>
      <xdr:rowOff>29517</xdr:rowOff>
    </xdr:from>
    <xdr:to>
      <xdr:col>191</xdr:col>
      <xdr:colOff>524093</xdr:colOff>
      <xdr:row>3</xdr:row>
      <xdr:rowOff>171596</xdr:rowOff>
    </xdr:to>
    <xdr:pic>
      <xdr:nvPicPr>
        <xdr:cNvPr id="82" name="Picture 35" descr="New-DepEd-Official-Seal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720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29284</xdr:colOff>
      <xdr:row>0</xdr:row>
      <xdr:rowOff>41867</xdr:rowOff>
    </xdr:from>
    <xdr:to>
      <xdr:col>193</xdr:col>
      <xdr:colOff>235451</xdr:colOff>
      <xdr:row>4</xdr:row>
      <xdr:rowOff>32106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202</xdr:col>
      <xdr:colOff>363880</xdr:colOff>
      <xdr:row>0</xdr:row>
      <xdr:rowOff>29517</xdr:rowOff>
    </xdr:from>
    <xdr:to>
      <xdr:col>203</xdr:col>
      <xdr:colOff>524093</xdr:colOff>
      <xdr:row>3</xdr:row>
      <xdr:rowOff>171596</xdr:rowOff>
    </xdr:to>
    <xdr:pic>
      <xdr:nvPicPr>
        <xdr:cNvPr id="84" name="Picture 35" descr="New-DepEd-Official-Seal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720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204</xdr:col>
      <xdr:colOff>29284</xdr:colOff>
      <xdr:row>0</xdr:row>
      <xdr:rowOff>41867</xdr:rowOff>
    </xdr:from>
    <xdr:to>
      <xdr:col>205</xdr:col>
      <xdr:colOff>235451</xdr:colOff>
      <xdr:row>4</xdr:row>
      <xdr:rowOff>32106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214</xdr:col>
      <xdr:colOff>363880</xdr:colOff>
      <xdr:row>0</xdr:row>
      <xdr:rowOff>29517</xdr:rowOff>
    </xdr:from>
    <xdr:to>
      <xdr:col>215</xdr:col>
      <xdr:colOff>524093</xdr:colOff>
      <xdr:row>3</xdr:row>
      <xdr:rowOff>171596</xdr:rowOff>
    </xdr:to>
    <xdr:pic>
      <xdr:nvPicPr>
        <xdr:cNvPr id="86" name="Picture 35" descr="New-DepEd-Official-Seal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720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216</xdr:col>
      <xdr:colOff>29284</xdr:colOff>
      <xdr:row>0</xdr:row>
      <xdr:rowOff>41867</xdr:rowOff>
    </xdr:from>
    <xdr:to>
      <xdr:col>217</xdr:col>
      <xdr:colOff>235451</xdr:colOff>
      <xdr:row>4</xdr:row>
      <xdr:rowOff>32106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226</xdr:col>
      <xdr:colOff>363880</xdr:colOff>
      <xdr:row>0</xdr:row>
      <xdr:rowOff>29517</xdr:rowOff>
    </xdr:from>
    <xdr:to>
      <xdr:col>227</xdr:col>
      <xdr:colOff>524093</xdr:colOff>
      <xdr:row>3</xdr:row>
      <xdr:rowOff>171596</xdr:rowOff>
    </xdr:to>
    <xdr:pic>
      <xdr:nvPicPr>
        <xdr:cNvPr id="88" name="Picture 35" descr="New-DepEd-Official-Seal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720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228</xdr:col>
      <xdr:colOff>29284</xdr:colOff>
      <xdr:row>0</xdr:row>
      <xdr:rowOff>41867</xdr:rowOff>
    </xdr:from>
    <xdr:to>
      <xdr:col>229</xdr:col>
      <xdr:colOff>235451</xdr:colOff>
      <xdr:row>4</xdr:row>
      <xdr:rowOff>32106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238</xdr:col>
      <xdr:colOff>363880</xdr:colOff>
      <xdr:row>0</xdr:row>
      <xdr:rowOff>29517</xdr:rowOff>
    </xdr:from>
    <xdr:to>
      <xdr:col>239</xdr:col>
      <xdr:colOff>524093</xdr:colOff>
      <xdr:row>3</xdr:row>
      <xdr:rowOff>171596</xdr:rowOff>
    </xdr:to>
    <xdr:pic>
      <xdr:nvPicPr>
        <xdr:cNvPr id="90" name="Picture 35" descr="New-DepEd-Official-Seal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720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240</xdr:col>
      <xdr:colOff>29284</xdr:colOff>
      <xdr:row>0</xdr:row>
      <xdr:rowOff>41867</xdr:rowOff>
    </xdr:from>
    <xdr:to>
      <xdr:col>241</xdr:col>
      <xdr:colOff>235451</xdr:colOff>
      <xdr:row>4</xdr:row>
      <xdr:rowOff>32106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250</xdr:col>
      <xdr:colOff>363880</xdr:colOff>
      <xdr:row>0</xdr:row>
      <xdr:rowOff>29517</xdr:rowOff>
    </xdr:from>
    <xdr:to>
      <xdr:col>251</xdr:col>
      <xdr:colOff>524093</xdr:colOff>
      <xdr:row>3</xdr:row>
      <xdr:rowOff>171596</xdr:rowOff>
    </xdr:to>
    <xdr:pic>
      <xdr:nvPicPr>
        <xdr:cNvPr id="92" name="Picture 35" descr="New-DepEd-Official-Seal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720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252</xdr:col>
      <xdr:colOff>29284</xdr:colOff>
      <xdr:row>0</xdr:row>
      <xdr:rowOff>41867</xdr:rowOff>
    </xdr:from>
    <xdr:to>
      <xdr:col>253</xdr:col>
      <xdr:colOff>235451</xdr:colOff>
      <xdr:row>4</xdr:row>
      <xdr:rowOff>32106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262</xdr:col>
      <xdr:colOff>363880</xdr:colOff>
      <xdr:row>0</xdr:row>
      <xdr:rowOff>29517</xdr:rowOff>
    </xdr:from>
    <xdr:to>
      <xdr:col>263</xdr:col>
      <xdr:colOff>524093</xdr:colOff>
      <xdr:row>3</xdr:row>
      <xdr:rowOff>171596</xdr:rowOff>
    </xdr:to>
    <xdr:pic>
      <xdr:nvPicPr>
        <xdr:cNvPr id="94" name="Picture 35" descr="New-DepEd-Official-Seal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720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264</xdr:col>
      <xdr:colOff>29284</xdr:colOff>
      <xdr:row>0</xdr:row>
      <xdr:rowOff>41867</xdr:rowOff>
    </xdr:from>
    <xdr:to>
      <xdr:col>265</xdr:col>
      <xdr:colOff>235451</xdr:colOff>
      <xdr:row>4</xdr:row>
      <xdr:rowOff>32106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274</xdr:col>
      <xdr:colOff>363880</xdr:colOff>
      <xdr:row>0</xdr:row>
      <xdr:rowOff>29517</xdr:rowOff>
    </xdr:from>
    <xdr:to>
      <xdr:col>275</xdr:col>
      <xdr:colOff>524093</xdr:colOff>
      <xdr:row>3</xdr:row>
      <xdr:rowOff>171596</xdr:rowOff>
    </xdr:to>
    <xdr:pic>
      <xdr:nvPicPr>
        <xdr:cNvPr id="96" name="Picture 35" descr="New-DepEd-Official-Seal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720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276</xdr:col>
      <xdr:colOff>29284</xdr:colOff>
      <xdr:row>0</xdr:row>
      <xdr:rowOff>41867</xdr:rowOff>
    </xdr:from>
    <xdr:to>
      <xdr:col>277</xdr:col>
      <xdr:colOff>235451</xdr:colOff>
      <xdr:row>4</xdr:row>
      <xdr:rowOff>32106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286</xdr:col>
      <xdr:colOff>363880</xdr:colOff>
      <xdr:row>0</xdr:row>
      <xdr:rowOff>29517</xdr:rowOff>
    </xdr:from>
    <xdr:to>
      <xdr:col>287</xdr:col>
      <xdr:colOff>524093</xdr:colOff>
      <xdr:row>3</xdr:row>
      <xdr:rowOff>171596</xdr:rowOff>
    </xdr:to>
    <xdr:pic>
      <xdr:nvPicPr>
        <xdr:cNvPr id="98" name="Picture 35" descr="New-DepEd-Official-Seal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720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288</xdr:col>
      <xdr:colOff>29284</xdr:colOff>
      <xdr:row>0</xdr:row>
      <xdr:rowOff>41867</xdr:rowOff>
    </xdr:from>
    <xdr:to>
      <xdr:col>289</xdr:col>
      <xdr:colOff>235451</xdr:colOff>
      <xdr:row>4</xdr:row>
      <xdr:rowOff>32106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8488" cy="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298</xdr:col>
      <xdr:colOff>363880</xdr:colOff>
      <xdr:row>0</xdr:row>
      <xdr:rowOff>29517</xdr:rowOff>
    </xdr:from>
    <xdr:to>
      <xdr:col>299</xdr:col>
      <xdr:colOff>524093</xdr:colOff>
      <xdr:row>3</xdr:row>
      <xdr:rowOff>171596</xdr:rowOff>
    </xdr:to>
    <xdr:pic>
      <xdr:nvPicPr>
        <xdr:cNvPr id="100" name="Picture 35" descr="New-DepEd-Official-Seal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773" y="29517"/>
          <a:ext cx="704499" cy="720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300</xdr:col>
      <xdr:colOff>29284</xdr:colOff>
      <xdr:row>0</xdr:row>
      <xdr:rowOff>41867</xdr:rowOff>
    </xdr:from>
    <xdr:to>
      <xdr:col>301</xdr:col>
      <xdr:colOff>235451</xdr:colOff>
      <xdr:row>4</xdr:row>
      <xdr:rowOff>32106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9270" cy="74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310</xdr:col>
      <xdr:colOff>363880</xdr:colOff>
      <xdr:row>0</xdr:row>
      <xdr:rowOff>29517</xdr:rowOff>
    </xdr:from>
    <xdr:to>
      <xdr:col>311</xdr:col>
      <xdr:colOff>524093</xdr:colOff>
      <xdr:row>3</xdr:row>
      <xdr:rowOff>171596</xdr:rowOff>
    </xdr:to>
    <xdr:pic>
      <xdr:nvPicPr>
        <xdr:cNvPr id="102" name="Picture 35" descr="New-DepEd-Official-Seal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3708" y="29517"/>
          <a:ext cx="707626" cy="70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312</xdr:col>
      <xdr:colOff>29284</xdr:colOff>
      <xdr:row>0</xdr:row>
      <xdr:rowOff>41867</xdr:rowOff>
    </xdr:from>
    <xdr:to>
      <xdr:col>313</xdr:col>
      <xdr:colOff>235451</xdr:colOff>
      <xdr:row>4</xdr:row>
      <xdr:rowOff>32106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9270" cy="74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322</xdr:col>
      <xdr:colOff>363880</xdr:colOff>
      <xdr:row>0</xdr:row>
      <xdr:rowOff>29517</xdr:rowOff>
    </xdr:from>
    <xdr:to>
      <xdr:col>323</xdr:col>
      <xdr:colOff>524093</xdr:colOff>
      <xdr:row>3</xdr:row>
      <xdr:rowOff>171596</xdr:rowOff>
    </xdr:to>
    <xdr:pic>
      <xdr:nvPicPr>
        <xdr:cNvPr id="104" name="Picture 35" descr="New-DepEd-Official-Seal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3708" y="29517"/>
          <a:ext cx="707626" cy="70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324</xdr:col>
      <xdr:colOff>29284</xdr:colOff>
      <xdr:row>0</xdr:row>
      <xdr:rowOff>41867</xdr:rowOff>
    </xdr:from>
    <xdr:to>
      <xdr:col>325</xdr:col>
      <xdr:colOff>235451</xdr:colOff>
      <xdr:row>4</xdr:row>
      <xdr:rowOff>32106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9270" cy="74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334</xdr:col>
      <xdr:colOff>363880</xdr:colOff>
      <xdr:row>0</xdr:row>
      <xdr:rowOff>29517</xdr:rowOff>
    </xdr:from>
    <xdr:to>
      <xdr:col>335</xdr:col>
      <xdr:colOff>524093</xdr:colOff>
      <xdr:row>3</xdr:row>
      <xdr:rowOff>171596</xdr:rowOff>
    </xdr:to>
    <xdr:pic>
      <xdr:nvPicPr>
        <xdr:cNvPr id="106" name="Picture 35" descr="New-DepEd-Official-Seal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3708" y="29517"/>
          <a:ext cx="707626" cy="70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336</xdr:col>
      <xdr:colOff>29284</xdr:colOff>
      <xdr:row>0</xdr:row>
      <xdr:rowOff>41867</xdr:rowOff>
    </xdr:from>
    <xdr:to>
      <xdr:col>337</xdr:col>
      <xdr:colOff>235451</xdr:colOff>
      <xdr:row>4</xdr:row>
      <xdr:rowOff>32106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9270" cy="74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346</xdr:col>
      <xdr:colOff>363880</xdr:colOff>
      <xdr:row>0</xdr:row>
      <xdr:rowOff>29517</xdr:rowOff>
    </xdr:from>
    <xdr:to>
      <xdr:col>347</xdr:col>
      <xdr:colOff>524093</xdr:colOff>
      <xdr:row>3</xdr:row>
      <xdr:rowOff>171596</xdr:rowOff>
    </xdr:to>
    <xdr:pic>
      <xdr:nvPicPr>
        <xdr:cNvPr id="108" name="Picture 35" descr="New-DepEd-Official-Seal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3708" y="29517"/>
          <a:ext cx="707626" cy="70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348</xdr:col>
      <xdr:colOff>29284</xdr:colOff>
      <xdr:row>0</xdr:row>
      <xdr:rowOff>41867</xdr:rowOff>
    </xdr:from>
    <xdr:to>
      <xdr:col>349</xdr:col>
      <xdr:colOff>235451</xdr:colOff>
      <xdr:row>4</xdr:row>
      <xdr:rowOff>32106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9270" cy="74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358</xdr:col>
      <xdr:colOff>363880</xdr:colOff>
      <xdr:row>0</xdr:row>
      <xdr:rowOff>29517</xdr:rowOff>
    </xdr:from>
    <xdr:to>
      <xdr:col>359</xdr:col>
      <xdr:colOff>524093</xdr:colOff>
      <xdr:row>3</xdr:row>
      <xdr:rowOff>171596</xdr:rowOff>
    </xdr:to>
    <xdr:pic>
      <xdr:nvPicPr>
        <xdr:cNvPr id="110" name="Picture 35" descr="New-DepEd-Official-Seal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3708" y="29517"/>
          <a:ext cx="707626" cy="70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360</xdr:col>
      <xdr:colOff>29284</xdr:colOff>
      <xdr:row>0</xdr:row>
      <xdr:rowOff>41867</xdr:rowOff>
    </xdr:from>
    <xdr:to>
      <xdr:col>361</xdr:col>
      <xdr:colOff>235451</xdr:colOff>
      <xdr:row>4</xdr:row>
      <xdr:rowOff>32106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9270" cy="74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370</xdr:col>
      <xdr:colOff>363880</xdr:colOff>
      <xdr:row>0</xdr:row>
      <xdr:rowOff>29517</xdr:rowOff>
    </xdr:from>
    <xdr:to>
      <xdr:col>371</xdr:col>
      <xdr:colOff>524093</xdr:colOff>
      <xdr:row>3</xdr:row>
      <xdr:rowOff>171596</xdr:rowOff>
    </xdr:to>
    <xdr:pic>
      <xdr:nvPicPr>
        <xdr:cNvPr id="112" name="Picture 35" descr="New-DepEd-Official-Seal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3708" y="29517"/>
          <a:ext cx="707626" cy="70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372</xdr:col>
      <xdr:colOff>29284</xdr:colOff>
      <xdr:row>0</xdr:row>
      <xdr:rowOff>41867</xdr:rowOff>
    </xdr:from>
    <xdr:to>
      <xdr:col>373</xdr:col>
      <xdr:colOff>235451</xdr:colOff>
      <xdr:row>4</xdr:row>
      <xdr:rowOff>32106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9270" cy="74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382</xdr:col>
      <xdr:colOff>363880</xdr:colOff>
      <xdr:row>0</xdr:row>
      <xdr:rowOff>29517</xdr:rowOff>
    </xdr:from>
    <xdr:to>
      <xdr:col>383</xdr:col>
      <xdr:colOff>524093</xdr:colOff>
      <xdr:row>3</xdr:row>
      <xdr:rowOff>171596</xdr:rowOff>
    </xdr:to>
    <xdr:pic>
      <xdr:nvPicPr>
        <xdr:cNvPr id="114" name="Picture 35" descr="New-DepEd-Official-Seal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3708" y="29517"/>
          <a:ext cx="707626" cy="70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384</xdr:col>
      <xdr:colOff>29284</xdr:colOff>
      <xdr:row>0</xdr:row>
      <xdr:rowOff>41867</xdr:rowOff>
    </xdr:from>
    <xdr:to>
      <xdr:col>385</xdr:col>
      <xdr:colOff>235451</xdr:colOff>
      <xdr:row>4</xdr:row>
      <xdr:rowOff>32106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9270" cy="74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394</xdr:col>
      <xdr:colOff>363880</xdr:colOff>
      <xdr:row>0</xdr:row>
      <xdr:rowOff>29517</xdr:rowOff>
    </xdr:from>
    <xdr:to>
      <xdr:col>395</xdr:col>
      <xdr:colOff>524093</xdr:colOff>
      <xdr:row>3</xdr:row>
      <xdr:rowOff>171596</xdr:rowOff>
    </xdr:to>
    <xdr:pic>
      <xdr:nvPicPr>
        <xdr:cNvPr id="116" name="Picture 35" descr="New-DepEd-Official-Seal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3708" y="29517"/>
          <a:ext cx="707626" cy="70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396</xdr:col>
      <xdr:colOff>29284</xdr:colOff>
      <xdr:row>0</xdr:row>
      <xdr:rowOff>41867</xdr:rowOff>
    </xdr:from>
    <xdr:to>
      <xdr:col>397</xdr:col>
      <xdr:colOff>235451</xdr:colOff>
      <xdr:row>4</xdr:row>
      <xdr:rowOff>32106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9270" cy="74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406</xdr:col>
      <xdr:colOff>363880</xdr:colOff>
      <xdr:row>0</xdr:row>
      <xdr:rowOff>29517</xdr:rowOff>
    </xdr:from>
    <xdr:to>
      <xdr:col>407</xdr:col>
      <xdr:colOff>524093</xdr:colOff>
      <xdr:row>3</xdr:row>
      <xdr:rowOff>171596</xdr:rowOff>
    </xdr:to>
    <xdr:pic>
      <xdr:nvPicPr>
        <xdr:cNvPr id="118" name="Picture 35" descr="New-DepEd-Official-Seal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3708" y="29517"/>
          <a:ext cx="707626" cy="70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408</xdr:col>
      <xdr:colOff>29284</xdr:colOff>
      <xdr:row>0</xdr:row>
      <xdr:rowOff>41867</xdr:rowOff>
    </xdr:from>
    <xdr:to>
      <xdr:col>409</xdr:col>
      <xdr:colOff>235451</xdr:colOff>
      <xdr:row>4</xdr:row>
      <xdr:rowOff>32106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9270" cy="74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418</xdr:col>
      <xdr:colOff>363880</xdr:colOff>
      <xdr:row>0</xdr:row>
      <xdr:rowOff>29517</xdr:rowOff>
    </xdr:from>
    <xdr:to>
      <xdr:col>419</xdr:col>
      <xdr:colOff>524093</xdr:colOff>
      <xdr:row>3</xdr:row>
      <xdr:rowOff>171596</xdr:rowOff>
    </xdr:to>
    <xdr:pic>
      <xdr:nvPicPr>
        <xdr:cNvPr id="120" name="Picture 35" descr="New-DepEd-Official-Seal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3708" y="29517"/>
          <a:ext cx="707626" cy="70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420</xdr:col>
      <xdr:colOff>29284</xdr:colOff>
      <xdr:row>0</xdr:row>
      <xdr:rowOff>41867</xdr:rowOff>
    </xdr:from>
    <xdr:to>
      <xdr:col>421</xdr:col>
      <xdr:colOff>235451</xdr:colOff>
      <xdr:row>4</xdr:row>
      <xdr:rowOff>32106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" y="41867"/>
          <a:ext cx="819270" cy="74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430</xdr:col>
      <xdr:colOff>363880</xdr:colOff>
      <xdr:row>0</xdr:row>
      <xdr:rowOff>29517</xdr:rowOff>
    </xdr:from>
    <xdr:to>
      <xdr:col>431</xdr:col>
      <xdr:colOff>524093</xdr:colOff>
      <xdr:row>3</xdr:row>
      <xdr:rowOff>171596</xdr:rowOff>
    </xdr:to>
    <xdr:pic>
      <xdr:nvPicPr>
        <xdr:cNvPr id="122" name="Picture 35" descr="New-DepEd-Official-Seal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3708" y="29517"/>
          <a:ext cx="707626" cy="70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BB168"/>
  <sheetViews>
    <sheetView tabSelected="1" view="pageBreakPreview" zoomScale="78" zoomScaleNormal="78" zoomScaleSheetLayoutView="78" zoomScalePageLayoutView="71" workbookViewId="0">
      <selection activeCell="Q42" sqref="Q42"/>
    </sheetView>
  </sheetViews>
  <sheetFormatPr defaultColWidth="9.1796875" defaultRowHeight="14"/>
  <cols>
    <col min="1" max="1" width="11.81640625" style="43" customWidth="1"/>
    <col min="2" max="6" width="12.7265625" style="43" customWidth="1"/>
    <col min="7" max="7" width="12.7265625" style="66" customWidth="1"/>
    <col min="8" max="13" width="12.7265625" style="43" customWidth="1"/>
    <col min="14" max="14" width="12.7265625" style="23" customWidth="1"/>
    <col min="15" max="16" width="12.7265625" style="43" customWidth="1"/>
    <col min="17" max="45" width="12.26953125" style="44" customWidth="1"/>
    <col min="46" max="46" width="11.7265625" style="43" customWidth="1"/>
    <col min="47" max="47" width="8.453125" style="43" customWidth="1"/>
    <col min="48" max="49" width="9.1796875" style="43" customWidth="1"/>
    <col min="50" max="50" width="18.453125" style="43" customWidth="1"/>
    <col min="51" max="51" width="9.1796875" style="43" customWidth="1"/>
    <col min="52" max="16384" width="9.1796875" style="43"/>
  </cols>
  <sheetData>
    <row r="1" spans="1:54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</row>
    <row r="2" spans="1:54">
      <c r="A2" s="144" t="s">
        <v>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</row>
    <row r="3" spans="1:54">
      <c r="A3" s="144" t="s">
        <v>228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R3" s="44" t="s">
        <v>51</v>
      </c>
    </row>
    <row r="4" spans="1:54">
      <c r="A4" s="144" t="s">
        <v>228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44" t="s">
        <v>51</v>
      </c>
    </row>
    <row r="5" spans="1:54">
      <c r="A5" s="144" t="s">
        <v>3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44" t="s">
        <v>51</v>
      </c>
      <c r="R5" s="44" t="s">
        <v>51</v>
      </c>
    </row>
    <row r="6" spans="1:54">
      <c r="L6" s="43" t="s">
        <v>51</v>
      </c>
      <c r="M6" s="43" t="s">
        <v>51</v>
      </c>
      <c r="N6" s="23" t="s">
        <v>51</v>
      </c>
      <c r="O6" s="43" t="s">
        <v>51</v>
      </c>
      <c r="P6" s="43" t="s">
        <v>51</v>
      </c>
      <c r="Q6" s="44" t="s">
        <v>51</v>
      </c>
      <c r="R6" s="44" t="s">
        <v>51</v>
      </c>
    </row>
    <row r="7" spans="1:54" ht="15.5">
      <c r="A7" s="131" t="s">
        <v>8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R7" s="44" t="s">
        <v>51</v>
      </c>
    </row>
    <row r="8" spans="1:54">
      <c r="A8" s="144" t="s">
        <v>423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</row>
    <row r="9" spans="1:54">
      <c r="N9" s="23" t="s">
        <v>51</v>
      </c>
      <c r="O9" s="43" t="s">
        <v>51</v>
      </c>
      <c r="P9" s="43" t="s">
        <v>51</v>
      </c>
      <c r="Q9" s="163" t="s">
        <v>263</v>
      </c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56"/>
      <c r="AE9" s="56"/>
      <c r="AF9" s="171" t="s">
        <v>262</v>
      </c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</row>
    <row r="10" spans="1:54">
      <c r="A10" s="26" t="s">
        <v>5</v>
      </c>
      <c r="B10" s="26" t="s">
        <v>328</v>
      </c>
      <c r="C10" s="26" t="s">
        <v>271</v>
      </c>
      <c r="D10" s="26" t="s">
        <v>272</v>
      </c>
      <c r="E10" s="26" t="s">
        <v>269</v>
      </c>
      <c r="F10" s="26" t="s">
        <v>273</v>
      </c>
      <c r="G10" s="26" t="s">
        <v>376</v>
      </c>
      <c r="H10" s="26" t="s">
        <v>377</v>
      </c>
      <c r="I10" s="26" t="s">
        <v>261</v>
      </c>
      <c r="J10" s="26" t="s">
        <v>259</v>
      </c>
      <c r="K10" s="26" t="s">
        <v>326</v>
      </c>
      <c r="L10" s="26" t="s">
        <v>10</v>
      </c>
      <c r="M10" s="26" t="s">
        <v>469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</row>
    <row r="11" spans="1:54">
      <c r="A11" s="24"/>
      <c r="B11" s="24" t="s">
        <v>403</v>
      </c>
      <c r="C11" s="6" t="s">
        <v>445</v>
      </c>
      <c r="D11" s="24" t="s">
        <v>406</v>
      </c>
      <c r="E11" s="24" t="s">
        <v>268</v>
      </c>
      <c r="F11" s="24" t="s">
        <v>405</v>
      </c>
      <c r="G11" s="24" t="s">
        <v>407</v>
      </c>
      <c r="H11" s="24" t="s">
        <v>347</v>
      </c>
      <c r="I11" s="24" t="s">
        <v>386</v>
      </c>
      <c r="J11" s="24" t="s">
        <v>412</v>
      </c>
      <c r="K11" s="78" t="s">
        <v>415</v>
      </c>
      <c r="L11" s="24" t="s">
        <v>411</v>
      </c>
      <c r="M11" s="24" t="s">
        <v>397</v>
      </c>
      <c r="N11" s="24"/>
      <c r="O11" s="24"/>
      <c r="P11" s="24"/>
      <c r="V11" s="65"/>
      <c r="W11" s="65"/>
      <c r="X11" s="65"/>
      <c r="Y11" s="65"/>
      <c r="Z11" s="65"/>
      <c r="AA11" s="65"/>
      <c r="AB11" s="65"/>
      <c r="AC11" s="65"/>
      <c r="AD11" s="65"/>
      <c r="AE11" s="65"/>
    </row>
    <row r="12" spans="1:54">
      <c r="A12" s="24"/>
      <c r="B12" s="24" t="s">
        <v>356</v>
      </c>
      <c r="C12" s="24" t="s">
        <v>276</v>
      </c>
      <c r="D12" s="42" t="s">
        <v>355</v>
      </c>
      <c r="E12" s="24" t="s">
        <v>365</v>
      </c>
      <c r="F12" s="24" t="s">
        <v>266</v>
      </c>
      <c r="G12" s="42" t="s">
        <v>363</v>
      </c>
      <c r="H12" s="24" t="s">
        <v>275</v>
      </c>
      <c r="I12" s="24" t="s">
        <v>470</v>
      </c>
      <c r="J12" s="42" t="s">
        <v>360</v>
      </c>
      <c r="K12" s="24" t="s">
        <v>367</v>
      </c>
      <c r="L12" s="42" t="s">
        <v>359</v>
      </c>
      <c r="M12" s="24"/>
      <c r="N12" s="24"/>
      <c r="O12" s="24"/>
      <c r="P12" s="24"/>
      <c r="Q12" s="44" t="s">
        <v>51</v>
      </c>
      <c r="R12" s="44" t="s">
        <v>51</v>
      </c>
    </row>
    <row r="13" spans="1:54">
      <c r="A13" s="6"/>
      <c r="B13" s="130" t="s">
        <v>432</v>
      </c>
      <c r="C13" s="6"/>
      <c r="D13" s="129" t="s">
        <v>435</v>
      </c>
      <c r="E13" s="42"/>
      <c r="F13" s="24"/>
      <c r="G13" s="24"/>
      <c r="H13" s="24"/>
      <c r="I13" s="78" t="s">
        <v>444</v>
      </c>
      <c r="J13" s="24"/>
      <c r="K13" s="24" t="s">
        <v>446</v>
      </c>
      <c r="L13" s="78" t="s">
        <v>433</v>
      </c>
      <c r="M13" s="24"/>
      <c r="N13" s="24"/>
      <c r="O13" s="24"/>
      <c r="P13" s="24"/>
      <c r="Q13" s="44" t="s">
        <v>51</v>
      </c>
      <c r="R13" s="44" t="s">
        <v>51</v>
      </c>
      <c r="S13" s="44" t="s">
        <v>251</v>
      </c>
    </row>
    <row r="14" spans="1:54">
      <c r="A14" s="26" t="s">
        <v>331</v>
      </c>
      <c r="B14" s="170" t="s">
        <v>303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58"/>
      <c r="Q14" s="44" t="s">
        <v>51</v>
      </c>
      <c r="R14" s="44" t="s">
        <v>51</v>
      </c>
      <c r="AR14" s="44" t="s">
        <v>51</v>
      </c>
      <c r="BB14" s="43" t="s">
        <v>51</v>
      </c>
    </row>
    <row r="15" spans="1:54" ht="15" customHeight="1">
      <c r="A15" s="138" t="s">
        <v>332</v>
      </c>
      <c r="B15" s="78" t="s">
        <v>84</v>
      </c>
      <c r="C15" s="78" t="s">
        <v>313</v>
      </c>
      <c r="D15" s="78" t="s">
        <v>112</v>
      </c>
      <c r="E15" s="78" t="s">
        <v>115</v>
      </c>
      <c r="F15" s="78" t="s">
        <v>113</v>
      </c>
      <c r="G15" s="78" t="s">
        <v>115</v>
      </c>
      <c r="H15" s="78" t="s">
        <v>274</v>
      </c>
      <c r="I15" s="78" t="s">
        <v>119</v>
      </c>
      <c r="J15" s="78" t="s">
        <v>311</v>
      </c>
      <c r="K15" s="78" t="s">
        <v>115</v>
      </c>
      <c r="L15" s="78" t="s">
        <v>205</v>
      </c>
      <c r="M15" s="78"/>
      <c r="N15" s="78"/>
      <c r="O15" s="78"/>
      <c r="P15" s="78"/>
      <c r="Q15" s="44" t="s">
        <v>51</v>
      </c>
      <c r="AY15" s="43" t="s">
        <v>371</v>
      </c>
    </row>
    <row r="16" spans="1:54" ht="14.5">
      <c r="A16" s="139"/>
      <c r="B16" s="78" t="s">
        <v>403</v>
      </c>
      <c r="C16" s="78" t="s">
        <v>408</v>
      </c>
      <c r="D16" s="78" t="s">
        <v>406</v>
      </c>
      <c r="E16" s="78" t="s">
        <v>416</v>
      </c>
      <c r="F16" s="78" t="s">
        <v>405</v>
      </c>
      <c r="G16" s="78" t="s">
        <v>407</v>
      </c>
      <c r="H16" s="78" t="s">
        <v>417</v>
      </c>
      <c r="I16" s="78" t="s">
        <v>398</v>
      </c>
      <c r="J16" s="78" t="s">
        <v>412</v>
      </c>
      <c r="K16" s="78" t="s">
        <v>415</v>
      </c>
      <c r="L16" s="78" t="s">
        <v>411</v>
      </c>
      <c r="M16" s="78"/>
      <c r="N16" s="78" t="s">
        <v>404</v>
      </c>
      <c r="O16" s="78"/>
      <c r="P16" s="78"/>
      <c r="Q16" s="57" t="str">
        <f t="shared" ref="Q16:X16" si="0">B16</f>
        <v>Hierco M</v>
      </c>
      <c r="R16" s="54" t="str">
        <f t="shared" si="0"/>
        <v>Coronel R</v>
      </c>
      <c r="S16" s="54" t="str">
        <f t="shared" si="0"/>
        <v>Sagnip M</v>
      </c>
      <c r="T16" s="54" t="str">
        <f t="shared" si="0"/>
        <v>Estrella R</v>
      </c>
      <c r="U16" s="54" t="str">
        <f t="shared" si="0"/>
        <v>Aguilar EM</v>
      </c>
      <c r="V16" s="54" t="str">
        <f t="shared" si="0"/>
        <v>Mamaid MC</v>
      </c>
      <c r="W16" s="54" t="str">
        <f t="shared" si="0"/>
        <v>Reyes D</v>
      </c>
      <c r="X16" s="54" t="str">
        <f t="shared" si="0"/>
        <v>Almazan AD</v>
      </c>
      <c r="Y16" s="54" t="str">
        <f t="shared" ref="Y16:AB16" si="1">J16</f>
        <v>Guerrero LG</v>
      </c>
      <c r="Z16" s="54" t="str">
        <f t="shared" si="1"/>
        <v>Valdez R</v>
      </c>
      <c r="AA16" s="54" t="str">
        <f t="shared" si="1"/>
        <v>Maniquiz T</v>
      </c>
      <c r="AB16" s="54">
        <f t="shared" si="1"/>
        <v>0</v>
      </c>
      <c r="AC16" s="54" t="str">
        <f t="shared" ref="AC16" si="2">N16</f>
        <v>Crisostomo R</v>
      </c>
      <c r="AD16" s="54">
        <f t="shared" ref="AD16:AE16" si="3">O16</f>
        <v>0</v>
      </c>
      <c r="AE16" s="54">
        <f t="shared" si="3"/>
        <v>0</v>
      </c>
      <c r="AF16" s="54" t="str">
        <f t="shared" ref="AF16:AL16" si="4">B59</f>
        <v>Bartolome H</v>
      </c>
      <c r="AG16" s="54" t="str">
        <f t="shared" si="4"/>
        <v>Orgil E</v>
      </c>
      <c r="AH16" s="54" t="str">
        <f t="shared" si="4"/>
        <v>Sarmiento F</v>
      </c>
      <c r="AI16" s="54" t="str">
        <f t="shared" si="4"/>
        <v>Almadin H</v>
      </c>
      <c r="AJ16" s="54" t="str">
        <f t="shared" si="4"/>
        <v>Pascua I</v>
      </c>
      <c r="AK16" s="54" t="str">
        <f t="shared" si="4"/>
        <v>Tamondong A</v>
      </c>
      <c r="AL16" s="54" t="str">
        <f t="shared" si="4"/>
        <v>De Leon I</v>
      </c>
      <c r="AM16" s="54" t="str">
        <f t="shared" ref="AM16:AP16" si="5">I59</f>
        <v>Mercado R</v>
      </c>
      <c r="AN16" s="54" t="str">
        <f t="shared" si="5"/>
        <v>Marcelo OJ</v>
      </c>
      <c r="AO16" s="54" t="str">
        <f t="shared" si="5"/>
        <v>Gardoce J</v>
      </c>
      <c r="AP16" s="54">
        <f t="shared" si="5"/>
        <v>0</v>
      </c>
      <c r="AQ16" s="54">
        <f t="shared" ref="AQ16" si="6">M59</f>
        <v>0</v>
      </c>
      <c r="AR16" s="54">
        <f t="shared" ref="AR16" si="7">N59</f>
        <v>0</v>
      </c>
      <c r="AS16" s="54">
        <f t="shared" ref="AS16" si="8">O59</f>
        <v>0</v>
      </c>
      <c r="AT16" s="54">
        <f t="shared" ref="AT16" si="9">P59</f>
        <v>0</v>
      </c>
      <c r="AU16" s="17"/>
      <c r="AV16" s="17"/>
      <c r="AW16" s="84"/>
      <c r="AX16" s="85" t="str">
        <f>Old!B3</f>
        <v>Aguilar EM</v>
      </c>
      <c r="AY16" s="85">
        <f>COUNTIF(Q$16:AT$35,"Aguilar EM")</f>
        <v>7</v>
      </c>
      <c r="AZ16" s="43" t="s">
        <v>51</v>
      </c>
      <c r="BA16" s="43" t="s">
        <v>51</v>
      </c>
    </row>
    <row r="17" spans="1:51" ht="15" customHeight="1">
      <c r="A17" s="140" t="s">
        <v>345</v>
      </c>
      <c r="B17" s="78" t="s">
        <v>69</v>
      </c>
      <c r="C17" s="78" t="s">
        <v>113</v>
      </c>
      <c r="D17" s="78" t="s">
        <v>115</v>
      </c>
      <c r="E17" s="78" t="s">
        <v>112</v>
      </c>
      <c r="F17" s="78" t="s">
        <v>312</v>
      </c>
      <c r="G17" s="78" t="s">
        <v>119</v>
      </c>
      <c r="H17" s="78" t="s">
        <v>274</v>
      </c>
      <c r="I17" s="78" t="s">
        <v>112</v>
      </c>
      <c r="J17" s="78" t="s">
        <v>150</v>
      </c>
      <c r="K17" s="78" t="s">
        <v>119</v>
      </c>
      <c r="L17" s="78" t="s">
        <v>205</v>
      </c>
      <c r="M17" s="78"/>
      <c r="N17" s="78"/>
      <c r="O17" s="78"/>
      <c r="P17" s="78"/>
      <c r="Q17" s="57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17"/>
      <c r="AV17" s="17"/>
      <c r="AW17" s="84"/>
      <c r="AX17" s="85" t="str">
        <f>Old!B4</f>
        <v>Almadin H</v>
      </c>
      <c r="AY17" s="85">
        <f>COUNTIF(Q$16:AT$35,"Almadin H")</f>
        <v>7</v>
      </c>
    </row>
    <row r="18" spans="1:51" ht="14.5">
      <c r="A18" s="141"/>
      <c r="B18" s="78" t="s">
        <v>397</v>
      </c>
      <c r="C18" s="78" t="s">
        <v>405</v>
      </c>
      <c r="D18" s="78" t="s">
        <v>416</v>
      </c>
      <c r="E18" s="78" t="s">
        <v>406</v>
      </c>
      <c r="F18" s="78" t="s">
        <v>404</v>
      </c>
      <c r="G18" s="78" t="s">
        <v>398</v>
      </c>
      <c r="H18" s="78" t="s">
        <v>417</v>
      </c>
      <c r="I18" s="78" t="s">
        <v>409</v>
      </c>
      <c r="J18" s="78" t="s">
        <v>399</v>
      </c>
      <c r="K18" s="78" t="s">
        <v>402</v>
      </c>
      <c r="L18" s="78" t="s">
        <v>411</v>
      </c>
      <c r="M18" s="78"/>
      <c r="N18" s="78" t="s">
        <v>401</v>
      </c>
      <c r="O18" s="78"/>
      <c r="P18" s="78"/>
      <c r="Q18" s="57" t="str">
        <f t="shared" ref="Q18:W18" si="10">B18</f>
        <v>Lorenzana C</v>
      </c>
      <c r="R18" s="54" t="str">
        <f t="shared" si="10"/>
        <v>Aguilar EM</v>
      </c>
      <c r="S18" s="54" t="str">
        <f t="shared" si="10"/>
        <v>Estrella R</v>
      </c>
      <c r="T18" s="54" t="str">
        <f t="shared" si="10"/>
        <v>Sagnip M</v>
      </c>
      <c r="U18" s="54" t="str">
        <f t="shared" si="10"/>
        <v>Crisostomo R</v>
      </c>
      <c r="V18" s="54" t="str">
        <f t="shared" si="10"/>
        <v>Almazan AD</v>
      </c>
      <c r="W18" s="54" t="str">
        <f t="shared" si="10"/>
        <v>Reyes D</v>
      </c>
      <c r="X18" s="54" t="str">
        <f t="shared" ref="X18:AB18" si="11">I18</f>
        <v>Tamondong A</v>
      </c>
      <c r="Y18" s="54" t="str">
        <f t="shared" si="11"/>
        <v>Domingo V</v>
      </c>
      <c r="Z18" s="54" t="str">
        <f t="shared" si="11"/>
        <v>Marcelo OJ</v>
      </c>
      <c r="AA18" s="54" t="str">
        <f t="shared" si="11"/>
        <v>Maniquiz T</v>
      </c>
      <c r="AB18" s="54">
        <f t="shared" si="11"/>
        <v>0</v>
      </c>
      <c r="AC18" s="54" t="str">
        <f t="shared" ref="AC18" si="12">N18</f>
        <v>Bartolome H</v>
      </c>
      <c r="AD18" s="54">
        <f t="shared" ref="AD18:AE18" si="13">O18</f>
        <v>0</v>
      </c>
      <c r="AE18" s="54">
        <f t="shared" si="13"/>
        <v>0</v>
      </c>
      <c r="AF18" s="54" t="str">
        <f t="shared" ref="AF18:AL18" si="14">B61</f>
        <v>Orgil E</v>
      </c>
      <c r="AG18" s="54" t="str">
        <f t="shared" si="14"/>
        <v>Lorenzo C</v>
      </c>
      <c r="AH18" s="54" t="str">
        <f t="shared" si="14"/>
        <v>Almadin H</v>
      </c>
      <c r="AI18" s="54" t="str">
        <f t="shared" si="14"/>
        <v>Gardoce J</v>
      </c>
      <c r="AJ18" s="54" t="str">
        <f t="shared" si="14"/>
        <v>Hierco M</v>
      </c>
      <c r="AK18" s="54" t="str">
        <f t="shared" si="14"/>
        <v>Carillo R</v>
      </c>
      <c r="AL18" s="54" t="str">
        <f t="shared" si="14"/>
        <v>Valdez R</v>
      </c>
      <c r="AM18" s="54" t="str">
        <f t="shared" ref="AM18:AP18" si="15">I61</f>
        <v>Mercado R</v>
      </c>
      <c r="AN18" s="54" t="str">
        <f t="shared" si="15"/>
        <v>Maniquiz T</v>
      </c>
      <c r="AO18" s="54" t="str">
        <f t="shared" si="15"/>
        <v>Pascua I</v>
      </c>
      <c r="AP18" s="54">
        <f t="shared" si="15"/>
        <v>0</v>
      </c>
      <c r="AQ18" s="54">
        <f t="shared" ref="AQ18" si="16">M61</f>
        <v>0</v>
      </c>
      <c r="AR18" s="54">
        <f t="shared" ref="AR18" si="17">N61</f>
        <v>0</v>
      </c>
      <c r="AS18" s="54">
        <f t="shared" ref="AS18" si="18">O61</f>
        <v>0</v>
      </c>
      <c r="AT18" s="54">
        <f t="shared" ref="AT18" si="19">P61</f>
        <v>0</v>
      </c>
      <c r="AU18" s="17"/>
      <c r="AV18" s="17"/>
      <c r="AW18" s="84"/>
      <c r="AX18" s="85" t="str">
        <f>Old!B5</f>
        <v>Almazan AD</v>
      </c>
      <c r="AY18" s="85">
        <f>COUNTIF(Q$16:AT$35,"Almazan AD")</f>
        <v>7</v>
      </c>
    </row>
    <row r="19" spans="1:51" ht="14.5">
      <c r="A19" s="26" t="s">
        <v>333</v>
      </c>
      <c r="B19" s="147" t="s">
        <v>179</v>
      </c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57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17"/>
      <c r="AV19" s="17"/>
      <c r="AW19" s="84"/>
      <c r="AX19" s="85" t="str">
        <f>Old!B6</f>
        <v>Bartolome H</v>
      </c>
      <c r="AY19" s="85">
        <f>COUNTIF(Q$16:AT$35,"Bartolome H")</f>
        <v>7</v>
      </c>
    </row>
    <row r="20" spans="1:51" ht="14.5">
      <c r="A20" s="134" t="s">
        <v>334</v>
      </c>
      <c r="B20" s="78" t="s">
        <v>150</v>
      </c>
      <c r="C20" s="78" t="s">
        <v>312</v>
      </c>
      <c r="D20" s="78" t="s">
        <v>113</v>
      </c>
      <c r="E20" s="78" t="s">
        <v>119</v>
      </c>
      <c r="F20" s="78" t="s">
        <v>112</v>
      </c>
      <c r="G20" s="78" t="s">
        <v>313</v>
      </c>
      <c r="H20" s="78" t="s">
        <v>115</v>
      </c>
      <c r="I20" s="78" t="s">
        <v>126</v>
      </c>
      <c r="J20" s="78" t="s">
        <v>128</v>
      </c>
      <c r="K20" s="78" t="s">
        <v>150</v>
      </c>
      <c r="L20" s="78" t="s">
        <v>119</v>
      </c>
      <c r="M20" s="78"/>
      <c r="N20" s="78"/>
      <c r="O20" s="78"/>
      <c r="P20" s="78"/>
      <c r="Q20" s="57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17"/>
      <c r="AV20" s="17"/>
      <c r="AW20" s="84"/>
      <c r="AX20" s="85" t="str">
        <f>Old!B7</f>
        <v>Carillo R</v>
      </c>
      <c r="AY20" s="85">
        <f>COUNTIF(Q$16:AT$35,"Carillo R")</f>
        <v>7</v>
      </c>
    </row>
    <row r="21" spans="1:51" ht="14.5">
      <c r="A21" s="135"/>
      <c r="B21" s="78" t="s">
        <v>397</v>
      </c>
      <c r="C21" s="78" t="s">
        <v>404</v>
      </c>
      <c r="D21" s="78" t="s">
        <v>405</v>
      </c>
      <c r="E21" s="78" t="s">
        <v>398</v>
      </c>
      <c r="F21" s="78" t="s">
        <v>406</v>
      </c>
      <c r="G21" s="78" t="s">
        <v>408</v>
      </c>
      <c r="H21" s="78" t="s">
        <v>416</v>
      </c>
      <c r="I21" s="78" t="s">
        <v>419</v>
      </c>
      <c r="J21" s="78" t="s">
        <v>421</v>
      </c>
      <c r="K21" s="78" t="s">
        <v>399</v>
      </c>
      <c r="L21" s="78" t="s">
        <v>402</v>
      </c>
      <c r="M21" s="78"/>
      <c r="N21" s="78" t="s">
        <v>400</v>
      </c>
      <c r="O21" s="78"/>
      <c r="P21" s="78"/>
      <c r="Q21" s="57" t="str">
        <f t="shared" ref="Q21:W21" si="20">B21</f>
        <v>Lorenzana C</v>
      </c>
      <c r="R21" s="54" t="str">
        <f t="shared" si="20"/>
        <v>Crisostomo R</v>
      </c>
      <c r="S21" s="54" t="str">
        <f t="shared" si="20"/>
        <v>Aguilar EM</v>
      </c>
      <c r="T21" s="54" t="str">
        <f t="shared" si="20"/>
        <v>Almazan AD</v>
      </c>
      <c r="U21" s="54" t="str">
        <f t="shared" si="20"/>
        <v>Sagnip M</v>
      </c>
      <c r="V21" s="54" t="str">
        <f t="shared" si="20"/>
        <v>Coronel R</v>
      </c>
      <c r="W21" s="54" t="str">
        <f t="shared" si="20"/>
        <v>Estrella R</v>
      </c>
      <c r="X21" s="54" t="str">
        <f t="shared" ref="X21:AB21" si="21">I21</f>
        <v>Sarmiento F</v>
      </c>
      <c r="Y21" s="54" t="str">
        <f t="shared" si="21"/>
        <v>Mercado R</v>
      </c>
      <c r="Z21" s="54" t="str">
        <f t="shared" si="21"/>
        <v>Domingo V</v>
      </c>
      <c r="AA21" s="54" t="str">
        <f t="shared" si="21"/>
        <v>Marcelo OJ</v>
      </c>
      <c r="AB21" s="54">
        <f t="shared" si="21"/>
        <v>0</v>
      </c>
      <c r="AC21" s="54" t="str">
        <f t="shared" ref="AC21" si="22">N21</f>
        <v>Orgil E</v>
      </c>
      <c r="AD21" s="54">
        <f t="shared" ref="AD21:AE21" si="23">O21</f>
        <v>0</v>
      </c>
      <c r="AE21" s="54">
        <f t="shared" si="23"/>
        <v>0</v>
      </c>
      <c r="AF21" s="54" t="str">
        <f t="shared" ref="AF21:AL21" si="24">B64</f>
        <v>De Leon I</v>
      </c>
      <c r="AG21" s="54" t="str">
        <f t="shared" si="24"/>
        <v>Tamondong A</v>
      </c>
      <c r="AH21" s="54" t="str">
        <f>D64</f>
        <v>Lorenzo C</v>
      </c>
      <c r="AI21" s="54" t="str">
        <f t="shared" si="24"/>
        <v>Hierco M</v>
      </c>
      <c r="AJ21" s="54" t="str">
        <f t="shared" si="24"/>
        <v>Gardoce J</v>
      </c>
      <c r="AK21" s="54" t="str">
        <f t="shared" si="24"/>
        <v>Carillo R</v>
      </c>
      <c r="AL21" s="54" t="str">
        <f t="shared" si="24"/>
        <v>Pascua I</v>
      </c>
      <c r="AM21" s="54" t="str">
        <f t="shared" ref="AM21:AP21" si="25">I64</f>
        <v>Bartolome H</v>
      </c>
      <c r="AN21" s="54" t="str">
        <f t="shared" si="25"/>
        <v>Mamaid MC</v>
      </c>
      <c r="AO21" s="54" t="str">
        <f t="shared" si="25"/>
        <v>Valdez R</v>
      </c>
      <c r="AP21" s="54">
        <f t="shared" si="25"/>
        <v>0</v>
      </c>
      <c r="AQ21" s="54">
        <f t="shared" ref="AQ21" si="26">M64</f>
        <v>0</v>
      </c>
      <c r="AR21" s="54">
        <f t="shared" ref="AR21" si="27">N64</f>
        <v>0</v>
      </c>
      <c r="AS21" s="54">
        <f t="shared" ref="AS21" si="28">O64</f>
        <v>0</v>
      </c>
      <c r="AT21" s="54">
        <f t="shared" ref="AT21" si="29">P64</f>
        <v>0</v>
      </c>
      <c r="AU21" s="17"/>
      <c r="AV21" s="17"/>
      <c r="AW21" s="84"/>
      <c r="AX21" s="85" t="str">
        <f>Old!B8</f>
        <v>Coronel R</v>
      </c>
      <c r="AY21" s="85">
        <f>COUNTIF(Q$16:AT$35,"Coronel R")</f>
        <v>7</v>
      </c>
    </row>
    <row r="22" spans="1:51" ht="14.5">
      <c r="A22" s="164" t="s">
        <v>380</v>
      </c>
      <c r="B22" s="78" t="s">
        <v>115</v>
      </c>
      <c r="C22" s="78" t="s">
        <v>150</v>
      </c>
      <c r="D22" s="78" t="s">
        <v>312</v>
      </c>
      <c r="E22" s="78" t="s">
        <v>313</v>
      </c>
      <c r="F22" s="78" t="s">
        <v>150</v>
      </c>
      <c r="G22" s="78" t="s">
        <v>311</v>
      </c>
      <c r="H22" s="78" t="s">
        <v>119</v>
      </c>
      <c r="I22" s="78" t="s">
        <v>126</v>
      </c>
      <c r="J22" s="78" t="s">
        <v>128</v>
      </c>
      <c r="K22" s="78" t="s">
        <v>113</v>
      </c>
      <c r="L22" s="78" t="s">
        <v>112</v>
      </c>
      <c r="M22" s="78"/>
      <c r="N22" s="78"/>
      <c r="O22" s="78"/>
      <c r="P22" s="78"/>
      <c r="Q22" s="57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17"/>
      <c r="AV22" s="17"/>
      <c r="AW22" s="84"/>
      <c r="AX22" s="85" t="str">
        <f>Old!B9</f>
        <v>Crisostomo R</v>
      </c>
      <c r="AY22" s="85">
        <f>COUNTIF(Q$16:AT$35,"Crisostomo R")</f>
        <v>7</v>
      </c>
    </row>
    <row r="23" spans="1:51" ht="14.5">
      <c r="A23" s="165"/>
      <c r="B23" s="78" t="s">
        <v>416</v>
      </c>
      <c r="C23" s="78" t="s">
        <v>397</v>
      </c>
      <c r="D23" s="78" t="s">
        <v>404</v>
      </c>
      <c r="E23" s="78" t="s">
        <v>408</v>
      </c>
      <c r="F23" s="78" t="s">
        <v>399</v>
      </c>
      <c r="G23" s="78" t="s">
        <v>417</v>
      </c>
      <c r="H23" s="78" t="s">
        <v>398</v>
      </c>
      <c r="I23" s="78" t="s">
        <v>419</v>
      </c>
      <c r="J23" s="78" t="s">
        <v>421</v>
      </c>
      <c r="K23" s="78" t="s">
        <v>405</v>
      </c>
      <c r="L23" s="78" t="s">
        <v>406</v>
      </c>
      <c r="M23" s="78"/>
      <c r="N23" s="78" t="s">
        <v>414</v>
      </c>
      <c r="O23" s="78"/>
      <c r="P23" s="78"/>
      <c r="Q23" s="57" t="str">
        <f t="shared" ref="Q23:W23" si="30">B23</f>
        <v>Estrella R</v>
      </c>
      <c r="R23" s="54" t="str">
        <f t="shared" si="30"/>
        <v>Lorenzana C</v>
      </c>
      <c r="S23" s="54" t="str">
        <f t="shared" si="30"/>
        <v>Crisostomo R</v>
      </c>
      <c r="T23" s="54" t="str">
        <f t="shared" si="30"/>
        <v>Coronel R</v>
      </c>
      <c r="U23" s="54" t="str">
        <f t="shared" si="30"/>
        <v>Domingo V</v>
      </c>
      <c r="V23" s="54" t="str">
        <f t="shared" si="30"/>
        <v>Reyes D</v>
      </c>
      <c r="W23" s="54" t="str">
        <f t="shared" si="30"/>
        <v>Almazan AD</v>
      </c>
      <c r="X23" s="54" t="str">
        <f t="shared" ref="X23:AB23" si="31">I23</f>
        <v>Sarmiento F</v>
      </c>
      <c r="Y23" s="54" t="str">
        <f t="shared" si="31"/>
        <v>Mercado R</v>
      </c>
      <c r="Z23" s="54" t="str">
        <f t="shared" si="31"/>
        <v>Aguilar EM</v>
      </c>
      <c r="AA23" s="54" t="str">
        <f t="shared" si="31"/>
        <v>Sagnip M</v>
      </c>
      <c r="AB23" s="54">
        <f t="shared" si="31"/>
        <v>0</v>
      </c>
      <c r="AC23" s="54" t="str">
        <f t="shared" ref="AC23" si="32">N23</f>
        <v>De Leon I</v>
      </c>
      <c r="AD23" s="54">
        <f t="shared" ref="AD23:AE23" si="33">O23</f>
        <v>0</v>
      </c>
      <c r="AE23" s="54">
        <f t="shared" si="33"/>
        <v>0</v>
      </c>
      <c r="AF23" s="54" t="str">
        <f t="shared" ref="AF23:AL23" si="34">B66</f>
        <v>Hierco M</v>
      </c>
      <c r="AG23" s="54" t="str">
        <f t="shared" si="34"/>
        <v>Marcelo OJ</v>
      </c>
      <c r="AH23" s="54" t="str">
        <f t="shared" si="34"/>
        <v>Bartolome H</v>
      </c>
      <c r="AI23" s="54" t="str">
        <f t="shared" si="34"/>
        <v>Lorenzo C</v>
      </c>
      <c r="AJ23" s="54" t="str">
        <f t="shared" si="34"/>
        <v>Almadin H</v>
      </c>
      <c r="AK23" s="54" t="str">
        <f t="shared" si="34"/>
        <v>Carillo R</v>
      </c>
      <c r="AL23" s="54" t="str">
        <f t="shared" si="34"/>
        <v>Orgil E</v>
      </c>
      <c r="AM23" s="54" t="str">
        <f t="shared" ref="AM23:AP23" si="35">I66</f>
        <v>Valdez R</v>
      </c>
      <c r="AN23" s="54" t="str">
        <f t="shared" si="35"/>
        <v>Gardoce J</v>
      </c>
      <c r="AO23" s="54" t="str">
        <f t="shared" si="35"/>
        <v>Mamaid MC</v>
      </c>
      <c r="AP23" s="54">
        <f t="shared" si="35"/>
        <v>0</v>
      </c>
      <c r="AQ23" s="54">
        <f t="shared" ref="AQ23" si="36">M66</f>
        <v>0</v>
      </c>
      <c r="AR23" s="54">
        <f t="shared" ref="AR23" si="37">N66</f>
        <v>0</v>
      </c>
      <c r="AS23" s="54">
        <f t="shared" ref="AS23" si="38">O66</f>
        <v>0</v>
      </c>
      <c r="AT23" s="54">
        <f t="shared" ref="AT23" si="39">P66</f>
        <v>0</v>
      </c>
      <c r="AU23" s="17"/>
      <c r="AV23" s="17"/>
      <c r="AW23" s="84"/>
      <c r="AX23" s="85" t="str">
        <f>Old!B10</f>
        <v>De Leon I</v>
      </c>
      <c r="AY23" s="85">
        <f>COUNTIF(Q$16:AT$35,"De Leon I")</f>
        <v>5</v>
      </c>
    </row>
    <row r="24" spans="1:51" ht="14.5">
      <c r="A24" s="164" t="s">
        <v>338</v>
      </c>
      <c r="B24" s="78" t="s">
        <v>137</v>
      </c>
      <c r="C24" s="78" t="s">
        <v>115</v>
      </c>
      <c r="D24" s="78" t="s">
        <v>311</v>
      </c>
      <c r="E24" s="78" t="s">
        <v>312</v>
      </c>
      <c r="F24" s="78" t="s">
        <v>119</v>
      </c>
      <c r="G24" s="78" t="s">
        <v>112</v>
      </c>
      <c r="H24" s="78" t="s">
        <v>150</v>
      </c>
      <c r="I24" s="78" t="s">
        <v>113</v>
      </c>
      <c r="J24" s="78" t="s">
        <v>112</v>
      </c>
      <c r="K24" s="78" t="s">
        <v>87</v>
      </c>
      <c r="L24" s="78" t="s">
        <v>150</v>
      </c>
      <c r="M24" s="78"/>
      <c r="N24" s="78"/>
      <c r="O24" s="78"/>
      <c r="P24" s="78"/>
      <c r="Q24" s="57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17"/>
      <c r="AV24" s="17"/>
      <c r="AW24" s="84"/>
      <c r="AX24" s="85" t="str">
        <f>Old!B11</f>
        <v>Domingo V</v>
      </c>
      <c r="AY24" s="85">
        <f>COUNTIF(Q$16:AT$35,"Domingo V")</f>
        <v>7</v>
      </c>
    </row>
    <row r="25" spans="1:51" ht="14.5">
      <c r="A25" s="165"/>
      <c r="B25" s="78" t="s">
        <v>400</v>
      </c>
      <c r="C25" s="78" t="s">
        <v>416</v>
      </c>
      <c r="D25" s="78" t="s">
        <v>417</v>
      </c>
      <c r="E25" s="78" t="s">
        <v>404</v>
      </c>
      <c r="F25" s="78" t="s">
        <v>402</v>
      </c>
      <c r="G25" s="78" t="s">
        <v>406</v>
      </c>
      <c r="H25" s="78" t="s">
        <v>399</v>
      </c>
      <c r="I25" s="78" t="s">
        <v>422</v>
      </c>
      <c r="J25" s="78" t="s">
        <v>408</v>
      </c>
      <c r="K25" s="78" t="s">
        <v>419</v>
      </c>
      <c r="L25" s="78" t="s">
        <v>397</v>
      </c>
      <c r="M25" s="78"/>
      <c r="N25" s="78"/>
      <c r="O25" s="78"/>
      <c r="P25" s="78"/>
      <c r="Q25" s="57" t="str">
        <f t="shared" ref="Q25:W25" si="40">B25</f>
        <v>Orgil E</v>
      </c>
      <c r="R25" s="54" t="str">
        <f t="shared" si="40"/>
        <v>Estrella R</v>
      </c>
      <c r="S25" s="54" t="str">
        <f t="shared" si="40"/>
        <v>Reyes D</v>
      </c>
      <c r="T25" s="54" t="str">
        <f t="shared" si="40"/>
        <v>Crisostomo R</v>
      </c>
      <c r="U25" s="54" t="str">
        <f t="shared" si="40"/>
        <v>Marcelo OJ</v>
      </c>
      <c r="V25" s="54" t="str">
        <f t="shared" si="40"/>
        <v>Sagnip M</v>
      </c>
      <c r="W25" s="54" t="str">
        <f t="shared" si="40"/>
        <v>Domingo V</v>
      </c>
      <c r="X25" s="54" t="str">
        <f t="shared" ref="X25:AB25" si="41">I25</f>
        <v>Pascua I</v>
      </c>
      <c r="Y25" s="54" t="str">
        <f t="shared" si="41"/>
        <v>Coronel R</v>
      </c>
      <c r="Z25" s="54" t="str">
        <f t="shared" si="41"/>
        <v>Sarmiento F</v>
      </c>
      <c r="AA25" s="54" t="str">
        <f t="shared" si="41"/>
        <v>Lorenzana C</v>
      </c>
      <c r="AB25" s="54">
        <f t="shared" si="41"/>
        <v>0</v>
      </c>
      <c r="AC25" s="54">
        <f t="shared" ref="AC25" si="42">N25</f>
        <v>0</v>
      </c>
      <c r="AD25" s="54">
        <f t="shared" ref="AD25:AE25" si="43">O25</f>
        <v>0</v>
      </c>
      <c r="AE25" s="54">
        <f t="shared" si="43"/>
        <v>0</v>
      </c>
      <c r="AF25" s="54" t="str">
        <f t="shared" ref="AF25:AL25" si="44">B68</f>
        <v>Lorenzo C</v>
      </c>
      <c r="AG25" s="54" t="str">
        <f t="shared" si="44"/>
        <v>De Leon I</v>
      </c>
      <c r="AH25" s="54" t="str">
        <f t="shared" si="44"/>
        <v>Tamondong A</v>
      </c>
      <c r="AI25" s="54" t="str">
        <f>E68</f>
        <v>Carillo R</v>
      </c>
      <c r="AJ25" s="54" t="str">
        <f>F68</f>
        <v>Bartolome H</v>
      </c>
      <c r="AK25" s="54" t="str">
        <f t="shared" si="44"/>
        <v>Maniquiz T</v>
      </c>
      <c r="AL25" s="54" t="str">
        <f t="shared" si="44"/>
        <v>Valdez R</v>
      </c>
      <c r="AM25" s="54" t="str">
        <f t="shared" ref="AM25:AP25" si="45">I68</f>
        <v>Hierco M</v>
      </c>
      <c r="AN25" s="54" t="str">
        <f t="shared" si="45"/>
        <v>Almadin H</v>
      </c>
      <c r="AO25" s="54" t="str">
        <f t="shared" si="45"/>
        <v>Mamaid MC</v>
      </c>
      <c r="AP25" s="54">
        <f t="shared" si="45"/>
        <v>0</v>
      </c>
      <c r="AQ25" s="54">
        <f t="shared" ref="AQ25" si="46">M68</f>
        <v>0</v>
      </c>
      <c r="AR25" s="54">
        <f t="shared" ref="AR25" si="47">N68</f>
        <v>0</v>
      </c>
      <c r="AS25" s="54">
        <f t="shared" ref="AS25" si="48">O68</f>
        <v>0</v>
      </c>
      <c r="AT25" s="54">
        <f t="shared" ref="AT25" si="49">P68</f>
        <v>0</v>
      </c>
      <c r="AU25" s="17"/>
      <c r="AV25" s="17"/>
      <c r="AW25" s="84"/>
      <c r="AX25" s="85" t="str">
        <f>Old!B12</f>
        <v>Estrella R</v>
      </c>
      <c r="AY25" s="85">
        <f>COUNTIF(Q$16:AT$35,"Estrella R")</f>
        <v>7</v>
      </c>
    </row>
    <row r="26" spans="1:51" ht="14.5">
      <c r="A26" s="45" t="s">
        <v>26</v>
      </c>
      <c r="B26" s="145" t="s">
        <v>305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6"/>
      <c r="Q26" s="57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17"/>
      <c r="AV26" s="17"/>
      <c r="AW26" s="84"/>
      <c r="AX26" s="85" t="str">
        <f>Old!B13</f>
        <v>Gardoce J</v>
      </c>
      <c r="AY26" s="85">
        <f>COUNTIF(Q$16:AT$35,"Gardoce J")</f>
        <v>7</v>
      </c>
    </row>
    <row r="27" spans="1:51" ht="14.5">
      <c r="A27" s="134" t="s">
        <v>342</v>
      </c>
      <c r="B27" s="78" t="s">
        <v>113</v>
      </c>
      <c r="C27" s="78" t="s">
        <v>119</v>
      </c>
      <c r="D27" s="78" t="s">
        <v>313</v>
      </c>
      <c r="E27" s="78" t="s">
        <v>311</v>
      </c>
      <c r="F27" s="78" t="s">
        <v>311</v>
      </c>
      <c r="G27" s="78" t="s">
        <v>150</v>
      </c>
      <c r="H27" s="78" t="s">
        <v>112</v>
      </c>
      <c r="I27" s="78" t="s">
        <v>311</v>
      </c>
      <c r="J27" s="78" t="s">
        <v>119</v>
      </c>
      <c r="K27" s="78" t="s">
        <v>202</v>
      </c>
      <c r="L27" s="78" t="s">
        <v>113</v>
      </c>
      <c r="M27" s="78"/>
      <c r="N27" s="78"/>
      <c r="O27" s="78"/>
      <c r="P27" s="78"/>
      <c r="Q27" s="57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17"/>
      <c r="AV27" s="17"/>
      <c r="AW27" s="84"/>
      <c r="AX27" s="85" t="str">
        <f>Old!B14</f>
        <v>Guerrero LG</v>
      </c>
      <c r="AY27" s="85">
        <f>COUNTIF(Q$16:AT$35,"Guerrero LG")</f>
        <v>4</v>
      </c>
    </row>
    <row r="28" spans="1:51" ht="14.5">
      <c r="A28" s="135"/>
      <c r="B28" s="78" t="s">
        <v>405</v>
      </c>
      <c r="C28" s="78" t="s">
        <v>402</v>
      </c>
      <c r="D28" s="78" t="s">
        <v>408</v>
      </c>
      <c r="E28" s="78" t="s">
        <v>417</v>
      </c>
      <c r="F28" s="78" t="s">
        <v>421</v>
      </c>
      <c r="G28" s="78" t="s">
        <v>399</v>
      </c>
      <c r="H28" s="78" t="s">
        <v>406</v>
      </c>
      <c r="I28" s="78" t="s">
        <v>412</v>
      </c>
      <c r="J28" s="78" t="s">
        <v>398</v>
      </c>
      <c r="K28" s="78" t="s">
        <v>420</v>
      </c>
      <c r="L28" s="78" t="s">
        <v>422</v>
      </c>
      <c r="M28" s="78"/>
      <c r="N28" s="78" t="s">
        <v>400</v>
      </c>
      <c r="O28" s="78"/>
      <c r="P28" s="78"/>
      <c r="Q28" s="57" t="str">
        <f t="shared" ref="Q28:W28" si="50">B28</f>
        <v>Aguilar EM</v>
      </c>
      <c r="R28" s="54" t="str">
        <f t="shared" si="50"/>
        <v>Marcelo OJ</v>
      </c>
      <c r="S28" s="54" t="str">
        <f t="shared" si="50"/>
        <v>Coronel R</v>
      </c>
      <c r="T28" s="54" t="str">
        <f t="shared" si="50"/>
        <v>Reyes D</v>
      </c>
      <c r="U28" s="54" t="str">
        <f t="shared" si="50"/>
        <v>Mercado R</v>
      </c>
      <c r="V28" s="54" t="str">
        <f t="shared" si="50"/>
        <v>Domingo V</v>
      </c>
      <c r="W28" s="54" t="str">
        <f t="shared" si="50"/>
        <v>Sagnip M</v>
      </c>
      <c r="X28" s="54" t="str">
        <f t="shared" ref="X28:AB28" si="51">I28</f>
        <v>Guerrero LG</v>
      </c>
      <c r="Y28" s="54" t="str">
        <f>J28</f>
        <v>Almazan AD</v>
      </c>
      <c r="Z28" s="54" t="str">
        <f t="shared" si="51"/>
        <v>Almadin H</v>
      </c>
      <c r="AA28" s="54" t="str">
        <f t="shared" si="51"/>
        <v>Pascua I</v>
      </c>
      <c r="AB28" s="54">
        <f t="shared" si="51"/>
        <v>0</v>
      </c>
      <c r="AC28" s="54" t="str">
        <f t="shared" ref="AC28" si="52">N28</f>
        <v>Orgil E</v>
      </c>
      <c r="AD28" s="54">
        <f t="shared" ref="AD28:AE28" si="53">O28</f>
        <v>0</v>
      </c>
      <c r="AE28" s="54">
        <f t="shared" si="53"/>
        <v>0</v>
      </c>
      <c r="AF28" s="54" t="str">
        <f t="shared" ref="AF28:AK28" si="54">B71</f>
        <v>Sarmiento F</v>
      </c>
      <c r="AG28" s="54" t="str">
        <f t="shared" si="54"/>
        <v>Gardoce J</v>
      </c>
      <c r="AH28" s="54" t="str">
        <f t="shared" si="54"/>
        <v>Carillo R</v>
      </c>
      <c r="AI28" s="54" t="str">
        <f t="shared" si="54"/>
        <v>Tamondong A</v>
      </c>
      <c r="AJ28" s="54" t="str">
        <f t="shared" si="54"/>
        <v>Mamaid MC</v>
      </c>
      <c r="AK28" s="54" t="str">
        <f t="shared" si="54"/>
        <v>Lorenzo C</v>
      </c>
      <c r="AL28" s="54" t="str">
        <f>H71</f>
        <v>Bartolome H</v>
      </c>
      <c r="AM28" s="54" t="str">
        <f t="shared" ref="AM28:AP28" si="55">I71</f>
        <v>De Leon I</v>
      </c>
      <c r="AN28" s="54" t="str">
        <f t="shared" si="55"/>
        <v>Valdez R</v>
      </c>
      <c r="AO28" s="54" t="str">
        <f t="shared" si="55"/>
        <v>Maniquiz T</v>
      </c>
      <c r="AP28" s="54">
        <f t="shared" si="55"/>
        <v>0</v>
      </c>
      <c r="AQ28" s="54">
        <f t="shared" ref="AQ28" si="56">M71</f>
        <v>0</v>
      </c>
      <c r="AR28" s="54">
        <f t="shared" ref="AR28" si="57">N71</f>
        <v>0</v>
      </c>
      <c r="AS28" s="54">
        <f t="shared" ref="AS28" si="58">O71</f>
        <v>0</v>
      </c>
      <c r="AT28" s="54">
        <f t="shared" ref="AT28" si="59">P71</f>
        <v>0</v>
      </c>
      <c r="AU28" s="17"/>
      <c r="AV28" s="17"/>
      <c r="AW28" s="84"/>
      <c r="AX28" s="85" t="str">
        <f>Old!B15</f>
        <v>Hierco M</v>
      </c>
      <c r="AY28" s="85">
        <f>COUNTIF(Q$16:AT$35,"Hierco M")</f>
        <v>7</v>
      </c>
    </row>
    <row r="29" spans="1:51" ht="15" customHeight="1">
      <c r="A29" s="134" t="s">
        <v>343</v>
      </c>
      <c r="B29" s="78" t="s">
        <v>311</v>
      </c>
      <c r="C29" s="78" t="s">
        <v>311</v>
      </c>
      <c r="D29" s="78" t="s">
        <v>119</v>
      </c>
      <c r="E29" s="78" t="s">
        <v>150</v>
      </c>
      <c r="F29" s="78" t="s">
        <v>313</v>
      </c>
      <c r="G29" s="78" t="s">
        <v>113</v>
      </c>
      <c r="H29" s="78" t="s">
        <v>113</v>
      </c>
      <c r="I29" s="78" t="s">
        <v>115</v>
      </c>
      <c r="J29" s="78" t="s">
        <v>115</v>
      </c>
      <c r="K29" s="78" t="s">
        <v>112</v>
      </c>
      <c r="L29" s="78" t="s">
        <v>311</v>
      </c>
      <c r="M29" s="78"/>
      <c r="N29" s="78"/>
      <c r="O29" s="78"/>
      <c r="P29" s="78"/>
      <c r="Q29" s="57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17"/>
      <c r="AV29" s="17"/>
      <c r="AW29" s="84"/>
      <c r="AX29" s="85" t="str">
        <f>Old!B16</f>
        <v>Lorenzana C</v>
      </c>
      <c r="AY29" s="85">
        <f>COUNTIF(Q$16:AT$35,"Lorenzana C")</f>
        <v>6</v>
      </c>
    </row>
    <row r="30" spans="1:51" ht="16.5" customHeight="1">
      <c r="A30" s="135"/>
      <c r="B30" s="78" t="s">
        <v>421</v>
      </c>
      <c r="C30" s="78" t="s">
        <v>412</v>
      </c>
      <c r="D30" s="78" t="s">
        <v>398</v>
      </c>
      <c r="E30" s="78" t="s">
        <v>397</v>
      </c>
      <c r="F30" s="78" t="s">
        <v>408</v>
      </c>
      <c r="G30" s="78" t="s">
        <v>422</v>
      </c>
      <c r="H30" s="78" t="s">
        <v>405</v>
      </c>
      <c r="I30" s="78" t="s">
        <v>407</v>
      </c>
      <c r="J30" s="78" t="s">
        <v>416</v>
      </c>
      <c r="K30" s="78" t="s">
        <v>409</v>
      </c>
      <c r="L30" s="78" t="s">
        <v>417</v>
      </c>
      <c r="M30" s="78"/>
      <c r="N30" s="78" t="s">
        <v>403</v>
      </c>
      <c r="O30" s="78"/>
      <c r="P30" s="78"/>
      <c r="Q30" s="57" t="str">
        <f t="shared" ref="Q30:W30" si="60">B30</f>
        <v>Mercado R</v>
      </c>
      <c r="R30" s="54" t="str">
        <f t="shared" si="60"/>
        <v>Guerrero LG</v>
      </c>
      <c r="S30" s="54" t="str">
        <f t="shared" si="60"/>
        <v>Almazan AD</v>
      </c>
      <c r="T30" s="54" t="str">
        <f t="shared" si="60"/>
        <v>Lorenzana C</v>
      </c>
      <c r="U30" s="54" t="str">
        <f t="shared" si="60"/>
        <v>Coronel R</v>
      </c>
      <c r="V30" s="54" t="str">
        <f t="shared" si="60"/>
        <v>Pascua I</v>
      </c>
      <c r="W30" s="54" t="str">
        <f t="shared" si="60"/>
        <v>Aguilar EM</v>
      </c>
      <c r="X30" s="54" t="str">
        <f t="shared" ref="X30:AB30" si="61">I30</f>
        <v>Mamaid MC</v>
      </c>
      <c r="Y30" s="54" t="str">
        <f t="shared" si="61"/>
        <v>Estrella R</v>
      </c>
      <c r="Z30" s="54" t="str">
        <f t="shared" si="61"/>
        <v>Tamondong A</v>
      </c>
      <c r="AA30" s="54" t="str">
        <f t="shared" si="61"/>
        <v>Reyes D</v>
      </c>
      <c r="AB30" s="54">
        <f t="shared" si="61"/>
        <v>0</v>
      </c>
      <c r="AC30" s="54" t="str">
        <f t="shared" ref="AC30" si="62">N30</f>
        <v>Hierco M</v>
      </c>
      <c r="AD30" s="54">
        <f t="shared" ref="AD30:AE30" si="63">O30</f>
        <v>0</v>
      </c>
      <c r="AE30" s="54">
        <f t="shared" si="63"/>
        <v>0</v>
      </c>
      <c r="AF30" s="54" t="str">
        <f t="shared" ref="AF30:AL30" si="64">B73</f>
        <v>Crisostomo R</v>
      </c>
      <c r="AG30" s="54" t="str">
        <f t="shared" si="64"/>
        <v>Almadin H</v>
      </c>
      <c r="AH30" s="54" t="str">
        <f t="shared" si="64"/>
        <v>Gardoce J</v>
      </c>
      <c r="AI30" s="54" t="str">
        <f t="shared" si="64"/>
        <v>Marcelo OJ</v>
      </c>
      <c r="AJ30" s="54" t="str">
        <f t="shared" si="64"/>
        <v>Carillo R</v>
      </c>
      <c r="AK30" s="54" t="str">
        <f t="shared" si="64"/>
        <v>Valdez R</v>
      </c>
      <c r="AL30" s="54" t="str">
        <f t="shared" si="64"/>
        <v>Sarmiento F</v>
      </c>
      <c r="AM30" s="54" t="str">
        <f t="shared" ref="AM30:AP30" si="65">I73</f>
        <v>Lorenzo C</v>
      </c>
      <c r="AN30" s="54" t="str">
        <f t="shared" si="65"/>
        <v>Domingo V</v>
      </c>
      <c r="AO30" s="54" t="str">
        <f t="shared" si="65"/>
        <v>Maniquiz T</v>
      </c>
      <c r="AP30" s="54">
        <f t="shared" si="65"/>
        <v>0</v>
      </c>
      <c r="AQ30" s="54">
        <f t="shared" ref="AQ30" si="66">M73</f>
        <v>0</v>
      </c>
      <c r="AR30" s="54">
        <f t="shared" ref="AR30" si="67">N73</f>
        <v>0</v>
      </c>
      <c r="AS30" s="54">
        <f t="shared" ref="AS30" si="68">O73</f>
        <v>0</v>
      </c>
      <c r="AT30" s="54">
        <f t="shared" ref="AT30" si="69">P73</f>
        <v>0</v>
      </c>
      <c r="AU30" s="17"/>
      <c r="AV30" s="17"/>
      <c r="AW30" s="84"/>
      <c r="AX30" s="85" t="str">
        <f>Old!B17</f>
        <v>Lorenzo C</v>
      </c>
      <c r="AY30" s="85">
        <f>COUNTIF(Q$16:AT$35,"Lorenzo C")</f>
        <v>7</v>
      </c>
    </row>
    <row r="31" spans="1:51" ht="14.5">
      <c r="A31" s="45" t="s">
        <v>336</v>
      </c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57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17"/>
      <c r="AV31" s="17"/>
      <c r="AW31" s="84"/>
      <c r="AX31" s="85" t="str">
        <f>Old!B18</f>
        <v>Mamaid MC</v>
      </c>
      <c r="AY31" s="85">
        <f>COUNTIF(Q$16:AT$35,"Mamaid MC")</f>
        <v>7</v>
      </c>
    </row>
    <row r="32" spans="1:51" ht="15" customHeight="1">
      <c r="A32" s="132" t="s">
        <v>389</v>
      </c>
      <c r="B32" s="78" t="s">
        <v>112</v>
      </c>
      <c r="C32" s="78" t="s">
        <v>112</v>
      </c>
      <c r="D32" s="78" t="s">
        <v>150</v>
      </c>
      <c r="E32" s="78" t="s">
        <v>113</v>
      </c>
      <c r="F32" s="78" t="s">
        <v>115</v>
      </c>
      <c r="G32" s="78" t="s">
        <v>312</v>
      </c>
      <c r="H32" s="78" t="s">
        <v>311</v>
      </c>
      <c r="I32" s="78" t="s">
        <v>150</v>
      </c>
      <c r="J32" s="78" t="s">
        <v>113</v>
      </c>
      <c r="K32" s="78" t="s">
        <v>311</v>
      </c>
      <c r="L32" s="78" t="s">
        <v>115</v>
      </c>
      <c r="M32" s="78"/>
      <c r="N32" s="78"/>
      <c r="O32" s="78"/>
      <c r="P32" s="78"/>
      <c r="Q32" s="57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17"/>
      <c r="AV32" s="17"/>
      <c r="AW32" s="84"/>
      <c r="AX32" s="85" t="str">
        <f>Old!B19</f>
        <v>Maniquiz T</v>
      </c>
      <c r="AY32" s="85">
        <f>COUNTIF(Q$16:AT$35,"Maniquiz T")</f>
        <v>6</v>
      </c>
    </row>
    <row r="33" spans="1:51" ht="14.5">
      <c r="A33" s="133"/>
      <c r="B33" s="78" t="s">
        <v>408</v>
      </c>
      <c r="C33" s="78" t="s">
        <v>406</v>
      </c>
      <c r="D33" s="78" t="s">
        <v>397</v>
      </c>
      <c r="E33" s="78" t="s">
        <v>405</v>
      </c>
      <c r="F33" s="78" t="s">
        <v>416</v>
      </c>
      <c r="G33" s="78" t="s">
        <v>404</v>
      </c>
      <c r="H33" s="78" t="s">
        <v>417</v>
      </c>
      <c r="I33" s="78" t="s">
        <v>398</v>
      </c>
      <c r="J33" s="78" t="s">
        <v>422</v>
      </c>
      <c r="K33" s="78" t="s">
        <v>421</v>
      </c>
      <c r="L33" s="78" t="s">
        <v>407</v>
      </c>
      <c r="M33" s="78"/>
      <c r="N33" s="78" t="s">
        <v>399</v>
      </c>
      <c r="O33" s="78"/>
      <c r="P33" s="78"/>
      <c r="Q33" s="57" t="str">
        <f t="shared" ref="Q33:W33" si="70">B33</f>
        <v>Coronel R</v>
      </c>
      <c r="R33" s="54" t="str">
        <f t="shared" si="70"/>
        <v>Sagnip M</v>
      </c>
      <c r="S33" s="54" t="str">
        <f t="shared" si="70"/>
        <v>Lorenzana C</v>
      </c>
      <c r="T33" s="54" t="str">
        <f t="shared" si="70"/>
        <v>Aguilar EM</v>
      </c>
      <c r="U33" s="54" t="str">
        <f t="shared" si="70"/>
        <v>Estrella R</v>
      </c>
      <c r="V33" s="54" t="str">
        <f t="shared" si="70"/>
        <v>Crisostomo R</v>
      </c>
      <c r="W33" s="54" t="str">
        <f t="shared" si="70"/>
        <v>Reyes D</v>
      </c>
      <c r="X33" s="54" t="str">
        <f t="shared" ref="X33:AB33" si="71">I33</f>
        <v>Almazan AD</v>
      </c>
      <c r="Y33" s="54" t="str">
        <f t="shared" si="71"/>
        <v>Pascua I</v>
      </c>
      <c r="Z33" s="54" t="str">
        <f t="shared" si="71"/>
        <v>Mercado R</v>
      </c>
      <c r="AA33" s="54" t="str">
        <f t="shared" si="71"/>
        <v>Mamaid MC</v>
      </c>
      <c r="AB33" s="54">
        <f t="shared" si="71"/>
        <v>0</v>
      </c>
      <c r="AC33" s="54" t="str">
        <f t="shared" ref="AC33" si="72">N33</f>
        <v>Domingo V</v>
      </c>
      <c r="AD33" s="54">
        <f t="shared" ref="AD33:AE33" si="73">O33</f>
        <v>0</v>
      </c>
      <c r="AE33" s="54">
        <f t="shared" si="73"/>
        <v>0</v>
      </c>
      <c r="AF33" s="54" t="str">
        <f t="shared" ref="AF33:AL33" si="74">B76</f>
        <v>Orgil E</v>
      </c>
      <c r="AG33" s="54" t="str">
        <f t="shared" si="74"/>
        <v>Carillo R</v>
      </c>
      <c r="AH33" s="54" t="str">
        <f t="shared" si="74"/>
        <v>Hierco M</v>
      </c>
      <c r="AI33" s="54" t="str">
        <f t="shared" si="74"/>
        <v>Guerrero LG</v>
      </c>
      <c r="AJ33" s="54" t="str">
        <f t="shared" si="74"/>
        <v>Tamondong A</v>
      </c>
      <c r="AK33" s="54" t="str">
        <f t="shared" si="74"/>
        <v>Gardoce J</v>
      </c>
      <c r="AL33" s="54" t="str">
        <f t="shared" si="74"/>
        <v>Sarmiento F</v>
      </c>
      <c r="AM33" s="54" t="str">
        <f t="shared" ref="AM33:AP33" si="75">I76</f>
        <v>Almadin H</v>
      </c>
      <c r="AN33" s="54" t="str">
        <f t="shared" si="75"/>
        <v>Lorenzo C</v>
      </c>
      <c r="AO33" s="54" t="str">
        <f t="shared" si="75"/>
        <v>Bartolome H</v>
      </c>
      <c r="AP33" s="54">
        <f t="shared" si="75"/>
        <v>0</v>
      </c>
      <c r="AQ33" s="54">
        <f t="shared" ref="AQ33" si="76">M76</f>
        <v>0</v>
      </c>
      <c r="AR33" s="54">
        <f t="shared" ref="AR33" si="77">N76</f>
        <v>0</v>
      </c>
      <c r="AS33" s="54">
        <f t="shared" ref="AS33" si="78">O76</f>
        <v>0</v>
      </c>
      <c r="AT33" s="54">
        <f t="shared" ref="AT33" si="79">P76</f>
        <v>0</v>
      </c>
      <c r="AU33" s="17"/>
      <c r="AV33" s="17"/>
      <c r="AW33" s="84"/>
      <c r="AX33" s="85" t="str">
        <f>Old!B20</f>
        <v>Marcelo OJ</v>
      </c>
      <c r="AY33" s="85">
        <f>COUNTIF(Q$16:AT$35,"Marcelo OJ")</f>
        <v>7</v>
      </c>
    </row>
    <row r="34" spans="1:51" ht="14.5">
      <c r="A34" s="137" t="s">
        <v>151</v>
      </c>
      <c r="B34" s="78" t="s">
        <v>116</v>
      </c>
      <c r="C34" s="78" t="s">
        <v>116</v>
      </c>
      <c r="D34" s="78" t="s">
        <v>116</v>
      </c>
      <c r="E34" s="78" t="s">
        <v>116</v>
      </c>
      <c r="F34" s="78" t="s">
        <v>116</v>
      </c>
      <c r="G34" s="78" t="s">
        <v>116</v>
      </c>
      <c r="H34" s="78" t="s">
        <v>116</v>
      </c>
      <c r="I34" s="78" t="s">
        <v>116</v>
      </c>
      <c r="J34" s="78" t="s">
        <v>116</v>
      </c>
      <c r="K34" s="78" t="s">
        <v>116</v>
      </c>
      <c r="L34" s="78" t="s">
        <v>116</v>
      </c>
      <c r="M34" s="78"/>
      <c r="N34" s="78"/>
      <c r="O34" s="78"/>
      <c r="P34" s="78"/>
      <c r="Q34" s="57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17"/>
      <c r="AV34" s="17"/>
      <c r="AW34" s="84"/>
      <c r="AX34" s="85" t="str">
        <f>Old!B21</f>
        <v>Mercado R</v>
      </c>
      <c r="AY34" s="85">
        <f>COUNTIF(Q$16:AT$35,"Mercado R")</f>
        <v>7</v>
      </c>
    </row>
    <row r="35" spans="1:51" ht="14.5">
      <c r="A35" s="137"/>
      <c r="B35" s="78" t="s">
        <v>387</v>
      </c>
      <c r="C35" s="78" t="s">
        <v>387</v>
      </c>
      <c r="D35" s="78" t="s">
        <v>387</v>
      </c>
      <c r="E35" s="78" t="s">
        <v>387</v>
      </c>
      <c r="F35" s="78" t="s">
        <v>387</v>
      </c>
      <c r="G35" s="78" t="s">
        <v>387</v>
      </c>
      <c r="H35" s="78" t="s">
        <v>387</v>
      </c>
      <c r="I35" s="78" t="s">
        <v>387</v>
      </c>
      <c r="J35" s="78" t="s">
        <v>387</v>
      </c>
      <c r="K35" s="78" t="s">
        <v>387</v>
      </c>
      <c r="L35" s="78" t="s">
        <v>387</v>
      </c>
      <c r="M35" s="78"/>
      <c r="N35" s="78"/>
      <c r="O35" s="78"/>
      <c r="P35" s="78"/>
      <c r="Q35" s="57" t="str">
        <f t="shared" ref="Q35:W35" si="80">B35</f>
        <v>LG Guerrero</v>
      </c>
      <c r="R35" s="57" t="str">
        <f t="shared" si="80"/>
        <v>LG Guerrero</v>
      </c>
      <c r="S35" s="57" t="str">
        <f t="shared" si="80"/>
        <v>LG Guerrero</v>
      </c>
      <c r="T35" s="57" t="str">
        <f t="shared" si="80"/>
        <v>LG Guerrero</v>
      </c>
      <c r="U35" s="57" t="str">
        <f t="shared" si="80"/>
        <v>LG Guerrero</v>
      </c>
      <c r="V35" s="57" t="str">
        <f t="shared" si="80"/>
        <v>LG Guerrero</v>
      </c>
      <c r="W35" s="57" t="str">
        <f t="shared" si="80"/>
        <v>LG Guerrero</v>
      </c>
      <c r="X35" s="57" t="str">
        <f t="shared" ref="X35:AB35" si="81">I35</f>
        <v>LG Guerrero</v>
      </c>
      <c r="Y35" s="57" t="str">
        <f t="shared" si="81"/>
        <v>LG Guerrero</v>
      </c>
      <c r="Z35" s="57" t="str">
        <f t="shared" si="81"/>
        <v>LG Guerrero</v>
      </c>
      <c r="AA35" s="57" t="str">
        <f t="shared" si="81"/>
        <v>LG Guerrero</v>
      </c>
      <c r="AB35" s="57">
        <f t="shared" si="81"/>
        <v>0</v>
      </c>
      <c r="AC35" s="57">
        <f t="shared" ref="AC35" si="82">N35</f>
        <v>0</v>
      </c>
      <c r="AD35" s="57">
        <f t="shared" ref="AD35" si="83">O35</f>
        <v>0</v>
      </c>
      <c r="AE35" s="57">
        <f t="shared" ref="AE35" si="84">P35</f>
        <v>0</v>
      </c>
      <c r="AF35" s="57" t="str">
        <f t="shared" ref="AF35:AL35" si="85">B78</f>
        <v>I De Leon</v>
      </c>
      <c r="AG35" s="57" t="str">
        <f t="shared" si="85"/>
        <v>I De Leon</v>
      </c>
      <c r="AH35" s="57" t="str">
        <f t="shared" si="85"/>
        <v>I De Leon</v>
      </c>
      <c r="AI35" s="57" t="str">
        <f t="shared" si="85"/>
        <v>I De Leon</v>
      </c>
      <c r="AJ35" s="57" t="str">
        <f t="shared" si="85"/>
        <v>I De Leon</v>
      </c>
      <c r="AK35" s="57" t="str">
        <f t="shared" si="85"/>
        <v>I De Leon</v>
      </c>
      <c r="AL35" s="57" t="str">
        <f t="shared" si="85"/>
        <v>I De Leon</v>
      </c>
      <c r="AM35" s="57" t="str">
        <f t="shared" ref="AM35:AP35" si="86">I78</f>
        <v>LG Guerrero</v>
      </c>
      <c r="AN35" s="57" t="str">
        <f t="shared" si="86"/>
        <v>LG Guerrero</v>
      </c>
      <c r="AO35" s="57" t="str">
        <f t="shared" si="86"/>
        <v>I De Leon</v>
      </c>
      <c r="AP35" s="57">
        <f t="shared" si="86"/>
        <v>0</v>
      </c>
      <c r="AQ35" s="57">
        <f t="shared" ref="AQ35" si="87">M78</f>
        <v>0</v>
      </c>
      <c r="AR35" s="57">
        <f t="shared" ref="AR35" si="88">N78</f>
        <v>0</v>
      </c>
      <c r="AS35" s="57">
        <f t="shared" ref="AS35" si="89">O78</f>
        <v>0</v>
      </c>
      <c r="AT35" s="57">
        <f t="shared" ref="AT35" si="90">P78</f>
        <v>0</v>
      </c>
      <c r="AU35" s="17"/>
      <c r="AV35" s="17"/>
      <c r="AW35" s="84"/>
      <c r="AX35" s="85" t="str">
        <f>Old!B22</f>
        <v>Orgil E</v>
      </c>
      <c r="AY35" s="85">
        <f>COUNTIF(Q$16:AT$35,"Orgil E")</f>
        <v>7</v>
      </c>
    </row>
    <row r="36" spans="1:51" ht="14.5">
      <c r="A36" s="17" t="s">
        <v>374</v>
      </c>
      <c r="B36" s="54">
        <f>AY28</f>
        <v>7</v>
      </c>
      <c r="C36" s="54">
        <f>AY21</f>
        <v>7</v>
      </c>
      <c r="D36" s="54">
        <f>AY38</f>
        <v>7</v>
      </c>
      <c r="E36" s="54">
        <f>AY25</f>
        <v>7</v>
      </c>
      <c r="F36" s="54">
        <f>AY16</f>
        <v>7</v>
      </c>
      <c r="G36" s="54">
        <f>AY31</f>
        <v>7</v>
      </c>
      <c r="H36" s="54">
        <f>AY37</f>
        <v>7</v>
      </c>
      <c r="I36" s="54">
        <f>AY18</f>
        <v>7</v>
      </c>
      <c r="J36" s="54">
        <f>AY27</f>
        <v>4</v>
      </c>
      <c r="K36" s="54">
        <f>AY41</f>
        <v>7</v>
      </c>
      <c r="L36" s="54">
        <f>AY32</f>
        <v>6</v>
      </c>
      <c r="M36" s="54">
        <f>AY29</f>
        <v>6</v>
      </c>
      <c r="N36" s="54"/>
      <c r="O36" s="54"/>
      <c r="P36" s="54"/>
      <c r="R36" s="44" t="s">
        <v>51</v>
      </c>
      <c r="AX36" s="85" t="str">
        <f>Old!B23</f>
        <v>Pascua I</v>
      </c>
      <c r="AY36" s="85">
        <f>COUNTIF(Q$16:AT$35,"Pascua I")</f>
        <v>7</v>
      </c>
    </row>
    <row r="37" spans="1:51" ht="14.5">
      <c r="B37" s="100">
        <f>AY42</f>
        <v>0</v>
      </c>
      <c r="C37" s="100"/>
      <c r="D37" s="100"/>
      <c r="E37" s="100" t="s">
        <v>51</v>
      </c>
      <c r="F37" s="100" t="s">
        <v>51</v>
      </c>
      <c r="G37" s="100" t="s">
        <v>51</v>
      </c>
      <c r="H37" s="100" t="s">
        <v>51</v>
      </c>
      <c r="I37" s="100" t="s">
        <v>51</v>
      </c>
      <c r="J37" s="100">
        <v>11</v>
      </c>
      <c r="K37" s="100">
        <f>AY22</f>
        <v>7</v>
      </c>
      <c r="L37" s="100">
        <f>AY43</f>
        <v>0</v>
      </c>
      <c r="M37" s="99" t="s">
        <v>51</v>
      </c>
      <c r="N37" s="100" t="s">
        <v>51</v>
      </c>
      <c r="O37" s="100" t="s">
        <v>51</v>
      </c>
      <c r="P37" s="100" t="s">
        <v>51</v>
      </c>
      <c r="R37" s="44" t="s">
        <v>51</v>
      </c>
      <c r="AS37" s="44" t="s">
        <v>51</v>
      </c>
      <c r="AX37" s="85" t="str">
        <f>Old!B24</f>
        <v>Reyes D</v>
      </c>
      <c r="AY37" s="85">
        <f>COUNTIF(Q$16:AT$35,"Reyes D")</f>
        <v>7</v>
      </c>
    </row>
    <row r="38" spans="1:51" ht="14.5">
      <c r="A38" s="166" t="s">
        <v>310</v>
      </c>
      <c r="B38" s="166"/>
      <c r="C38" s="44"/>
      <c r="D38" s="43" t="s">
        <v>51</v>
      </c>
      <c r="E38" s="47" t="s">
        <v>51</v>
      </c>
      <c r="F38" s="44" t="s">
        <v>51</v>
      </c>
      <c r="G38" s="66" t="s">
        <v>51</v>
      </c>
      <c r="H38" s="44" t="s">
        <v>51</v>
      </c>
      <c r="I38" s="44" t="s">
        <v>51</v>
      </c>
      <c r="J38" s="44" t="s">
        <v>51</v>
      </c>
      <c r="K38" s="44" t="s">
        <v>51</v>
      </c>
      <c r="L38" s="44" t="s">
        <v>51</v>
      </c>
      <c r="M38" s="11" t="s">
        <v>51</v>
      </c>
      <c r="N38" s="23" t="s">
        <v>51</v>
      </c>
      <c r="O38" s="43" t="s">
        <v>51</v>
      </c>
      <c r="Q38" s="44" t="s">
        <v>51</v>
      </c>
      <c r="R38" s="44" t="s">
        <v>51</v>
      </c>
      <c r="AX38" s="85" t="str">
        <f>Old!B25</f>
        <v>Sagnip M</v>
      </c>
      <c r="AY38" s="85">
        <f>COUNTIF(Q$16:AT$35,"Sagnip M")</f>
        <v>7</v>
      </c>
    </row>
    <row r="39" spans="1:51" ht="14.5">
      <c r="A39" s="142" t="s">
        <v>158</v>
      </c>
      <c r="B39" s="142"/>
      <c r="C39" s="44" t="s">
        <v>51</v>
      </c>
      <c r="D39" s="43" t="s">
        <v>51</v>
      </c>
      <c r="E39" s="43" t="s">
        <v>51</v>
      </c>
      <c r="F39" s="43" t="s">
        <v>51</v>
      </c>
      <c r="G39" s="43" t="s">
        <v>162</v>
      </c>
      <c r="H39" s="43" t="s">
        <v>51</v>
      </c>
      <c r="J39" s="43" t="s">
        <v>51</v>
      </c>
      <c r="K39" s="43" t="s">
        <v>51</v>
      </c>
      <c r="M39" s="44" t="s">
        <v>182</v>
      </c>
      <c r="N39" s="23" t="s">
        <v>51</v>
      </c>
      <c r="O39" s="43" t="s">
        <v>51</v>
      </c>
      <c r="R39" s="44" t="s">
        <v>51</v>
      </c>
      <c r="S39" s="44" t="s">
        <v>51</v>
      </c>
      <c r="AX39" s="85" t="str">
        <f>Old!B26</f>
        <v>Sarmiento F</v>
      </c>
      <c r="AY39" s="85">
        <f>COUNTIF(Q$16:AT$35,"Sarmiento F")</f>
        <v>7</v>
      </c>
    </row>
    <row r="40" spans="1:51" s="48" customFormat="1" ht="9" customHeight="1">
      <c r="G40" s="68"/>
      <c r="I40" s="48" t="s">
        <v>51</v>
      </c>
      <c r="J40" s="48" t="s">
        <v>51</v>
      </c>
      <c r="K40" s="48" t="s">
        <v>51</v>
      </c>
      <c r="L40" s="48" t="s">
        <v>51</v>
      </c>
      <c r="M40" s="49"/>
      <c r="N40" s="50"/>
      <c r="O40" s="48" t="s">
        <v>51</v>
      </c>
      <c r="Q40" s="49" t="s">
        <v>51</v>
      </c>
      <c r="R40" s="49" t="s">
        <v>51</v>
      </c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X40" s="85" t="str">
        <f>Old!B27</f>
        <v>Tamondong A</v>
      </c>
      <c r="AY40" s="85">
        <f>COUNTIF(Q$16:AT$35,"Tamondong A")</f>
        <v>7</v>
      </c>
    </row>
    <row r="41" spans="1:51" s="48" customFormat="1" ht="8.25" customHeight="1">
      <c r="A41" s="51"/>
      <c r="B41" s="51"/>
      <c r="C41" s="51"/>
      <c r="D41" s="51"/>
      <c r="E41" s="49"/>
      <c r="F41" s="49"/>
      <c r="G41" s="69"/>
      <c r="H41" s="49"/>
      <c r="I41" s="49"/>
      <c r="J41" s="49"/>
      <c r="K41" s="49"/>
      <c r="L41" s="49"/>
      <c r="M41" s="49"/>
      <c r="N41" s="50"/>
      <c r="Q41" s="49" t="s">
        <v>51</v>
      </c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X41" s="85" t="str">
        <f>Old!B28</f>
        <v>Valdez R</v>
      </c>
      <c r="AY41" s="85">
        <f>COUNTIF(Q$16:AT$35,"Valdez R")</f>
        <v>7</v>
      </c>
    </row>
    <row r="42" spans="1:51" s="48" customFormat="1" ht="15.5">
      <c r="A42" s="159" t="s">
        <v>283</v>
      </c>
      <c r="B42" s="159"/>
      <c r="C42" s="159"/>
      <c r="D42" s="159"/>
      <c r="E42" s="159"/>
      <c r="F42" s="59"/>
      <c r="G42" s="59"/>
      <c r="H42" s="143" t="s">
        <v>447</v>
      </c>
      <c r="I42" s="143"/>
      <c r="J42" s="143"/>
      <c r="K42" s="59"/>
      <c r="L42" s="59"/>
      <c r="M42" s="59"/>
      <c r="N42" s="143" t="s">
        <v>284</v>
      </c>
      <c r="O42" s="143"/>
      <c r="P42" s="143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X42" s="85" t="str">
        <f>Old!B29</f>
        <v>Teacher A</v>
      </c>
      <c r="AY42" s="85">
        <f>COUNTIF(Q$16:AT$35,"Teacher A")</f>
        <v>0</v>
      </c>
    </row>
    <row r="43" spans="1:51" ht="14.5">
      <c r="A43" s="158" t="s">
        <v>221</v>
      </c>
      <c r="B43" s="158"/>
      <c r="C43" s="158"/>
      <c r="D43" s="158"/>
      <c r="E43" s="158"/>
      <c r="G43" s="43"/>
      <c r="H43" s="144" t="s">
        <v>448</v>
      </c>
      <c r="I43" s="144"/>
      <c r="J43" s="144"/>
      <c r="M43" s="44"/>
      <c r="N43" s="172" t="s">
        <v>267</v>
      </c>
      <c r="O43" s="172"/>
      <c r="P43" s="172"/>
      <c r="AX43" s="85" t="str">
        <f>Old!B30</f>
        <v>Teacher B</v>
      </c>
      <c r="AY43" s="85">
        <f>COUNTIF(Q$16:AT$35,"Teacher B")</f>
        <v>0</v>
      </c>
    </row>
    <row r="44" spans="1:51" ht="14.5">
      <c r="A44" s="144" t="s">
        <v>0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AX44" s="85" t="str">
        <f>Old!B31</f>
        <v>Teacher C</v>
      </c>
      <c r="AY44" s="85">
        <f>COUNTIF(Q$16:AT$35,"Teacher C")</f>
        <v>0</v>
      </c>
    </row>
    <row r="45" spans="1:51" ht="14.5">
      <c r="A45" s="144" t="s">
        <v>1</v>
      </c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R45" s="44" t="s">
        <v>51</v>
      </c>
      <c r="AX45" s="85" t="str">
        <f>Old!B32</f>
        <v>Teacher D</v>
      </c>
      <c r="AY45" s="85">
        <f>COUNTIF(Q$16:AT$35,"Teacher D")</f>
        <v>0</v>
      </c>
    </row>
    <row r="46" spans="1:51" ht="14.5">
      <c r="A46" s="144" t="s">
        <v>228</v>
      </c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AX46" s="85" t="str">
        <f>Old!B33</f>
        <v>Teacher E</v>
      </c>
      <c r="AY46" s="85">
        <f>COUNTIF(Q$16:AT$35,"Teacher E")</f>
        <v>0</v>
      </c>
    </row>
    <row r="47" spans="1:51" ht="15.5">
      <c r="A47" s="131" t="s">
        <v>2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AX47" s="85" t="str">
        <f>Old!B34</f>
        <v>I De Leon</v>
      </c>
      <c r="AY47" s="85">
        <f>COUNTIF(Q$16:AT$35,"Teacher B")</f>
        <v>0</v>
      </c>
    </row>
    <row r="48" spans="1:51" ht="14.5">
      <c r="A48" s="144" t="s">
        <v>3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R48" s="44" t="s">
        <v>51</v>
      </c>
      <c r="AX48" s="85" t="str">
        <f>Old!B35</f>
        <v>LG Guerrero</v>
      </c>
      <c r="AY48" s="85">
        <f t="shared" ref="AY48:AY57" si="91">COUNTIF(Q$16:AT$35,"A Sumait")</f>
        <v>0</v>
      </c>
    </row>
    <row r="49" spans="1:51" ht="14.5">
      <c r="D49" s="43" t="s">
        <v>51</v>
      </c>
      <c r="F49" s="43" t="s">
        <v>51</v>
      </c>
      <c r="L49" s="43" t="s">
        <v>51</v>
      </c>
      <c r="M49" s="43" t="s">
        <v>51</v>
      </c>
      <c r="N49" s="23" t="s">
        <v>51</v>
      </c>
      <c r="O49" s="43" t="s">
        <v>51</v>
      </c>
      <c r="AX49" s="85">
        <f>Old!B36</f>
        <v>0</v>
      </c>
      <c r="AY49" s="85">
        <f t="shared" si="91"/>
        <v>0</v>
      </c>
    </row>
    <row r="50" spans="1:51" ht="15.5">
      <c r="A50" s="131" t="s">
        <v>163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R50" s="44" t="s">
        <v>51</v>
      </c>
      <c r="S50" s="44" t="s">
        <v>51</v>
      </c>
      <c r="AX50" s="85">
        <f>Old!B37</f>
        <v>0</v>
      </c>
      <c r="AY50" s="85">
        <f t="shared" si="91"/>
        <v>0</v>
      </c>
    </row>
    <row r="51" spans="1:51" ht="14.5">
      <c r="A51" s="144" t="str">
        <f>A8</f>
        <v xml:space="preserve"> First Semester S.Y. 2024-2025</v>
      </c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AX51" s="85">
        <f>Old!B38</f>
        <v>0</v>
      </c>
      <c r="AY51" s="85">
        <f>COUNTIF(Q$16:AT$35,"D Reyes")</f>
        <v>0</v>
      </c>
    </row>
    <row r="52" spans="1:51" ht="14.5">
      <c r="F52" s="43" t="s">
        <v>51</v>
      </c>
      <c r="I52" s="43" t="s">
        <v>51</v>
      </c>
      <c r="AX52" s="85">
        <f>Old!B39</f>
        <v>0</v>
      </c>
      <c r="AY52" s="85">
        <f>COUNTIF(Q$16:AT$35,"J Gardoce")</f>
        <v>0</v>
      </c>
    </row>
    <row r="53" spans="1:51" ht="14.5">
      <c r="A53" s="26" t="s">
        <v>5</v>
      </c>
      <c r="B53" s="26" t="s">
        <v>328</v>
      </c>
      <c r="C53" s="26" t="s">
        <v>271</v>
      </c>
      <c r="D53" s="26" t="s">
        <v>272</v>
      </c>
      <c r="E53" s="26" t="s">
        <v>269</v>
      </c>
      <c r="F53" s="26" t="s">
        <v>273</v>
      </c>
      <c r="G53" s="26" t="s">
        <v>12</v>
      </c>
      <c r="H53" s="26" t="s">
        <v>261</v>
      </c>
      <c r="I53" s="26" t="s">
        <v>259</v>
      </c>
      <c r="J53" s="26" t="s">
        <v>326</v>
      </c>
      <c r="K53" s="26" t="s">
        <v>10</v>
      </c>
      <c r="L53" s="26"/>
      <c r="M53" s="26"/>
      <c r="N53" s="26"/>
      <c r="O53" s="26"/>
      <c r="P53" s="26"/>
      <c r="AX53" s="85">
        <f>Old!B40</f>
        <v>0</v>
      </c>
      <c r="AY53" s="85">
        <f>COUNTIF(Q$16:AT$35,"F Sarmiento")</f>
        <v>0</v>
      </c>
    </row>
    <row r="54" spans="1:51" ht="14.5">
      <c r="A54" s="24"/>
      <c r="B54" s="24" t="s">
        <v>40</v>
      </c>
      <c r="C54" s="24" t="s">
        <v>39</v>
      </c>
      <c r="D54" s="24" t="s">
        <v>419</v>
      </c>
      <c r="E54" s="24" t="s">
        <v>420</v>
      </c>
      <c r="F54" s="24" t="s">
        <v>422</v>
      </c>
      <c r="G54" s="24" t="s">
        <v>410</v>
      </c>
      <c r="H54" s="24" t="s">
        <v>414</v>
      </c>
      <c r="I54" s="24" t="s">
        <v>421</v>
      </c>
      <c r="J54" s="24" t="s">
        <v>399</v>
      </c>
      <c r="K54" s="24" t="s">
        <v>418</v>
      </c>
      <c r="L54" s="24"/>
      <c r="M54" s="24"/>
      <c r="N54" s="24"/>
      <c r="O54" s="24"/>
      <c r="P54" s="24"/>
      <c r="R54" s="44" t="s">
        <v>51</v>
      </c>
      <c r="S54" s="44" t="s">
        <v>51</v>
      </c>
      <c r="AX54" s="85">
        <f>Old!B41</f>
        <v>0</v>
      </c>
      <c r="AY54" s="85">
        <f>COUNTIF(Q$16:AT$35,"H Almadin")</f>
        <v>0</v>
      </c>
    </row>
    <row r="55" spans="1:51" ht="14.5">
      <c r="A55" s="24"/>
      <c r="B55" s="24" t="s">
        <v>264</v>
      </c>
      <c r="C55" s="24" t="s">
        <v>362</v>
      </c>
      <c r="D55" s="24" t="s">
        <v>364</v>
      </c>
      <c r="E55" s="24" t="s">
        <v>357</v>
      </c>
      <c r="F55" s="24" t="s">
        <v>278</v>
      </c>
      <c r="G55" s="24" t="s">
        <v>366</v>
      </c>
      <c r="H55" s="24" t="s">
        <v>277</v>
      </c>
      <c r="I55" s="24" t="s">
        <v>361</v>
      </c>
      <c r="J55" s="24" t="s">
        <v>358</v>
      </c>
      <c r="K55" s="24" t="s">
        <v>265</v>
      </c>
      <c r="L55" s="24"/>
      <c r="M55" s="24"/>
      <c r="N55" s="24"/>
      <c r="O55" s="24"/>
      <c r="P55" s="24"/>
      <c r="Q55" s="44" t="s">
        <v>51</v>
      </c>
      <c r="AX55" s="85">
        <f>Old!B42</f>
        <v>0</v>
      </c>
      <c r="AY55" s="85">
        <f t="shared" si="91"/>
        <v>0</v>
      </c>
    </row>
    <row r="56" spans="1:51" ht="14.5">
      <c r="A56" s="24"/>
      <c r="B56" s="24" t="s">
        <v>522</v>
      </c>
      <c r="C56" s="24" t="s">
        <v>434</v>
      </c>
      <c r="D56" s="24"/>
      <c r="E56" s="24"/>
      <c r="F56" s="24"/>
      <c r="G56" s="24" t="s">
        <v>388</v>
      </c>
      <c r="H56" s="78" t="s">
        <v>439</v>
      </c>
      <c r="I56" s="24"/>
      <c r="J56" s="24" t="s">
        <v>443</v>
      </c>
      <c r="K56" s="24"/>
      <c r="L56" s="24"/>
      <c r="M56" s="24"/>
      <c r="N56" s="24"/>
      <c r="O56" s="24"/>
      <c r="P56" s="24"/>
      <c r="AX56" s="85"/>
      <c r="AY56" s="85"/>
    </row>
    <row r="57" spans="1:51" ht="14.5">
      <c r="A57" s="26" t="s">
        <v>331</v>
      </c>
      <c r="B57" s="170" t="s">
        <v>303</v>
      </c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R57" s="44" t="s">
        <v>51</v>
      </c>
      <c r="S57" s="44" t="s">
        <v>51</v>
      </c>
      <c r="AX57" s="85">
        <f>Old!B43</f>
        <v>0</v>
      </c>
      <c r="AY57" s="85">
        <f t="shared" si="91"/>
        <v>0</v>
      </c>
    </row>
    <row r="58" spans="1:51" ht="14.5">
      <c r="A58" s="138" t="s">
        <v>332</v>
      </c>
      <c r="B58" s="78" t="s">
        <v>154</v>
      </c>
      <c r="C58" s="78" t="s">
        <v>314</v>
      </c>
      <c r="D58" s="78" t="s">
        <v>314</v>
      </c>
      <c r="E58" s="78" t="s">
        <v>140</v>
      </c>
      <c r="F58" s="78" t="s">
        <v>132</v>
      </c>
      <c r="G58" s="78" t="s">
        <v>314</v>
      </c>
      <c r="H58" s="78" t="s">
        <v>125</v>
      </c>
      <c r="I58" s="78" t="s">
        <v>128</v>
      </c>
      <c r="J58" s="78" t="s">
        <v>154</v>
      </c>
      <c r="K58" s="78" t="s">
        <v>125</v>
      </c>
      <c r="L58" s="78"/>
      <c r="M58" s="78"/>
      <c r="N58" s="78"/>
      <c r="O58" s="78"/>
      <c r="P58" s="78"/>
      <c r="Q58" s="44" t="s">
        <v>51</v>
      </c>
      <c r="S58" s="44" t="s">
        <v>51</v>
      </c>
      <c r="AX58" s="85">
        <f>Old!B44</f>
        <v>0</v>
      </c>
      <c r="AY58" s="85">
        <f>COUNTIF(Q$16:AT$35,"E Sebastian")</f>
        <v>0</v>
      </c>
    </row>
    <row r="59" spans="1:51" ht="14.5">
      <c r="A59" s="139"/>
      <c r="B59" s="78" t="s">
        <v>401</v>
      </c>
      <c r="C59" s="78" t="s">
        <v>400</v>
      </c>
      <c r="D59" s="78" t="s">
        <v>419</v>
      </c>
      <c r="E59" s="78" t="s">
        <v>420</v>
      </c>
      <c r="F59" s="78" t="s">
        <v>422</v>
      </c>
      <c r="G59" s="24" t="s">
        <v>409</v>
      </c>
      <c r="H59" s="24" t="s">
        <v>414</v>
      </c>
      <c r="I59" s="24" t="s">
        <v>421</v>
      </c>
      <c r="J59" s="24" t="s">
        <v>402</v>
      </c>
      <c r="K59" s="24" t="s">
        <v>418</v>
      </c>
      <c r="L59" s="78"/>
      <c r="M59" s="78"/>
      <c r="N59" s="78"/>
      <c r="O59" s="78"/>
      <c r="P59" s="78"/>
      <c r="Q59" s="44" t="s">
        <v>51</v>
      </c>
      <c r="R59" s="44" t="s">
        <v>51</v>
      </c>
      <c r="S59" s="44" t="s">
        <v>51</v>
      </c>
      <c r="AX59" s="85">
        <f>Old!B45</f>
        <v>0</v>
      </c>
      <c r="AY59" s="85">
        <f>COUNTIF(Q$16:AT$35,"Teacher X")</f>
        <v>0</v>
      </c>
    </row>
    <row r="60" spans="1:51" ht="14.5">
      <c r="A60" s="140" t="s">
        <v>345</v>
      </c>
      <c r="B60" s="78" t="s">
        <v>314</v>
      </c>
      <c r="C60" s="78" t="s">
        <v>132</v>
      </c>
      <c r="D60" s="78" t="s">
        <v>140</v>
      </c>
      <c r="E60" s="78" t="s">
        <v>141</v>
      </c>
      <c r="F60" s="78" t="s">
        <v>125</v>
      </c>
      <c r="G60" s="78" t="s">
        <v>274</v>
      </c>
      <c r="H60" s="78" t="s">
        <v>313</v>
      </c>
      <c r="I60" s="78" t="s">
        <v>128</v>
      </c>
      <c r="J60" s="78" t="s">
        <v>102</v>
      </c>
      <c r="K60" s="78" t="s">
        <v>132</v>
      </c>
      <c r="L60" s="78"/>
      <c r="M60" s="78"/>
      <c r="N60" s="78"/>
      <c r="O60" s="78"/>
      <c r="P60" s="78"/>
      <c r="Q60" s="44" t="s">
        <v>51</v>
      </c>
      <c r="R60" s="44" t="s">
        <v>51</v>
      </c>
      <c r="AX60" s="85">
        <f>Old!B46</f>
        <v>0</v>
      </c>
      <c r="AY60" s="85">
        <f>COUNTIF(Q$16:AT$35,"RY Mariano")</f>
        <v>0</v>
      </c>
    </row>
    <row r="61" spans="1:51">
      <c r="A61" s="141"/>
      <c r="B61" s="78" t="s">
        <v>400</v>
      </c>
      <c r="C61" s="78" t="s">
        <v>413</v>
      </c>
      <c r="D61" s="78" t="s">
        <v>420</v>
      </c>
      <c r="E61" s="78" t="s">
        <v>418</v>
      </c>
      <c r="F61" s="78" t="s">
        <v>403</v>
      </c>
      <c r="G61" s="78" t="s">
        <v>410</v>
      </c>
      <c r="H61" s="78" t="s">
        <v>415</v>
      </c>
      <c r="I61" s="78" t="s">
        <v>421</v>
      </c>
      <c r="J61" s="78" t="s">
        <v>411</v>
      </c>
      <c r="K61" s="78" t="s">
        <v>422</v>
      </c>
      <c r="L61" s="78"/>
      <c r="M61" s="78"/>
      <c r="N61" s="78"/>
      <c r="O61" s="78"/>
      <c r="P61" s="78"/>
      <c r="Q61" s="44" t="s">
        <v>51</v>
      </c>
      <c r="R61" s="44" t="s">
        <v>51</v>
      </c>
    </row>
    <row r="62" spans="1:51">
      <c r="A62" s="79" t="s">
        <v>333</v>
      </c>
      <c r="B62" s="147" t="s">
        <v>179</v>
      </c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44" t="s">
        <v>51</v>
      </c>
      <c r="R62" s="44" t="s">
        <v>51</v>
      </c>
      <c r="AY62" s="43" t="s">
        <v>51</v>
      </c>
    </row>
    <row r="63" spans="1:51">
      <c r="A63" s="134" t="s">
        <v>334</v>
      </c>
      <c r="B63" s="78" t="s">
        <v>125</v>
      </c>
      <c r="C63" s="78" t="s">
        <v>200</v>
      </c>
      <c r="D63" s="78" t="s">
        <v>132</v>
      </c>
      <c r="E63" s="78" t="s">
        <v>125</v>
      </c>
      <c r="F63" s="78" t="s">
        <v>141</v>
      </c>
      <c r="G63" s="78" t="s">
        <v>274</v>
      </c>
      <c r="H63" s="78" t="s">
        <v>132</v>
      </c>
      <c r="I63" s="78" t="s">
        <v>154</v>
      </c>
      <c r="J63" s="78" t="s">
        <v>313</v>
      </c>
      <c r="K63" s="78" t="s">
        <v>312</v>
      </c>
      <c r="L63" s="78"/>
      <c r="M63" s="78"/>
      <c r="N63" s="78"/>
      <c r="O63" s="78"/>
      <c r="P63" s="80"/>
      <c r="Q63" s="44" t="s">
        <v>51</v>
      </c>
      <c r="R63" s="44" t="s">
        <v>51</v>
      </c>
      <c r="S63" s="44" t="s">
        <v>51</v>
      </c>
      <c r="AY63" s="43" t="s">
        <v>51</v>
      </c>
    </row>
    <row r="64" spans="1:51">
      <c r="A64" s="135"/>
      <c r="B64" s="78" t="s">
        <v>414</v>
      </c>
      <c r="C64" s="78" t="s">
        <v>409</v>
      </c>
      <c r="D64" s="78" t="s">
        <v>413</v>
      </c>
      <c r="E64" s="78" t="s">
        <v>403</v>
      </c>
      <c r="F64" s="78" t="s">
        <v>418</v>
      </c>
      <c r="G64" s="78" t="s">
        <v>410</v>
      </c>
      <c r="H64" s="78" t="s">
        <v>422</v>
      </c>
      <c r="I64" s="78" t="s">
        <v>401</v>
      </c>
      <c r="J64" s="78" t="s">
        <v>407</v>
      </c>
      <c r="K64" s="78" t="s">
        <v>415</v>
      </c>
      <c r="L64" s="78"/>
      <c r="M64" s="78"/>
      <c r="N64" s="78"/>
      <c r="O64" s="78"/>
      <c r="P64" s="78"/>
      <c r="Q64" s="44" t="s">
        <v>51</v>
      </c>
      <c r="R64" s="44" t="s">
        <v>51</v>
      </c>
      <c r="S64" s="44" t="s">
        <v>51</v>
      </c>
      <c r="T64" s="44" t="s">
        <v>51</v>
      </c>
    </row>
    <row r="65" spans="1:50" ht="15" customHeight="1">
      <c r="A65" s="134" t="s">
        <v>380</v>
      </c>
      <c r="B65" s="78" t="s">
        <v>135</v>
      </c>
      <c r="C65" s="78" t="s">
        <v>154</v>
      </c>
      <c r="D65" s="78" t="s">
        <v>154</v>
      </c>
      <c r="E65" s="78" t="s">
        <v>132</v>
      </c>
      <c r="F65" s="78" t="s">
        <v>140</v>
      </c>
      <c r="G65" s="78" t="s">
        <v>154</v>
      </c>
      <c r="H65" s="78" t="s">
        <v>314</v>
      </c>
      <c r="I65" s="78" t="s">
        <v>312</v>
      </c>
      <c r="J65" s="78" t="s">
        <v>125</v>
      </c>
      <c r="K65" s="78" t="s">
        <v>313</v>
      </c>
      <c r="L65" s="78"/>
      <c r="M65" s="78"/>
      <c r="N65" s="78"/>
      <c r="O65" s="78"/>
      <c r="P65" s="80"/>
      <c r="Q65" s="44" t="s">
        <v>51</v>
      </c>
      <c r="R65" s="44" t="s">
        <v>51</v>
      </c>
      <c r="S65" s="44" t="s">
        <v>51</v>
      </c>
    </row>
    <row r="66" spans="1:50">
      <c r="A66" s="135"/>
      <c r="B66" s="78" t="s">
        <v>403</v>
      </c>
      <c r="C66" s="78" t="s">
        <v>402</v>
      </c>
      <c r="D66" s="78" t="s">
        <v>401</v>
      </c>
      <c r="E66" s="78" t="s">
        <v>413</v>
      </c>
      <c r="F66" s="78" t="s">
        <v>420</v>
      </c>
      <c r="G66" s="78" t="s">
        <v>410</v>
      </c>
      <c r="H66" s="78" t="s">
        <v>400</v>
      </c>
      <c r="I66" s="78" t="s">
        <v>415</v>
      </c>
      <c r="J66" s="78" t="s">
        <v>418</v>
      </c>
      <c r="K66" s="78" t="s">
        <v>407</v>
      </c>
      <c r="L66" s="78"/>
      <c r="M66" s="78"/>
      <c r="N66" s="78"/>
      <c r="O66" s="78"/>
      <c r="P66" s="78"/>
      <c r="Q66" s="44" t="s">
        <v>51</v>
      </c>
      <c r="R66" s="44" t="s">
        <v>51</v>
      </c>
      <c r="S66" s="44" t="s">
        <v>51</v>
      </c>
    </row>
    <row r="67" spans="1:50">
      <c r="A67" s="134" t="s">
        <v>338</v>
      </c>
      <c r="B67" s="78" t="s">
        <v>132</v>
      </c>
      <c r="C67" s="78" t="s">
        <v>125</v>
      </c>
      <c r="D67" s="78" t="s">
        <v>200</v>
      </c>
      <c r="E67" s="78" t="s">
        <v>199</v>
      </c>
      <c r="F67" s="78" t="s">
        <v>154</v>
      </c>
      <c r="G67" s="78" t="s">
        <v>312</v>
      </c>
      <c r="H67" s="78" t="s">
        <v>312</v>
      </c>
      <c r="I67" s="78" t="s">
        <v>125</v>
      </c>
      <c r="J67" s="78" t="s">
        <v>140</v>
      </c>
      <c r="K67" s="78" t="s">
        <v>314</v>
      </c>
      <c r="L67" s="78"/>
      <c r="M67" s="78"/>
      <c r="N67" s="78"/>
      <c r="O67" s="78"/>
      <c r="P67" s="80"/>
      <c r="Q67" s="44" t="s">
        <v>51</v>
      </c>
      <c r="R67" s="44" t="s">
        <v>51</v>
      </c>
      <c r="S67" s="44" t="s">
        <v>51</v>
      </c>
    </row>
    <row r="68" spans="1:50">
      <c r="A68" s="135"/>
      <c r="B68" s="78" t="s">
        <v>413</v>
      </c>
      <c r="C68" s="78" t="s">
        <v>414</v>
      </c>
      <c r="D68" s="78" t="s">
        <v>409</v>
      </c>
      <c r="E68" s="78" t="s">
        <v>410</v>
      </c>
      <c r="F68" s="78" t="s">
        <v>401</v>
      </c>
      <c r="G68" s="78" t="s">
        <v>411</v>
      </c>
      <c r="H68" s="78" t="s">
        <v>415</v>
      </c>
      <c r="I68" s="78" t="s">
        <v>403</v>
      </c>
      <c r="J68" s="78" t="s">
        <v>420</v>
      </c>
      <c r="K68" s="78" t="s">
        <v>407</v>
      </c>
      <c r="L68" s="78"/>
      <c r="M68" s="78"/>
      <c r="N68" s="78"/>
      <c r="O68" s="78"/>
      <c r="P68" s="78"/>
      <c r="Q68" s="44" t="s">
        <v>51</v>
      </c>
      <c r="R68" s="44" t="s">
        <v>51</v>
      </c>
      <c r="S68" s="44" t="s">
        <v>51</v>
      </c>
    </row>
    <row r="69" spans="1:50">
      <c r="A69" s="81" t="s">
        <v>26</v>
      </c>
      <c r="B69" s="145" t="s">
        <v>305</v>
      </c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6"/>
      <c r="Q69" s="44" t="s">
        <v>51</v>
      </c>
      <c r="R69" s="44" t="s">
        <v>51</v>
      </c>
    </row>
    <row r="70" spans="1:50" ht="15" customHeight="1">
      <c r="A70" s="134" t="s">
        <v>342</v>
      </c>
      <c r="B70" s="78" t="s">
        <v>313</v>
      </c>
      <c r="C70" s="78" t="s">
        <v>141</v>
      </c>
      <c r="D70" s="78" t="s">
        <v>199</v>
      </c>
      <c r="E70" s="78" t="s">
        <v>200</v>
      </c>
      <c r="F70" s="78" t="s">
        <v>314</v>
      </c>
      <c r="G70" s="78" t="s">
        <v>132</v>
      </c>
      <c r="H70" s="78" t="s">
        <v>154</v>
      </c>
      <c r="I70" s="78" t="s">
        <v>313</v>
      </c>
      <c r="J70" s="78" t="s">
        <v>312</v>
      </c>
      <c r="K70" s="78" t="s">
        <v>103</v>
      </c>
      <c r="L70" s="78"/>
      <c r="M70" s="78"/>
      <c r="N70" s="78"/>
      <c r="O70" s="78"/>
      <c r="P70" s="80"/>
      <c r="Q70" s="44" t="s">
        <v>51</v>
      </c>
      <c r="R70" s="44" t="s">
        <v>51</v>
      </c>
      <c r="S70" s="44" t="s">
        <v>51</v>
      </c>
    </row>
    <row r="71" spans="1:50">
      <c r="A71" s="135"/>
      <c r="B71" s="78" t="s">
        <v>419</v>
      </c>
      <c r="C71" s="78" t="s">
        <v>418</v>
      </c>
      <c r="D71" s="78" t="s">
        <v>410</v>
      </c>
      <c r="E71" s="78" t="s">
        <v>409</v>
      </c>
      <c r="F71" s="78" t="s">
        <v>407</v>
      </c>
      <c r="G71" s="78" t="s">
        <v>413</v>
      </c>
      <c r="H71" s="78" t="s">
        <v>401</v>
      </c>
      <c r="I71" s="78" t="s">
        <v>414</v>
      </c>
      <c r="J71" s="78" t="s">
        <v>415</v>
      </c>
      <c r="K71" s="78" t="s">
        <v>411</v>
      </c>
      <c r="L71" s="78"/>
      <c r="M71" s="78"/>
      <c r="N71" s="78"/>
      <c r="O71" s="78"/>
      <c r="P71" s="78"/>
      <c r="Q71" s="44" t="s">
        <v>51</v>
      </c>
      <c r="R71" s="44" t="s">
        <v>51</v>
      </c>
      <c r="S71" s="44" t="s">
        <v>51</v>
      </c>
      <c r="T71" s="44" t="s">
        <v>51</v>
      </c>
    </row>
    <row r="72" spans="1:50" ht="18.75" customHeight="1">
      <c r="A72" s="134" t="s">
        <v>373</v>
      </c>
      <c r="B72" s="78" t="s">
        <v>312</v>
      </c>
      <c r="C72" s="78" t="s">
        <v>140</v>
      </c>
      <c r="D72" s="78" t="s">
        <v>141</v>
      </c>
      <c r="E72" s="78" t="s">
        <v>154</v>
      </c>
      <c r="F72" s="78" t="s">
        <v>199</v>
      </c>
      <c r="G72" s="78" t="s">
        <v>313</v>
      </c>
      <c r="H72" s="78" t="s">
        <v>127</v>
      </c>
      <c r="I72" s="78" t="s">
        <v>132</v>
      </c>
      <c r="J72" s="78" t="s">
        <v>314</v>
      </c>
      <c r="K72" s="78" t="s">
        <v>103</v>
      </c>
      <c r="L72" s="78"/>
      <c r="M72" s="78"/>
      <c r="N72" s="78"/>
      <c r="O72" s="78"/>
      <c r="P72" s="80"/>
      <c r="Q72" s="44" t="s">
        <v>51</v>
      </c>
      <c r="R72" s="44" t="s">
        <v>51</v>
      </c>
      <c r="S72" s="44" t="s">
        <v>51</v>
      </c>
      <c r="AX72" s="43" t="s">
        <v>51</v>
      </c>
    </row>
    <row r="73" spans="1:50" ht="18.75" customHeight="1">
      <c r="A73" s="135"/>
      <c r="B73" s="78" t="s">
        <v>404</v>
      </c>
      <c r="C73" s="78" t="s">
        <v>420</v>
      </c>
      <c r="D73" s="78" t="s">
        <v>418</v>
      </c>
      <c r="E73" s="78" t="s">
        <v>402</v>
      </c>
      <c r="F73" s="78" t="s">
        <v>410</v>
      </c>
      <c r="G73" s="78" t="s">
        <v>415</v>
      </c>
      <c r="H73" s="78" t="s">
        <v>419</v>
      </c>
      <c r="I73" s="78" t="s">
        <v>413</v>
      </c>
      <c r="J73" s="78" t="s">
        <v>399</v>
      </c>
      <c r="K73" s="78" t="s">
        <v>411</v>
      </c>
      <c r="L73" s="78"/>
      <c r="M73" s="78"/>
      <c r="N73" s="78"/>
      <c r="O73" s="78"/>
      <c r="P73" s="78"/>
      <c r="Q73" s="44" t="s">
        <v>51</v>
      </c>
      <c r="R73" s="44" t="s">
        <v>51</v>
      </c>
      <c r="S73" s="44" t="s">
        <v>51</v>
      </c>
      <c r="T73" s="44" t="s">
        <v>51</v>
      </c>
    </row>
    <row r="74" spans="1:50">
      <c r="A74" s="82" t="s">
        <v>336</v>
      </c>
      <c r="B74" s="147" t="s">
        <v>179</v>
      </c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44" t="s">
        <v>51</v>
      </c>
      <c r="R74" s="44" t="s">
        <v>51</v>
      </c>
      <c r="S74" s="44" t="s">
        <v>51</v>
      </c>
    </row>
    <row r="75" spans="1:50" ht="15" customHeight="1">
      <c r="A75" s="136" t="s">
        <v>337</v>
      </c>
      <c r="B75" s="78" t="s">
        <v>138</v>
      </c>
      <c r="C75" s="78" t="s">
        <v>199</v>
      </c>
      <c r="D75" s="78" t="s">
        <v>125</v>
      </c>
      <c r="E75" s="78" t="s">
        <v>314</v>
      </c>
      <c r="F75" s="78" t="s">
        <v>200</v>
      </c>
      <c r="G75" s="78" t="s">
        <v>125</v>
      </c>
      <c r="H75" s="78" t="s">
        <v>127</v>
      </c>
      <c r="I75" s="78" t="s">
        <v>314</v>
      </c>
      <c r="J75" s="78" t="s">
        <v>132</v>
      </c>
      <c r="K75" s="78" t="s">
        <v>154</v>
      </c>
      <c r="L75" s="78"/>
      <c r="M75" s="78"/>
      <c r="N75" s="78"/>
      <c r="O75" s="78"/>
      <c r="P75" s="80"/>
      <c r="Q75" s="44" t="s">
        <v>51</v>
      </c>
      <c r="R75" s="44" t="s">
        <v>51</v>
      </c>
      <c r="S75" s="44" t="s">
        <v>51</v>
      </c>
    </row>
    <row r="76" spans="1:50">
      <c r="A76" s="136"/>
      <c r="B76" s="78" t="s">
        <v>400</v>
      </c>
      <c r="C76" s="78" t="s">
        <v>410</v>
      </c>
      <c r="D76" s="78" t="s">
        <v>403</v>
      </c>
      <c r="E76" s="78" t="s">
        <v>412</v>
      </c>
      <c r="F76" s="78" t="s">
        <v>409</v>
      </c>
      <c r="G76" s="78" t="s">
        <v>418</v>
      </c>
      <c r="H76" s="78" t="s">
        <v>419</v>
      </c>
      <c r="I76" s="78" t="s">
        <v>420</v>
      </c>
      <c r="J76" s="78" t="s">
        <v>413</v>
      </c>
      <c r="K76" s="78" t="s">
        <v>401</v>
      </c>
      <c r="L76" s="78"/>
      <c r="M76" s="78"/>
      <c r="N76" s="78"/>
      <c r="O76" s="78"/>
      <c r="P76" s="78"/>
      <c r="R76" s="44" t="s">
        <v>51</v>
      </c>
      <c r="S76" s="44" t="s">
        <v>51</v>
      </c>
    </row>
    <row r="77" spans="1:50">
      <c r="A77" s="136" t="s">
        <v>151</v>
      </c>
      <c r="B77" s="78" t="s">
        <v>116</v>
      </c>
      <c r="C77" s="78" t="s">
        <v>116</v>
      </c>
      <c r="D77" s="78" t="s">
        <v>116</v>
      </c>
      <c r="E77" s="78" t="s">
        <v>116</v>
      </c>
      <c r="F77" s="78" t="s">
        <v>116</v>
      </c>
      <c r="G77" s="78" t="s">
        <v>116</v>
      </c>
      <c r="H77" s="78" t="s">
        <v>116</v>
      </c>
      <c r="I77" s="78" t="s">
        <v>116</v>
      </c>
      <c r="J77" s="78" t="s">
        <v>116</v>
      </c>
      <c r="K77" s="78" t="s">
        <v>116</v>
      </c>
      <c r="L77" s="78"/>
      <c r="M77" s="78"/>
      <c r="N77" s="78"/>
      <c r="O77" s="78"/>
      <c r="P77" s="80"/>
      <c r="Q77" s="44" t="s">
        <v>51</v>
      </c>
      <c r="R77" s="44" t="s">
        <v>51</v>
      </c>
      <c r="S77" s="44" t="s">
        <v>51</v>
      </c>
    </row>
    <row r="78" spans="1:50">
      <c r="A78" s="136"/>
      <c r="B78" s="78" t="s">
        <v>381</v>
      </c>
      <c r="C78" s="78" t="s">
        <v>381</v>
      </c>
      <c r="D78" s="78" t="s">
        <v>381</v>
      </c>
      <c r="E78" s="78" t="s">
        <v>381</v>
      </c>
      <c r="F78" s="78" t="s">
        <v>381</v>
      </c>
      <c r="G78" s="78" t="s">
        <v>381</v>
      </c>
      <c r="H78" s="78" t="s">
        <v>381</v>
      </c>
      <c r="I78" s="78" t="s">
        <v>387</v>
      </c>
      <c r="J78" s="78" t="s">
        <v>387</v>
      </c>
      <c r="K78" s="78" t="s">
        <v>381</v>
      </c>
      <c r="L78" s="78"/>
      <c r="M78" s="78"/>
      <c r="N78" s="78"/>
      <c r="O78" s="78"/>
      <c r="P78" s="78"/>
      <c r="R78" s="44" t="s">
        <v>51</v>
      </c>
      <c r="S78" s="44" t="s">
        <v>51</v>
      </c>
    </row>
    <row r="79" spans="1:50">
      <c r="A79" s="17" t="s">
        <v>374</v>
      </c>
      <c r="B79" s="54">
        <f>AY19</f>
        <v>7</v>
      </c>
      <c r="C79" s="54">
        <f>AY35</f>
        <v>7</v>
      </c>
      <c r="D79" s="86">
        <f>AY39</f>
        <v>7</v>
      </c>
      <c r="E79" s="86">
        <f>AY17</f>
        <v>7</v>
      </c>
      <c r="F79" s="86">
        <f>AY36</f>
        <v>7</v>
      </c>
      <c r="G79" s="86">
        <f>AY20</f>
        <v>7</v>
      </c>
      <c r="H79" s="86">
        <f>AY23</f>
        <v>5</v>
      </c>
      <c r="I79" s="86">
        <f>AY34</f>
        <v>7</v>
      </c>
      <c r="J79" s="86">
        <f>AY24</f>
        <v>7</v>
      </c>
      <c r="K79" s="86">
        <f>AY26</f>
        <v>7</v>
      </c>
      <c r="L79" s="86"/>
      <c r="M79" s="86"/>
      <c r="N79" s="86"/>
      <c r="O79" s="86"/>
      <c r="P79" s="86"/>
      <c r="Q79" s="44" t="s">
        <v>51</v>
      </c>
    </row>
    <row r="80" spans="1:50">
      <c r="B80" s="100">
        <f>AY30</f>
        <v>7</v>
      </c>
      <c r="C80" s="100">
        <f>AY44</f>
        <v>0</v>
      </c>
      <c r="D80" s="100"/>
      <c r="E80" s="100"/>
      <c r="F80" s="100"/>
      <c r="G80" s="100">
        <f>AY40</f>
        <v>7</v>
      </c>
      <c r="H80" s="100">
        <v>10</v>
      </c>
      <c r="I80" s="100"/>
      <c r="J80" s="100">
        <f>AY33</f>
        <v>7</v>
      </c>
      <c r="K80" s="100"/>
      <c r="L80" s="100"/>
      <c r="M80" s="100"/>
      <c r="N80" s="100"/>
      <c r="O80" s="100"/>
      <c r="P80" s="100"/>
      <c r="Q80" s="44" t="s">
        <v>51</v>
      </c>
    </row>
    <row r="81" spans="1:45">
      <c r="A81" s="167" t="s">
        <v>310</v>
      </c>
      <c r="B81" s="167"/>
      <c r="C81" s="76"/>
      <c r="D81" s="76"/>
      <c r="E81" s="43" t="s">
        <v>51</v>
      </c>
      <c r="F81" s="76"/>
      <c r="G81" s="76"/>
      <c r="H81" s="76"/>
      <c r="I81" s="76"/>
      <c r="J81" s="76"/>
      <c r="K81" s="76"/>
      <c r="L81" s="76"/>
      <c r="M81" s="76"/>
      <c r="N81" s="77" t="s">
        <v>51</v>
      </c>
      <c r="O81" s="75" t="s">
        <v>51</v>
      </c>
      <c r="P81" s="75"/>
    </row>
    <row r="82" spans="1:45">
      <c r="A82" s="142" t="s">
        <v>158</v>
      </c>
      <c r="B82" s="142"/>
      <c r="C82" s="44" t="s">
        <v>51</v>
      </c>
      <c r="G82" s="66" t="s">
        <v>162</v>
      </c>
      <c r="J82" s="43" t="s">
        <v>51</v>
      </c>
      <c r="M82" s="44" t="s">
        <v>182</v>
      </c>
      <c r="O82" s="43" t="s">
        <v>51</v>
      </c>
    </row>
    <row r="83" spans="1:45" s="48" customFormat="1" ht="9.75" customHeight="1">
      <c r="E83" s="48" t="s">
        <v>51</v>
      </c>
      <c r="G83" s="68"/>
      <c r="K83" s="48" t="s">
        <v>51</v>
      </c>
      <c r="M83" s="49"/>
      <c r="N83" s="50"/>
      <c r="O83" s="48" t="s">
        <v>51</v>
      </c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</row>
    <row r="84" spans="1:45" ht="8.25" customHeight="1">
      <c r="A84" s="51"/>
      <c r="B84" s="51"/>
      <c r="C84" s="51"/>
      <c r="D84" s="51"/>
      <c r="E84" s="49"/>
      <c r="F84" s="49"/>
      <c r="G84" s="69"/>
      <c r="H84" s="49"/>
      <c r="I84" s="49"/>
      <c r="J84" s="49"/>
      <c r="K84" s="49" t="s">
        <v>51</v>
      </c>
      <c r="L84" s="49"/>
      <c r="M84" s="49"/>
      <c r="N84" s="50"/>
      <c r="O84" s="48"/>
      <c r="P84" s="48"/>
    </row>
    <row r="85" spans="1:45" ht="15.5">
      <c r="A85" s="159" t="str">
        <f>A42</f>
        <v>CRISTITUTO P. LORENZANA</v>
      </c>
      <c r="B85" s="159"/>
      <c r="C85" s="159"/>
      <c r="D85" s="159"/>
      <c r="E85" s="159"/>
      <c r="F85" s="59"/>
      <c r="G85" s="59"/>
      <c r="H85" s="143" t="str">
        <f>H42</f>
        <v>MELANIE J. YAMBOT</v>
      </c>
      <c r="I85" s="143"/>
      <c r="J85" s="143"/>
      <c r="K85" s="59"/>
      <c r="L85" s="59"/>
      <c r="M85" s="59"/>
      <c r="N85" s="143" t="str">
        <f>N42</f>
        <v>AURORA T. AGUILA</v>
      </c>
      <c r="O85" s="143"/>
      <c r="P85" s="143"/>
    </row>
    <row r="86" spans="1:45">
      <c r="A86" s="158" t="str">
        <f>A43</f>
        <v>SHS Teacher III</v>
      </c>
      <c r="B86" s="158"/>
      <c r="C86" s="158"/>
      <c r="D86" s="158"/>
      <c r="E86" s="158"/>
      <c r="G86" s="43"/>
      <c r="H86" s="144" t="str">
        <f>H43</f>
        <v>OIC Assistant Principal II</v>
      </c>
      <c r="I86" s="144"/>
      <c r="J86" s="144"/>
      <c r="M86" s="44"/>
      <c r="N86" s="172" t="str">
        <f>N43</f>
        <v>School Principal IV</v>
      </c>
      <c r="O86" s="172"/>
      <c r="P86" s="172"/>
    </row>
    <row r="87" spans="1:45" hidden="1">
      <c r="A87" s="144" t="s">
        <v>0</v>
      </c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</row>
    <row r="88" spans="1:45" hidden="1">
      <c r="A88" s="144" t="s">
        <v>1</v>
      </c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</row>
    <row r="89" spans="1:45" hidden="1">
      <c r="A89" s="144" t="s">
        <v>228</v>
      </c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</row>
    <row r="90" spans="1:45" ht="15.5" hidden="1">
      <c r="A90" s="131" t="s">
        <v>2</v>
      </c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</row>
    <row r="91" spans="1:45" hidden="1">
      <c r="A91" s="144" t="s">
        <v>3</v>
      </c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</row>
    <row r="92" spans="1:45" hidden="1">
      <c r="E92" s="43" t="s">
        <v>51</v>
      </c>
    </row>
    <row r="93" spans="1:45" ht="15.5" hidden="1">
      <c r="A93" s="131" t="s">
        <v>8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</row>
    <row r="94" spans="1:45" hidden="1">
      <c r="A94" s="144" t="s">
        <v>257</v>
      </c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</row>
    <row r="95" spans="1:45" hidden="1"/>
    <row r="96" spans="1:45" hidden="1">
      <c r="A96" s="26" t="s">
        <v>5</v>
      </c>
      <c r="B96" s="26" t="s">
        <v>6</v>
      </c>
      <c r="C96" s="26" t="s">
        <v>213</v>
      </c>
      <c r="D96" s="26" t="s">
        <v>214</v>
      </c>
      <c r="E96" s="26" t="s">
        <v>258</v>
      </c>
      <c r="F96" s="33" t="s">
        <v>9</v>
      </c>
      <c r="G96" s="24" t="s">
        <v>259</v>
      </c>
      <c r="H96" s="33" t="s">
        <v>11</v>
      </c>
      <c r="I96" s="33"/>
      <c r="J96" s="33"/>
      <c r="K96" s="33"/>
      <c r="L96" s="33"/>
      <c r="M96" s="26" t="s">
        <v>12</v>
      </c>
      <c r="N96" s="26" t="s">
        <v>260</v>
      </c>
    </row>
    <row r="97" spans="1:18" hidden="1">
      <c r="A97" s="6"/>
      <c r="B97" s="6" t="s">
        <v>13</v>
      </c>
      <c r="C97" s="6" t="s">
        <v>14</v>
      </c>
      <c r="D97" s="6" t="s">
        <v>17</v>
      </c>
      <c r="E97" s="42" t="s">
        <v>254</v>
      </c>
      <c r="F97" s="24" t="s">
        <v>256</v>
      </c>
      <c r="G97" s="24" t="s">
        <v>15</v>
      </c>
      <c r="H97" s="24" t="s">
        <v>16</v>
      </c>
      <c r="I97" s="24"/>
      <c r="J97" s="24"/>
      <c r="K97" s="24"/>
      <c r="L97" s="24"/>
      <c r="M97" s="6" t="s">
        <v>19</v>
      </c>
      <c r="N97" s="6" t="s">
        <v>43</v>
      </c>
    </row>
    <row r="98" spans="1:18" hidden="1">
      <c r="A98" s="6"/>
      <c r="B98" s="6" t="s">
        <v>31</v>
      </c>
      <c r="C98" s="6" t="s">
        <v>32</v>
      </c>
      <c r="D98" s="6" t="s">
        <v>36</v>
      </c>
      <c r="E98" s="42" t="s">
        <v>173</v>
      </c>
      <c r="F98" s="24" t="s">
        <v>33</v>
      </c>
      <c r="G98" s="24" t="s">
        <v>34</v>
      </c>
      <c r="H98" s="24" t="s">
        <v>35</v>
      </c>
      <c r="I98" s="24"/>
      <c r="J98" s="24"/>
      <c r="K98" s="24"/>
      <c r="L98" s="24"/>
      <c r="M98" s="6" t="s">
        <v>37</v>
      </c>
      <c r="N98" s="6" t="s">
        <v>255</v>
      </c>
    </row>
    <row r="99" spans="1:18" hidden="1">
      <c r="A99" s="26" t="s">
        <v>20</v>
      </c>
      <c r="B99" s="153" t="s">
        <v>168</v>
      </c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5"/>
    </row>
    <row r="100" spans="1:18" hidden="1">
      <c r="A100" s="156" t="s">
        <v>21</v>
      </c>
      <c r="B100" s="18" t="s">
        <v>123</v>
      </c>
      <c r="C100" s="34" t="s">
        <v>56</v>
      </c>
      <c r="D100" s="34" t="s">
        <v>56</v>
      </c>
      <c r="E100" s="21" t="s">
        <v>193</v>
      </c>
      <c r="F100" s="32" t="s">
        <v>109</v>
      </c>
      <c r="G100" s="24" t="s">
        <v>74</v>
      </c>
      <c r="H100" s="35" t="s">
        <v>117</v>
      </c>
      <c r="I100" s="35"/>
      <c r="J100" s="35"/>
      <c r="K100" s="35"/>
      <c r="L100" s="35"/>
      <c r="M100" s="32" t="s">
        <v>209</v>
      </c>
      <c r="N100" s="32" t="s">
        <v>123</v>
      </c>
    </row>
    <row r="101" spans="1:18" hidden="1">
      <c r="A101" s="157"/>
      <c r="B101" s="39" t="s">
        <v>42</v>
      </c>
      <c r="C101" s="34" t="s">
        <v>45</v>
      </c>
      <c r="D101" s="33" t="s">
        <v>17</v>
      </c>
      <c r="E101" s="21" t="s">
        <v>18</v>
      </c>
      <c r="F101" s="32" t="s">
        <v>15</v>
      </c>
      <c r="G101" s="24" t="s">
        <v>16</v>
      </c>
      <c r="H101" s="35" t="s">
        <v>227</v>
      </c>
      <c r="I101" s="35"/>
      <c r="J101" s="35"/>
      <c r="K101" s="35"/>
      <c r="L101" s="35"/>
      <c r="M101" s="32" t="s">
        <v>19</v>
      </c>
      <c r="N101" s="37" t="s">
        <v>42</v>
      </c>
    </row>
    <row r="102" spans="1:18" hidden="1">
      <c r="A102" s="151" t="s">
        <v>22</v>
      </c>
      <c r="B102" s="32" t="s">
        <v>71</v>
      </c>
      <c r="C102" s="38" t="s">
        <v>129</v>
      </c>
      <c r="D102" s="41" t="s">
        <v>155</v>
      </c>
      <c r="E102" s="35" t="s">
        <v>117</v>
      </c>
      <c r="F102" s="32" t="s">
        <v>109</v>
      </c>
      <c r="G102" s="25" t="s">
        <v>193</v>
      </c>
      <c r="H102" s="34" t="s">
        <v>56</v>
      </c>
      <c r="I102" s="34"/>
      <c r="J102" s="34"/>
      <c r="K102" s="34"/>
      <c r="L102" s="34"/>
      <c r="M102" s="32" t="s">
        <v>209</v>
      </c>
      <c r="N102" s="41" t="s">
        <v>155</v>
      </c>
      <c r="Q102" s="44" t="s">
        <v>51</v>
      </c>
    </row>
    <row r="103" spans="1:18" hidden="1">
      <c r="A103" s="152"/>
      <c r="B103" s="37" t="s">
        <v>38</v>
      </c>
      <c r="C103" s="32" t="s">
        <v>227</v>
      </c>
      <c r="D103" s="40" t="s">
        <v>218</v>
      </c>
      <c r="E103" s="35" t="s">
        <v>46</v>
      </c>
      <c r="F103" s="32" t="s">
        <v>15</v>
      </c>
      <c r="G103" s="24" t="s">
        <v>43</v>
      </c>
      <c r="H103" s="33" t="s">
        <v>17</v>
      </c>
      <c r="I103" s="33"/>
      <c r="J103" s="33"/>
      <c r="K103" s="33"/>
      <c r="L103" s="33"/>
      <c r="M103" s="32" t="s">
        <v>19</v>
      </c>
      <c r="N103" s="40" t="s">
        <v>218</v>
      </c>
      <c r="O103" s="43" t="s">
        <v>51</v>
      </c>
      <c r="Q103" s="44" t="s">
        <v>51</v>
      </c>
    </row>
    <row r="104" spans="1:18" hidden="1">
      <c r="A104" s="26" t="s">
        <v>23</v>
      </c>
      <c r="B104" s="153" t="s">
        <v>179</v>
      </c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5"/>
      <c r="O104" s="43" t="s">
        <v>51</v>
      </c>
      <c r="Q104" s="44" t="s">
        <v>51</v>
      </c>
    </row>
    <row r="105" spans="1:18" hidden="1">
      <c r="A105" s="151" t="s">
        <v>24</v>
      </c>
      <c r="B105" s="35" t="s">
        <v>117</v>
      </c>
      <c r="C105" s="41" t="s">
        <v>155</v>
      </c>
      <c r="D105" s="22" t="s">
        <v>194</v>
      </c>
      <c r="E105" s="32" t="s">
        <v>126</v>
      </c>
      <c r="F105" s="35" t="s">
        <v>117</v>
      </c>
      <c r="G105" s="24" t="s">
        <v>109</v>
      </c>
      <c r="H105" s="32" t="s">
        <v>102</v>
      </c>
      <c r="I105" s="32"/>
      <c r="J105" s="32"/>
      <c r="K105" s="32"/>
      <c r="L105" s="32"/>
      <c r="M105" s="33" t="s">
        <v>56</v>
      </c>
      <c r="N105" s="35" t="s">
        <v>117</v>
      </c>
      <c r="O105" s="43" t="s">
        <v>51</v>
      </c>
      <c r="Q105" s="44" t="s">
        <v>51</v>
      </c>
    </row>
    <row r="106" spans="1:18" hidden="1">
      <c r="A106" s="152"/>
      <c r="B106" s="35" t="s">
        <v>46</v>
      </c>
      <c r="C106" s="40" t="s">
        <v>218</v>
      </c>
      <c r="D106" s="22" t="s">
        <v>42</v>
      </c>
      <c r="E106" s="32" t="s">
        <v>43</v>
      </c>
      <c r="F106" s="35" t="s">
        <v>220</v>
      </c>
      <c r="G106" s="24" t="s">
        <v>15</v>
      </c>
      <c r="H106" s="32" t="s">
        <v>50</v>
      </c>
      <c r="I106" s="32"/>
      <c r="J106" s="32"/>
      <c r="K106" s="32"/>
      <c r="L106" s="32"/>
      <c r="M106" s="33" t="s">
        <v>219</v>
      </c>
      <c r="N106" s="35" t="s">
        <v>46</v>
      </c>
      <c r="O106" s="43" t="s">
        <v>51</v>
      </c>
      <c r="Q106" s="44" t="s">
        <v>51</v>
      </c>
    </row>
    <row r="107" spans="1:18" hidden="1">
      <c r="A107" s="151" t="s">
        <v>25</v>
      </c>
      <c r="B107" s="32" t="s">
        <v>136</v>
      </c>
      <c r="C107" s="35" t="s">
        <v>117</v>
      </c>
      <c r="D107" s="19" t="s">
        <v>74</v>
      </c>
      <c r="E107" s="32" t="s">
        <v>126</v>
      </c>
      <c r="F107" s="34" t="s">
        <v>56</v>
      </c>
      <c r="G107" s="24" t="s">
        <v>109</v>
      </c>
      <c r="H107" s="32" t="s">
        <v>102</v>
      </c>
      <c r="I107" s="32"/>
      <c r="J107" s="32"/>
      <c r="K107" s="32"/>
      <c r="L107" s="32"/>
      <c r="M107" s="22" t="s">
        <v>194</v>
      </c>
      <c r="N107" s="19" t="s">
        <v>74</v>
      </c>
      <c r="O107" s="43" t="s">
        <v>51</v>
      </c>
      <c r="Q107" s="44" t="s">
        <v>51</v>
      </c>
    </row>
    <row r="108" spans="1:18" hidden="1">
      <c r="A108" s="152"/>
      <c r="B108" s="32" t="s">
        <v>16</v>
      </c>
      <c r="C108" s="35" t="s">
        <v>46</v>
      </c>
      <c r="D108" s="18" t="s">
        <v>39</v>
      </c>
      <c r="E108" s="32" t="s">
        <v>43</v>
      </c>
      <c r="F108" s="33" t="s">
        <v>17</v>
      </c>
      <c r="G108" s="24" t="s">
        <v>15</v>
      </c>
      <c r="H108" s="32" t="s">
        <v>50</v>
      </c>
      <c r="I108" s="32"/>
      <c r="J108" s="32"/>
      <c r="K108" s="32"/>
      <c r="L108" s="32"/>
      <c r="M108" s="22" t="s">
        <v>19</v>
      </c>
      <c r="N108" s="18" t="s">
        <v>39</v>
      </c>
      <c r="O108" s="43" t="s">
        <v>51</v>
      </c>
      <c r="Q108" s="44" t="s">
        <v>51</v>
      </c>
    </row>
    <row r="109" spans="1:18" hidden="1">
      <c r="A109" s="26" t="s">
        <v>26</v>
      </c>
      <c r="B109" s="153" t="s">
        <v>180</v>
      </c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5"/>
      <c r="O109" s="43" t="s">
        <v>51</v>
      </c>
      <c r="Q109" s="44" t="s">
        <v>51</v>
      </c>
      <c r="R109" s="44" t="s">
        <v>51</v>
      </c>
    </row>
    <row r="110" spans="1:18" hidden="1">
      <c r="A110" s="151" t="s">
        <v>27</v>
      </c>
      <c r="B110" s="34" t="s">
        <v>56</v>
      </c>
      <c r="C110" s="21" t="s">
        <v>193</v>
      </c>
      <c r="D110" s="38" t="s">
        <v>87</v>
      </c>
      <c r="E110" s="22" t="s">
        <v>194</v>
      </c>
      <c r="F110" s="22" t="s">
        <v>194</v>
      </c>
      <c r="G110" s="24" t="s">
        <v>117</v>
      </c>
      <c r="H110" s="19" t="s">
        <v>74</v>
      </c>
      <c r="I110" s="19"/>
      <c r="J110" s="19"/>
      <c r="K110" s="19"/>
      <c r="L110" s="19"/>
      <c r="M110" s="20" t="s">
        <v>193</v>
      </c>
      <c r="N110" s="32" t="s">
        <v>143</v>
      </c>
      <c r="O110" s="43" t="s">
        <v>51</v>
      </c>
      <c r="Q110" s="44" t="s">
        <v>51</v>
      </c>
    </row>
    <row r="111" spans="1:18" hidden="1">
      <c r="A111" s="152"/>
      <c r="B111" s="33" t="s">
        <v>17</v>
      </c>
      <c r="C111" s="21" t="s">
        <v>38</v>
      </c>
      <c r="D111" s="32" t="s">
        <v>46</v>
      </c>
      <c r="E111" s="22" t="s">
        <v>19</v>
      </c>
      <c r="F111" s="22" t="s">
        <v>42</v>
      </c>
      <c r="G111" s="24" t="s">
        <v>227</v>
      </c>
      <c r="H111" s="18" t="s">
        <v>39</v>
      </c>
      <c r="I111" s="18"/>
      <c r="J111" s="18"/>
      <c r="K111" s="18"/>
      <c r="L111" s="18"/>
      <c r="M111" s="21" t="s">
        <v>18</v>
      </c>
      <c r="N111" s="37" t="s">
        <v>216</v>
      </c>
      <c r="O111" s="43" t="s">
        <v>51</v>
      </c>
      <c r="Q111" s="44" t="s">
        <v>51</v>
      </c>
      <c r="R111" s="44" t="s">
        <v>51</v>
      </c>
    </row>
    <row r="112" spans="1:18" hidden="1">
      <c r="A112" s="151" t="s">
        <v>28</v>
      </c>
      <c r="B112" s="41" t="s">
        <v>155</v>
      </c>
      <c r="C112" s="38" t="s">
        <v>87</v>
      </c>
      <c r="D112" s="20" t="s">
        <v>193</v>
      </c>
      <c r="E112" s="19" t="s">
        <v>74</v>
      </c>
      <c r="F112" s="41" t="s">
        <v>155</v>
      </c>
      <c r="G112" s="25" t="s">
        <v>56</v>
      </c>
      <c r="H112" s="21" t="s">
        <v>193</v>
      </c>
      <c r="I112" s="21"/>
      <c r="J112" s="21"/>
      <c r="K112" s="21"/>
      <c r="L112" s="21"/>
      <c r="M112" s="18" t="s">
        <v>74</v>
      </c>
      <c r="N112" s="34" t="s">
        <v>56</v>
      </c>
      <c r="O112" s="43" t="s">
        <v>227</v>
      </c>
      <c r="Q112" s="44" t="s">
        <v>51</v>
      </c>
    </row>
    <row r="113" spans="1:18" hidden="1">
      <c r="A113" s="152"/>
      <c r="B113" s="40" t="s">
        <v>48</v>
      </c>
      <c r="C113" s="32" t="s">
        <v>46</v>
      </c>
      <c r="D113" s="21" t="s">
        <v>18</v>
      </c>
      <c r="E113" s="18" t="s">
        <v>39</v>
      </c>
      <c r="F113" s="40" t="s">
        <v>218</v>
      </c>
      <c r="G113" s="24" t="s">
        <v>17</v>
      </c>
      <c r="H113" s="21" t="s">
        <v>38</v>
      </c>
      <c r="I113" s="21"/>
      <c r="J113" s="21"/>
      <c r="K113" s="21"/>
      <c r="L113" s="21"/>
      <c r="M113" s="18" t="s">
        <v>16</v>
      </c>
      <c r="N113" s="33" t="s">
        <v>17</v>
      </c>
      <c r="O113" s="43" t="s">
        <v>250</v>
      </c>
      <c r="Q113" s="44" t="s">
        <v>51</v>
      </c>
      <c r="R113" s="44" t="s">
        <v>51</v>
      </c>
    </row>
    <row r="114" spans="1:18" hidden="1">
      <c r="A114" s="151" t="s">
        <v>29</v>
      </c>
      <c r="B114" s="22" t="s">
        <v>194</v>
      </c>
      <c r="C114" s="22" t="s">
        <v>194</v>
      </c>
      <c r="D114" s="38" t="s">
        <v>129</v>
      </c>
      <c r="E114" s="34" t="s">
        <v>56</v>
      </c>
      <c r="F114" s="18" t="s">
        <v>74</v>
      </c>
      <c r="G114" s="24" t="s">
        <v>155</v>
      </c>
      <c r="H114" s="40" t="s">
        <v>154</v>
      </c>
      <c r="I114" s="40"/>
      <c r="J114" s="40"/>
      <c r="K114" s="40"/>
      <c r="L114" s="40"/>
      <c r="M114" s="35" t="s">
        <v>117</v>
      </c>
      <c r="N114" s="22" t="s">
        <v>194</v>
      </c>
      <c r="O114" s="43" t="s">
        <v>51</v>
      </c>
      <c r="Q114" s="44" t="s">
        <v>51</v>
      </c>
    </row>
    <row r="115" spans="1:18" hidden="1">
      <c r="A115" s="152"/>
      <c r="B115" s="22" t="s">
        <v>19</v>
      </c>
      <c r="C115" s="22" t="s">
        <v>42</v>
      </c>
      <c r="D115" s="32" t="s">
        <v>227</v>
      </c>
      <c r="E115" s="33" t="s">
        <v>17</v>
      </c>
      <c r="F115" s="18" t="s">
        <v>229</v>
      </c>
      <c r="G115" s="24" t="s">
        <v>217</v>
      </c>
      <c r="H115" s="40" t="s">
        <v>217</v>
      </c>
      <c r="I115" s="40"/>
      <c r="J115" s="40"/>
      <c r="K115" s="40"/>
      <c r="L115" s="40"/>
      <c r="M115" s="35" t="s">
        <v>46</v>
      </c>
      <c r="N115" s="22" t="s">
        <v>19</v>
      </c>
      <c r="Q115" s="44" t="s">
        <v>51</v>
      </c>
    </row>
    <row r="116" spans="1:18" hidden="1">
      <c r="A116" s="151" t="s">
        <v>30</v>
      </c>
      <c r="B116" s="21" t="s">
        <v>193</v>
      </c>
      <c r="C116" s="19" t="s">
        <v>74</v>
      </c>
      <c r="D116" s="35" t="s">
        <v>117</v>
      </c>
      <c r="E116" s="40" t="s">
        <v>155</v>
      </c>
      <c r="F116" s="20" t="s">
        <v>193</v>
      </c>
      <c r="G116" s="24" t="s">
        <v>194</v>
      </c>
      <c r="H116" s="22" t="s">
        <v>194</v>
      </c>
      <c r="I116" s="63"/>
      <c r="J116" s="63"/>
      <c r="K116" s="63"/>
      <c r="L116" s="63"/>
      <c r="M116" s="41" t="s">
        <v>155</v>
      </c>
      <c r="N116" s="21" t="s">
        <v>193</v>
      </c>
      <c r="O116" s="43" t="s">
        <v>51</v>
      </c>
      <c r="Q116" s="44" t="s">
        <v>51</v>
      </c>
    </row>
    <row r="117" spans="1:18" hidden="1">
      <c r="A117" s="152"/>
      <c r="B117" s="21" t="s">
        <v>38</v>
      </c>
      <c r="C117" s="18" t="s">
        <v>39</v>
      </c>
      <c r="D117" s="35" t="s">
        <v>227</v>
      </c>
      <c r="E117" s="40" t="s">
        <v>217</v>
      </c>
      <c r="F117" s="21" t="s">
        <v>18</v>
      </c>
      <c r="G117" s="24" t="s">
        <v>42</v>
      </c>
      <c r="H117" s="22" t="s">
        <v>42</v>
      </c>
      <c r="I117" s="22"/>
      <c r="J117" s="22"/>
      <c r="K117" s="22"/>
      <c r="L117" s="22"/>
      <c r="M117" s="40" t="s">
        <v>19</v>
      </c>
      <c r="N117" s="21" t="s">
        <v>38</v>
      </c>
      <c r="O117" s="43" t="s">
        <v>51</v>
      </c>
      <c r="Q117" s="44" t="s">
        <v>51</v>
      </c>
    </row>
    <row r="118" spans="1:18" hidden="1">
      <c r="A118" s="151"/>
      <c r="B118" s="24"/>
      <c r="C118" s="25"/>
      <c r="D118" s="17"/>
      <c r="E118" s="17"/>
      <c r="F118" s="17"/>
      <c r="G118" s="36"/>
      <c r="H118" s="17"/>
      <c r="I118" s="17"/>
      <c r="J118" s="17"/>
      <c r="K118" s="17"/>
      <c r="L118" s="17"/>
      <c r="M118" s="17"/>
      <c r="N118" s="24"/>
      <c r="Q118" s="44" t="s">
        <v>51</v>
      </c>
    </row>
    <row r="119" spans="1:18" hidden="1">
      <c r="A119" s="152"/>
      <c r="B119" s="24"/>
      <c r="C119" s="24"/>
      <c r="D119" s="17"/>
      <c r="E119" s="17"/>
      <c r="F119" s="17"/>
      <c r="G119" s="36"/>
      <c r="H119" s="17"/>
      <c r="I119" s="17"/>
      <c r="J119" s="17"/>
      <c r="K119" s="17"/>
      <c r="L119" s="17"/>
      <c r="M119" s="17"/>
      <c r="N119" s="24"/>
      <c r="Q119" s="44" t="s">
        <v>51</v>
      </c>
    </row>
    <row r="120" spans="1:18" hidden="1">
      <c r="A120" s="168" t="s">
        <v>247</v>
      </c>
      <c r="B120" s="24" t="s">
        <v>165</v>
      </c>
      <c r="C120" s="24" t="s">
        <v>165</v>
      </c>
      <c r="D120" s="24" t="s">
        <v>164</v>
      </c>
      <c r="E120" s="24" t="s">
        <v>165</v>
      </c>
      <c r="F120" s="24" t="s">
        <v>165</v>
      </c>
      <c r="G120" s="24" t="s">
        <v>165</v>
      </c>
      <c r="H120" s="24" t="s">
        <v>165</v>
      </c>
      <c r="I120" s="24"/>
      <c r="J120" s="24"/>
      <c r="K120" s="24"/>
      <c r="L120" s="24"/>
      <c r="M120" s="24" t="s">
        <v>165</v>
      </c>
      <c r="N120" s="24" t="s">
        <v>165</v>
      </c>
      <c r="O120" s="43" t="s">
        <v>51</v>
      </c>
    </row>
    <row r="121" spans="1:18" hidden="1">
      <c r="A121" s="169"/>
      <c r="B121" s="24" t="s">
        <v>45</v>
      </c>
      <c r="C121" s="24" t="s">
        <v>45</v>
      </c>
      <c r="D121" s="24" t="s">
        <v>18</v>
      </c>
      <c r="E121" s="24" t="s">
        <v>18</v>
      </c>
      <c r="F121" s="24" t="s">
        <v>15</v>
      </c>
      <c r="G121" s="24" t="s">
        <v>16</v>
      </c>
      <c r="H121" s="24" t="s">
        <v>15</v>
      </c>
      <c r="I121" s="24"/>
      <c r="J121" s="24"/>
      <c r="K121" s="24"/>
      <c r="L121" s="24"/>
      <c r="M121" s="24" t="s">
        <v>19</v>
      </c>
      <c r="N121" s="24" t="s">
        <v>45</v>
      </c>
    </row>
    <row r="122" spans="1:18" hidden="1">
      <c r="A122" s="46"/>
      <c r="B122" s="44"/>
      <c r="C122" s="44"/>
      <c r="D122" s="43" t="s">
        <v>51</v>
      </c>
      <c r="E122" s="47"/>
      <c r="F122" s="44" t="s">
        <v>51</v>
      </c>
      <c r="H122" s="44" t="s">
        <v>51</v>
      </c>
      <c r="I122" s="44"/>
      <c r="J122" s="44"/>
      <c r="K122" s="44"/>
      <c r="L122" s="44"/>
      <c r="M122" s="11"/>
    </row>
    <row r="123" spans="1:18" hidden="1">
      <c r="A123" s="46" t="s">
        <v>158</v>
      </c>
      <c r="B123" s="44"/>
      <c r="C123" s="44" t="s">
        <v>51</v>
      </c>
      <c r="D123" s="43" t="s">
        <v>51</v>
      </c>
      <c r="E123" s="47" t="s">
        <v>162</v>
      </c>
      <c r="F123" s="44"/>
      <c r="H123" s="44" t="s">
        <v>182</v>
      </c>
      <c r="I123" s="44"/>
      <c r="J123" s="44"/>
      <c r="K123" s="44"/>
      <c r="L123" s="44"/>
      <c r="M123" s="11"/>
      <c r="N123" s="23" t="s">
        <v>51</v>
      </c>
    </row>
    <row r="124" spans="1:18" ht="15.5" hidden="1">
      <c r="A124" s="48"/>
      <c r="B124" s="48"/>
      <c r="C124" s="48"/>
      <c r="D124" s="48" t="s">
        <v>51</v>
      </c>
      <c r="E124" s="48" t="s">
        <v>51</v>
      </c>
      <c r="F124" s="48"/>
      <c r="G124" s="68"/>
      <c r="H124" s="48"/>
      <c r="I124" s="48"/>
      <c r="J124" s="48"/>
      <c r="K124" s="48"/>
      <c r="L124" s="48"/>
      <c r="M124" s="49"/>
      <c r="N124" s="50"/>
    </row>
    <row r="125" spans="1:18" ht="15.5" hidden="1">
      <c r="A125" s="51"/>
      <c r="B125" s="51"/>
      <c r="C125" s="51"/>
      <c r="D125" s="51"/>
      <c r="E125" s="49"/>
      <c r="F125" s="49"/>
      <c r="G125" s="69"/>
      <c r="H125" s="49"/>
      <c r="I125" s="49"/>
      <c r="J125" s="49"/>
      <c r="K125" s="49"/>
      <c r="L125" s="49"/>
      <c r="M125" s="49"/>
      <c r="N125" s="50"/>
    </row>
    <row r="126" spans="1:18" ht="15.5" hidden="1">
      <c r="A126" s="159" t="s">
        <v>159</v>
      </c>
      <c r="B126" s="159"/>
      <c r="C126" s="52"/>
      <c r="D126" s="52"/>
      <c r="E126" s="48"/>
      <c r="F126" s="143" t="s">
        <v>160</v>
      </c>
      <c r="G126" s="143"/>
      <c r="H126" s="143" t="str">
        <f>H85</f>
        <v>MELANIE J. YAMBOT</v>
      </c>
      <c r="I126" s="143"/>
      <c r="J126" s="143"/>
      <c r="K126" s="143"/>
      <c r="L126" s="143"/>
      <c r="M126" s="143"/>
      <c r="N126" s="143"/>
    </row>
    <row r="127" spans="1:18" hidden="1">
      <c r="A127" s="158" t="s">
        <v>223</v>
      </c>
      <c r="B127" s="158"/>
      <c r="C127" s="53"/>
      <c r="E127" s="53"/>
      <c r="F127" s="144" t="s">
        <v>161</v>
      </c>
      <c r="G127" s="144"/>
      <c r="M127" s="44">
        <f>M86</f>
        <v>0</v>
      </c>
    </row>
    <row r="128" spans="1:18" hidden="1">
      <c r="A128" s="144" t="s">
        <v>0</v>
      </c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</row>
    <row r="129" spans="1:17" hidden="1">
      <c r="A129" s="144" t="s">
        <v>1</v>
      </c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</row>
    <row r="130" spans="1:17" hidden="1">
      <c r="A130" s="144" t="s">
        <v>228</v>
      </c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</row>
    <row r="131" spans="1:17" ht="15.5" hidden="1">
      <c r="A131" s="131" t="s">
        <v>2</v>
      </c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</row>
    <row r="132" spans="1:17" hidden="1">
      <c r="A132" s="144" t="s">
        <v>3</v>
      </c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</row>
    <row r="133" spans="1:17" hidden="1">
      <c r="Q133" s="44" t="s">
        <v>51</v>
      </c>
    </row>
    <row r="134" spans="1:17" ht="15.5" hidden="1">
      <c r="A134" s="131" t="s">
        <v>163</v>
      </c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</row>
    <row r="135" spans="1:17" hidden="1">
      <c r="A135" s="144" t="s">
        <v>230</v>
      </c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</row>
    <row r="136" spans="1:17" hidden="1">
      <c r="F136" s="43" t="s">
        <v>51</v>
      </c>
    </row>
    <row r="137" spans="1:17" hidden="1">
      <c r="A137" s="26" t="s">
        <v>5</v>
      </c>
      <c r="B137" s="26" t="s">
        <v>6</v>
      </c>
      <c r="C137" s="26" t="s">
        <v>215</v>
      </c>
      <c r="D137" s="26" t="s">
        <v>231</v>
      </c>
      <c r="E137" s="26" t="s">
        <v>170</v>
      </c>
      <c r="F137" s="26" t="s">
        <v>11</v>
      </c>
      <c r="G137" s="24" t="s">
        <v>12</v>
      </c>
      <c r="H137" s="26" t="s">
        <v>222</v>
      </c>
      <c r="I137" s="26"/>
      <c r="J137" s="26"/>
      <c r="K137" s="26"/>
      <c r="L137" s="26"/>
      <c r="M137" s="26" t="s">
        <v>171</v>
      </c>
      <c r="N137" s="45"/>
    </row>
    <row r="138" spans="1:17" hidden="1">
      <c r="A138" s="6"/>
      <c r="B138" s="6" t="s">
        <v>39</v>
      </c>
      <c r="C138" s="6" t="s">
        <v>44</v>
      </c>
      <c r="D138" s="6" t="s">
        <v>232</v>
      </c>
      <c r="E138" s="6" t="s">
        <v>41</v>
      </c>
      <c r="F138" s="6" t="s">
        <v>50</v>
      </c>
      <c r="G138" s="24" t="s">
        <v>48</v>
      </c>
      <c r="H138" s="6" t="s">
        <v>49</v>
      </c>
      <c r="I138" s="6"/>
      <c r="J138" s="6"/>
      <c r="K138" s="6"/>
      <c r="L138" s="6"/>
      <c r="M138" s="6" t="s">
        <v>43</v>
      </c>
    </row>
    <row r="139" spans="1:17" hidden="1">
      <c r="A139" s="6"/>
      <c r="B139" s="6" t="s">
        <v>172</v>
      </c>
      <c r="C139" s="6" t="s">
        <v>173</v>
      </c>
      <c r="D139" s="6" t="s">
        <v>174</v>
      </c>
      <c r="E139" s="6" t="s">
        <v>175</v>
      </c>
      <c r="F139" s="6" t="s">
        <v>177</v>
      </c>
      <c r="G139" s="24" t="s">
        <v>178</v>
      </c>
      <c r="H139" s="6" t="s">
        <v>184</v>
      </c>
      <c r="I139" s="6"/>
      <c r="J139" s="6"/>
      <c r="K139" s="6"/>
      <c r="L139" s="6"/>
      <c r="M139" s="6" t="s">
        <v>176</v>
      </c>
    </row>
    <row r="140" spans="1:17" hidden="1">
      <c r="A140" s="26" t="s">
        <v>20</v>
      </c>
      <c r="B140" s="153" t="s">
        <v>168</v>
      </c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5"/>
    </row>
    <row r="141" spans="1:17" hidden="1">
      <c r="A141" s="151" t="s">
        <v>21</v>
      </c>
      <c r="B141" s="32" t="s">
        <v>139</v>
      </c>
      <c r="C141" s="21" t="s">
        <v>65</v>
      </c>
      <c r="D141" s="22" t="s">
        <v>157</v>
      </c>
      <c r="E141" s="22" t="s">
        <v>157</v>
      </c>
      <c r="F141" s="32" t="s">
        <v>103</v>
      </c>
      <c r="G141" s="24" t="s">
        <v>209</v>
      </c>
      <c r="H141" s="32" t="s">
        <v>128</v>
      </c>
      <c r="I141" s="32"/>
      <c r="J141" s="32"/>
      <c r="K141" s="32"/>
      <c r="L141" s="32"/>
      <c r="M141" s="32" t="s">
        <v>127</v>
      </c>
    </row>
    <row r="142" spans="1:17" hidden="1">
      <c r="A142" s="152"/>
      <c r="B142" s="32" t="s">
        <v>39</v>
      </c>
      <c r="C142" s="21" t="s">
        <v>44</v>
      </c>
      <c r="D142" s="22" t="s">
        <v>218</v>
      </c>
      <c r="E142" s="22" t="s">
        <v>217</v>
      </c>
      <c r="F142" s="32" t="s">
        <v>50</v>
      </c>
      <c r="G142" s="24" t="s">
        <v>48</v>
      </c>
      <c r="H142" s="32" t="s">
        <v>49</v>
      </c>
      <c r="I142" s="32"/>
      <c r="J142" s="32"/>
      <c r="K142" s="32"/>
      <c r="L142" s="32"/>
      <c r="M142" s="32" t="s">
        <v>43</v>
      </c>
      <c r="N142" s="23" t="s">
        <v>51</v>
      </c>
      <c r="Q142" s="44" t="s">
        <v>51</v>
      </c>
    </row>
    <row r="143" spans="1:17" hidden="1">
      <c r="A143" s="151" t="s">
        <v>22</v>
      </c>
      <c r="B143" s="22" t="s">
        <v>157</v>
      </c>
      <c r="C143" s="18" t="s">
        <v>125</v>
      </c>
      <c r="D143" s="32" t="s">
        <v>98</v>
      </c>
      <c r="E143" s="32" t="s">
        <v>246</v>
      </c>
      <c r="F143" s="32" t="s">
        <v>103</v>
      </c>
      <c r="G143" s="24" t="s">
        <v>125</v>
      </c>
      <c r="H143" s="22" t="s">
        <v>157</v>
      </c>
      <c r="I143" s="22"/>
      <c r="J143" s="22"/>
      <c r="K143" s="22"/>
      <c r="L143" s="22"/>
      <c r="M143" s="18" t="s">
        <v>125</v>
      </c>
    </row>
    <row r="144" spans="1:17" hidden="1">
      <c r="A144" s="152"/>
      <c r="B144" s="22" t="s">
        <v>48</v>
      </c>
      <c r="C144" s="18" t="s">
        <v>45</v>
      </c>
      <c r="D144" s="32" t="s">
        <v>18</v>
      </c>
      <c r="E144" s="32" t="s">
        <v>44</v>
      </c>
      <c r="F144" s="32" t="s">
        <v>50</v>
      </c>
      <c r="G144" s="24" t="s">
        <v>16</v>
      </c>
      <c r="H144" s="22" t="s">
        <v>217</v>
      </c>
      <c r="I144" s="22"/>
      <c r="J144" s="22"/>
      <c r="K144" s="22"/>
      <c r="L144" s="22"/>
      <c r="M144" s="18" t="s">
        <v>16</v>
      </c>
    </row>
    <row r="145" spans="1:17" hidden="1">
      <c r="A145" s="26" t="s">
        <v>23</v>
      </c>
      <c r="B145" s="153" t="s">
        <v>179</v>
      </c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5"/>
      <c r="O145" s="43" t="s">
        <v>51</v>
      </c>
    </row>
    <row r="146" spans="1:17" hidden="1">
      <c r="A146" s="151" t="s">
        <v>24</v>
      </c>
      <c r="B146" s="18" t="s">
        <v>125</v>
      </c>
      <c r="C146" s="32" t="s">
        <v>142</v>
      </c>
      <c r="D146" s="32" t="s">
        <v>246</v>
      </c>
      <c r="E146" s="18" t="s">
        <v>125</v>
      </c>
      <c r="F146" s="18" t="s">
        <v>125</v>
      </c>
      <c r="G146" s="24" t="s">
        <v>157</v>
      </c>
      <c r="H146" s="21" t="s">
        <v>65</v>
      </c>
      <c r="I146" s="21"/>
      <c r="J146" s="21"/>
      <c r="K146" s="21"/>
      <c r="L146" s="21"/>
      <c r="M146" s="22" t="s">
        <v>157</v>
      </c>
      <c r="Q146" s="44" t="s">
        <v>51</v>
      </c>
    </row>
    <row r="147" spans="1:17" hidden="1">
      <c r="A147" s="152"/>
      <c r="B147" s="18" t="s">
        <v>45</v>
      </c>
      <c r="C147" s="32" t="s">
        <v>216</v>
      </c>
      <c r="D147" s="32" t="s">
        <v>44</v>
      </c>
      <c r="E147" s="18" t="s">
        <v>16</v>
      </c>
      <c r="F147" s="18" t="s">
        <v>45</v>
      </c>
      <c r="G147" s="24" t="s">
        <v>217</v>
      </c>
      <c r="H147" s="21" t="s">
        <v>49</v>
      </c>
      <c r="I147" s="21"/>
      <c r="J147" s="21"/>
      <c r="K147" s="21"/>
      <c r="L147" s="21"/>
      <c r="M147" s="22" t="s">
        <v>217</v>
      </c>
    </row>
    <row r="148" spans="1:17" hidden="1">
      <c r="A148" s="151" t="s">
        <v>25</v>
      </c>
      <c r="B148" s="32" t="s">
        <v>136</v>
      </c>
      <c r="C148" s="22" t="s">
        <v>157</v>
      </c>
      <c r="D148" s="21" t="s">
        <v>65</v>
      </c>
      <c r="E148" s="32" t="s">
        <v>98</v>
      </c>
      <c r="F148" s="22" t="s">
        <v>157</v>
      </c>
      <c r="G148" s="24" t="s">
        <v>65</v>
      </c>
      <c r="H148" s="18" t="s">
        <v>125</v>
      </c>
      <c r="I148" s="18"/>
      <c r="J148" s="18"/>
      <c r="K148" s="18"/>
      <c r="L148" s="18"/>
      <c r="M148" s="21" t="s">
        <v>65</v>
      </c>
      <c r="O148" s="43" t="s">
        <v>51</v>
      </c>
    </row>
    <row r="149" spans="1:17" hidden="1">
      <c r="A149" s="152"/>
      <c r="B149" s="32" t="s">
        <v>16</v>
      </c>
      <c r="C149" s="22" t="s">
        <v>218</v>
      </c>
      <c r="D149" s="21" t="s">
        <v>44</v>
      </c>
      <c r="E149" s="32" t="s">
        <v>18</v>
      </c>
      <c r="F149" s="22" t="s">
        <v>217</v>
      </c>
      <c r="G149" s="24" t="s">
        <v>49</v>
      </c>
      <c r="H149" s="18" t="s">
        <v>45</v>
      </c>
      <c r="I149" s="18"/>
      <c r="J149" s="18"/>
      <c r="K149" s="18"/>
      <c r="L149" s="18"/>
      <c r="M149" s="21" t="s">
        <v>49</v>
      </c>
      <c r="O149" s="43" t="s">
        <v>51</v>
      </c>
    </row>
    <row r="150" spans="1:17" hidden="1">
      <c r="A150" s="26" t="s">
        <v>26</v>
      </c>
      <c r="B150" s="153" t="s">
        <v>180</v>
      </c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5"/>
      <c r="O150" s="43" t="s">
        <v>51</v>
      </c>
      <c r="Q150" s="44" t="s">
        <v>51</v>
      </c>
    </row>
    <row r="151" spans="1:17" ht="15" hidden="1" customHeight="1">
      <c r="A151" s="151" t="s">
        <v>27</v>
      </c>
      <c r="B151" s="21" t="s">
        <v>65</v>
      </c>
      <c r="C151" s="32" t="s">
        <v>143</v>
      </c>
      <c r="D151" s="18" t="s">
        <v>125</v>
      </c>
      <c r="E151" s="21" t="s">
        <v>65</v>
      </c>
      <c r="F151" s="21" t="s">
        <v>65</v>
      </c>
      <c r="G151" s="24" t="s">
        <v>209</v>
      </c>
      <c r="H151" s="32" t="s">
        <v>128</v>
      </c>
      <c r="I151" s="32"/>
      <c r="J151" s="32"/>
      <c r="K151" s="32"/>
      <c r="L151" s="32"/>
      <c r="M151" s="32" t="s">
        <v>127</v>
      </c>
      <c r="N151" s="23" t="s">
        <v>51</v>
      </c>
      <c r="O151" s="43" t="s">
        <v>51</v>
      </c>
      <c r="Q151" s="44" t="s">
        <v>51</v>
      </c>
    </row>
    <row r="152" spans="1:17" ht="15" hidden="1" customHeight="1">
      <c r="A152" s="152"/>
      <c r="B152" s="21" t="s">
        <v>50</v>
      </c>
      <c r="C152" s="32" t="s">
        <v>216</v>
      </c>
      <c r="D152" s="18" t="s">
        <v>16</v>
      </c>
      <c r="E152" s="21" t="s">
        <v>44</v>
      </c>
      <c r="F152" s="21" t="s">
        <v>50</v>
      </c>
      <c r="G152" s="24" t="s">
        <v>48</v>
      </c>
      <c r="H152" s="32" t="s">
        <v>49</v>
      </c>
      <c r="I152" s="32"/>
      <c r="J152" s="32"/>
      <c r="K152" s="32"/>
      <c r="L152" s="32"/>
      <c r="M152" s="32" t="s">
        <v>43</v>
      </c>
      <c r="N152" s="23" t="s">
        <v>51</v>
      </c>
      <c r="O152" s="43" t="s">
        <v>51</v>
      </c>
      <c r="Q152" s="44" t="s">
        <v>51</v>
      </c>
    </row>
    <row r="153" spans="1:17" ht="15" hidden="1" customHeight="1">
      <c r="A153" s="151" t="s">
        <v>28</v>
      </c>
      <c r="B153" s="160" t="s">
        <v>100</v>
      </c>
      <c r="C153" s="160" t="s">
        <v>100</v>
      </c>
      <c r="D153" s="160" t="s">
        <v>100</v>
      </c>
      <c r="E153" s="160" t="s">
        <v>100</v>
      </c>
      <c r="F153" s="148" t="s">
        <v>100</v>
      </c>
      <c r="G153" s="148" t="s">
        <v>100</v>
      </c>
      <c r="H153" s="148" t="s">
        <v>100</v>
      </c>
      <c r="I153" s="60"/>
      <c r="J153" s="60"/>
      <c r="K153" s="60"/>
      <c r="L153" s="60"/>
      <c r="M153" s="148" t="s">
        <v>100</v>
      </c>
      <c r="N153" s="23" t="s">
        <v>51</v>
      </c>
      <c r="O153" s="43" t="s">
        <v>51</v>
      </c>
    </row>
    <row r="154" spans="1:17" ht="15" hidden="1" customHeight="1">
      <c r="A154" s="152"/>
      <c r="B154" s="161"/>
      <c r="C154" s="161"/>
      <c r="D154" s="161"/>
      <c r="E154" s="161"/>
      <c r="F154" s="149"/>
      <c r="G154" s="149"/>
      <c r="H154" s="149"/>
      <c r="I154" s="61"/>
      <c r="J154" s="61"/>
      <c r="K154" s="61"/>
      <c r="L154" s="61"/>
      <c r="M154" s="149"/>
      <c r="N154" s="23" t="s">
        <v>51</v>
      </c>
      <c r="O154" s="43" t="s">
        <v>51</v>
      </c>
      <c r="Q154" s="44" t="s">
        <v>51</v>
      </c>
    </row>
    <row r="155" spans="1:17" ht="15" hidden="1" customHeight="1">
      <c r="A155" s="151" t="s">
        <v>29</v>
      </c>
      <c r="B155" s="161"/>
      <c r="C155" s="161"/>
      <c r="D155" s="161"/>
      <c r="E155" s="161"/>
      <c r="F155" s="149"/>
      <c r="G155" s="149"/>
      <c r="H155" s="149"/>
      <c r="I155" s="61"/>
      <c r="J155" s="61"/>
      <c r="K155" s="61"/>
      <c r="L155" s="61"/>
      <c r="M155" s="149"/>
      <c r="N155" s="23" t="s">
        <v>51</v>
      </c>
      <c r="O155" s="43" t="s">
        <v>51</v>
      </c>
      <c r="Q155" s="44" t="s">
        <v>51</v>
      </c>
    </row>
    <row r="156" spans="1:17" ht="15" hidden="1" customHeight="1">
      <c r="A156" s="152"/>
      <c r="B156" s="161"/>
      <c r="C156" s="161"/>
      <c r="D156" s="161"/>
      <c r="E156" s="161"/>
      <c r="F156" s="149"/>
      <c r="G156" s="149"/>
      <c r="H156" s="149"/>
      <c r="I156" s="61"/>
      <c r="J156" s="61"/>
      <c r="K156" s="61"/>
      <c r="L156" s="61"/>
      <c r="M156" s="149"/>
      <c r="N156" s="23" t="s">
        <v>51</v>
      </c>
      <c r="O156" s="43" t="s">
        <v>51</v>
      </c>
      <c r="Q156" s="44" t="s">
        <v>51</v>
      </c>
    </row>
    <row r="157" spans="1:17" hidden="1">
      <c r="A157" s="151" t="s">
        <v>248</v>
      </c>
      <c r="B157" s="161"/>
      <c r="C157" s="161"/>
      <c r="D157" s="161"/>
      <c r="E157" s="161"/>
      <c r="F157" s="149"/>
      <c r="G157" s="149"/>
      <c r="H157" s="149"/>
      <c r="I157" s="61"/>
      <c r="J157" s="61"/>
      <c r="K157" s="61"/>
      <c r="L157" s="61"/>
      <c r="M157" s="149"/>
      <c r="N157" s="23" t="s">
        <v>51</v>
      </c>
      <c r="O157" s="43" t="s">
        <v>51</v>
      </c>
    </row>
    <row r="158" spans="1:17" hidden="1">
      <c r="A158" s="152"/>
      <c r="B158" s="162"/>
      <c r="C158" s="162"/>
      <c r="D158" s="162"/>
      <c r="E158" s="162"/>
      <c r="F158" s="150"/>
      <c r="G158" s="150"/>
      <c r="H158" s="150"/>
      <c r="I158" s="62"/>
      <c r="J158" s="62"/>
      <c r="K158" s="62"/>
      <c r="L158" s="62"/>
      <c r="M158" s="150"/>
      <c r="N158" s="23" t="s">
        <v>51</v>
      </c>
    </row>
    <row r="159" spans="1:17" ht="15" hidden="1" customHeight="1">
      <c r="A159" s="151" t="s">
        <v>151</v>
      </c>
      <c r="B159" s="24" t="s">
        <v>165</v>
      </c>
      <c r="C159" s="24" t="s">
        <v>165</v>
      </c>
      <c r="D159" s="24" t="s">
        <v>165</v>
      </c>
      <c r="E159" s="24" t="s">
        <v>165</v>
      </c>
      <c r="F159" s="24" t="s">
        <v>165</v>
      </c>
      <c r="G159" s="24" t="s">
        <v>165</v>
      </c>
      <c r="H159" s="24" t="s">
        <v>165</v>
      </c>
      <c r="I159" s="24"/>
      <c r="J159" s="24"/>
      <c r="K159" s="24"/>
      <c r="L159" s="24"/>
      <c r="M159" s="24" t="s">
        <v>165</v>
      </c>
      <c r="N159" s="23" t="s">
        <v>51</v>
      </c>
    </row>
    <row r="160" spans="1:17" ht="15" hidden="1" customHeight="1">
      <c r="A160" s="152"/>
      <c r="B160" s="24" t="s">
        <v>45</v>
      </c>
      <c r="C160" s="24" t="s">
        <v>45</v>
      </c>
      <c r="D160" s="24" t="s">
        <v>45</v>
      </c>
      <c r="E160" s="24" t="s">
        <v>15</v>
      </c>
      <c r="F160" s="24" t="s">
        <v>45</v>
      </c>
      <c r="G160" s="24" t="s">
        <v>48</v>
      </c>
      <c r="H160" s="6" t="s">
        <v>49</v>
      </c>
      <c r="I160" s="6"/>
      <c r="J160" s="6"/>
      <c r="K160" s="6"/>
      <c r="L160" s="6"/>
      <c r="M160" s="24" t="s">
        <v>43</v>
      </c>
      <c r="N160" s="23" t="s">
        <v>51</v>
      </c>
    </row>
    <row r="161" spans="1:15" hidden="1">
      <c r="A161" s="151" t="s">
        <v>249</v>
      </c>
      <c r="B161" s="24" t="s">
        <v>100</v>
      </c>
      <c r="C161" s="24" t="s">
        <v>100</v>
      </c>
      <c r="D161" s="24" t="s">
        <v>100</v>
      </c>
      <c r="E161" s="24" t="s">
        <v>100</v>
      </c>
      <c r="F161" s="24" t="s">
        <v>100</v>
      </c>
      <c r="G161" s="24" t="s">
        <v>100</v>
      </c>
      <c r="H161" s="24" t="s">
        <v>100</v>
      </c>
      <c r="I161" s="24"/>
      <c r="J161" s="24"/>
      <c r="K161" s="24"/>
      <c r="L161" s="24"/>
      <c r="M161" s="24" t="s">
        <v>100</v>
      </c>
      <c r="N161" s="23" t="s">
        <v>51</v>
      </c>
    </row>
    <row r="162" spans="1:15" hidden="1">
      <c r="A162" s="152"/>
      <c r="B162" s="6" t="s">
        <v>218</v>
      </c>
      <c r="C162" s="6" t="s">
        <v>44</v>
      </c>
      <c r="D162" s="6" t="s">
        <v>216</v>
      </c>
      <c r="E162" s="6" t="s">
        <v>216</v>
      </c>
      <c r="F162" s="6" t="s">
        <v>50</v>
      </c>
      <c r="G162" s="24" t="s">
        <v>48</v>
      </c>
      <c r="H162" s="6" t="s">
        <v>49</v>
      </c>
      <c r="I162" s="6"/>
      <c r="J162" s="6"/>
      <c r="K162" s="6"/>
      <c r="L162" s="6"/>
      <c r="M162" s="6" t="s">
        <v>43</v>
      </c>
    </row>
    <row r="163" spans="1:15" hidden="1">
      <c r="B163" s="6" t="s">
        <v>38</v>
      </c>
      <c r="C163" s="6"/>
      <c r="D163" s="6" t="s">
        <v>227</v>
      </c>
      <c r="E163" s="6" t="s">
        <v>227</v>
      </c>
      <c r="F163" s="11"/>
      <c r="G163" s="67"/>
      <c r="H163" s="11"/>
      <c r="I163" s="11"/>
      <c r="J163" s="11"/>
      <c r="K163" s="11"/>
      <c r="L163" s="11"/>
      <c r="M163" s="11"/>
      <c r="N163" s="23" t="s">
        <v>51</v>
      </c>
      <c r="O163" s="43" t="s">
        <v>51</v>
      </c>
    </row>
    <row r="164" spans="1:15" hidden="1">
      <c r="A164" s="46" t="s">
        <v>158</v>
      </c>
      <c r="B164" s="44"/>
      <c r="C164" s="44"/>
      <c r="E164" s="47" t="s">
        <v>162</v>
      </c>
      <c r="F164" s="44"/>
      <c r="H164" s="44" t="s">
        <v>182</v>
      </c>
      <c r="I164" s="44"/>
      <c r="J164" s="44"/>
      <c r="K164" s="44"/>
      <c r="L164" s="44"/>
      <c r="M164" s="11"/>
    </row>
    <row r="165" spans="1:15" ht="15.5" hidden="1">
      <c r="A165" s="48"/>
      <c r="B165" s="48"/>
      <c r="C165" s="48"/>
      <c r="D165" s="48"/>
      <c r="E165" s="48"/>
      <c r="F165" s="48"/>
      <c r="G165" s="68"/>
      <c r="H165" s="48" t="s">
        <v>51</v>
      </c>
      <c r="I165" s="48"/>
      <c r="J165" s="48"/>
      <c r="K165" s="48"/>
      <c r="L165" s="48"/>
      <c r="M165" s="48"/>
      <c r="N165" s="50"/>
    </row>
    <row r="166" spans="1:15" hidden="1"/>
    <row r="167" spans="1:15" ht="15.5" hidden="1">
      <c r="A167" s="159" t="str">
        <f>A126</f>
        <v>Cristituto P. Lorenzana</v>
      </c>
      <c r="B167" s="159"/>
      <c r="C167" s="52"/>
      <c r="D167" s="52"/>
      <c r="F167" s="143" t="s">
        <v>160</v>
      </c>
      <c r="G167" s="143"/>
      <c r="H167" s="143" t="str">
        <f>H126</f>
        <v>MELANIE J. YAMBOT</v>
      </c>
      <c r="I167" s="143"/>
      <c r="J167" s="143"/>
      <c r="K167" s="143"/>
      <c r="L167" s="143"/>
      <c r="M167" s="143"/>
      <c r="N167" s="143"/>
    </row>
    <row r="168" spans="1:15" hidden="1">
      <c r="A168" s="158" t="s">
        <v>223</v>
      </c>
      <c r="B168" s="158"/>
      <c r="C168" s="53"/>
      <c r="D168" s="53"/>
      <c r="F168" s="144" t="s">
        <v>161</v>
      </c>
      <c r="G168" s="144"/>
      <c r="M168" s="44">
        <f>M86</f>
        <v>0</v>
      </c>
    </row>
  </sheetData>
  <mergeCells count="116">
    <mergeCell ref="AF9:AT9"/>
    <mergeCell ref="N42:P42"/>
    <mergeCell ref="N43:P43"/>
    <mergeCell ref="N85:P85"/>
    <mergeCell ref="N86:P86"/>
    <mergeCell ref="A44:P44"/>
    <mergeCell ref="A45:P45"/>
    <mergeCell ref="A46:P46"/>
    <mergeCell ref="A47:P47"/>
    <mergeCell ref="A48:P48"/>
    <mergeCell ref="A50:P50"/>
    <mergeCell ref="A51:P51"/>
    <mergeCell ref="B62:P62"/>
    <mergeCell ref="B57:P57"/>
    <mergeCell ref="B19:P19"/>
    <mergeCell ref="A82:B82"/>
    <mergeCell ref="A42:E42"/>
    <mergeCell ref="A43:E43"/>
    <mergeCell ref="A85:E85"/>
    <mergeCell ref="A86:E86"/>
    <mergeCell ref="A24:A25"/>
    <mergeCell ref="A29:A30"/>
    <mergeCell ref="B26:P26"/>
    <mergeCell ref="B31:P31"/>
    <mergeCell ref="A4:P4"/>
    <mergeCell ref="A5:P5"/>
    <mergeCell ref="A7:P7"/>
    <mergeCell ref="A8:P8"/>
    <mergeCell ref="A1:P1"/>
    <mergeCell ref="A2:P2"/>
    <mergeCell ref="A3:P3"/>
    <mergeCell ref="A15:A16"/>
    <mergeCell ref="B14:O14"/>
    <mergeCell ref="A159:A160"/>
    <mergeCell ref="D153:D158"/>
    <mergeCell ref="E153:E158"/>
    <mergeCell ref="G153:G158"/>
    <mergeCell ref="A75:A76"/>
    <mergeCell ref="Q9:AC9"/>
    <mergeCell ref="A17:A18"/>
    <mergeCell ref="A20:A21"/>
    <mergeCell ref="A22:A23"/>
    <mergeCell ref="A112:A113"/>
    <mergeCell ref="B109:N109"/>
    <mergeCell ref="A38:B38"/>
    <mergeCell ref="A81:B81"/>
    <mergeCell ref="H153:H158"/>
    <mergeCell ref="A114:A115"/>
    <mergeCell ref="A116:A117"/>
    <mergeCell ref="A126:B126"/>
    <mergeCell ref="F126:G126"/>
    <mergeCell ref="A127:B127"/>
    <mergeCell ref="F127:G127"/>
    <mergeCell ref="A118:A119"/>
    <mergeCell ref="A120:A121"/>
    <mergeCell ref="C153:C158"/>
    <mergeCell ref="B153:B158"/>
    <mergeCell ref="A168:B168"/>
    <mergeCell ref="F168:G168"/>
    <mergeCell ref="A128:N128"/>
    <mergeCell ref="A129:N129"/>
    <mergeCell ref="A130:N130"/>
    <mergeCell ref="B150:M150"/>
    <mergeCell ref="B145:M145"/>
    <mergeCell ref="A131:N131"/>
    <mergeCell ref="A132:N132"/>
    <mergeCell ref="A134:N134"/>
    <mergeCell ref="A135:N135"/>
    <mergeCell ref="B140:M140"/>
    <mergeCell ref="A151:A152"/>
    <mergeCell ref="A148:A149"/>
    <mergeCell ref="H167:N167"/>
    <mergeCell ref="M153:M158"/>
    <mergeCell ref="A167:B167"/>
    <mergeCell ref="F167:G167"/>
    <mergeCell ref="A146:A147"/>
    <mergeCell ref="A141:A142"/>
    <mergeCell ref="A143:A144"/>
    <mergeCell ref="A155:A156"/>
    <mergeCell ref="A157:A158"/>
    <mergeCell ref="A161:A162"/>
    <mergeCell ref="H126:N126"/>
    <mergeCell ref="F153:F158"/>
    <mergeCell ref="A153:A154"/>
    <mergeCell ref="B104:N104"/>
    <mergeCell ref="B99:N99"/>
    <mergeCell ref="A105:A106"/>
    <mergeCell ref="A107:A108"/>
    <mergeCell ref="A110:A111"/>
    <mergeCell ref="A91:N91"/>
    <mergeCell ref="A93:N93"/>
    <mergeCell ref="A94:N94"/>
    <mergeCell ref="A100:A101"/>
    <mergeCell ref="A102:A103"/>
    <mergeCell ref="A90:N90"/>
    <mergeCell ref="A32:A33"/>
    <mergeCell ref="A27:A28"/>
    <mergeCell ref="A77:A78"/>
    <mergeCell ref="A34:A35"/>
    <mergeCell ref="A58:A59"/>
    <mergeCell ref="A60:A61"/>
    <mergeCell ref="A63:A64"/>
    <mergeCell ref="A65:A66"/>
    <mergeCell ref="A67:A68"/>
    <mergeCell ref="A70:A71"/>
    <mergeCell ref="A72:A73"/>
    <mergeCell ref="A39:B39"/>
    <mergeCell ref="H42:J42"/>
    <mergeCell ref="H43:J43"/>
    <mergeCell ref="H85:J85"/>
    <mergeCell ref="H86:J86"/>
    <mergeCell ref="B69:P69"/>
    <mergeCell ref="B74:P74"/>
    <mergeCell ref="A87:N87"/>
    <mergeCell ref="A88:N88"/>
    <mergeCell ref="A89:N89"/>
  </mergeCells>
  <conditionalFormatting sqref="B77:K77">
    <cfRule type="containsText" dxfId="38" priority="1" operator="containsText" text="Emp Tech">
      <formula>NOT(ISERROR(SEARCH("Emp Tech",B77)))</formula>
    </cfRule>
    <cfRule type="containsText" dxfId="37" priority="2" operator="containsText" text="UCSP">
      <formula>NOT(ISERROR(SEARCH("UCSP",B77)))</formula>
    </cfRule>
    <cfRule type="containsText" dxfId="36" priority="3" operator="containsText" text="Earth &amp; Life">
      <formula>NOT(ISERROR(SEARCH("Earth &amp; Life",B77)))</formula>
    </cfRule>
    <cfRule type="containsText" dxfId="35" priority="4" operator="containsText" text="Kom Pan">
      <formula>NOT(ISERROR(SEARCH("Kom Pan",B77)))</formula>
    </cfRule>
    <cfRule type="containsText" dxfId="34" priority="5" operator="containsText" text="Oral Com">
      <formula>NOT(ISERROR(SEARCH("Oral Com",B77)))</formula>
    </cfRule>
    <cfRule type="containsText" dxfId="33" priority="6" operator="containsText" text="Gen Math">
      <formula>NOT(ISERROR(SEARCH("Gen Math",B77)))</formula>
    </cfRule>
  </conditionalFormatting>
  <conditionalFormatting sqref="B34:L34">
    <cfRule type="containsText" dxfId="32" priority="7" operator="containsText" text="Emp Tech">
      <formula>NOT(ISERROR(SEARCH("Emp Tech",B34)))</formula>
    </cfRule>
    <cfRule type="containsText" dxfId="31" priority="8" operator="containsText" text="UCSP">
      <formula>NOT(ISERROR(SEARCH("UCSP",B34)))</formula>
    </cfRule>
    <cfRule type="containsText" dxfId="30" priority="9" operator="containsText" text="Earth &amp; Life">
      <formula>NOT(ISERROR(SEARCH("Earth &amp; Life",B34)))</formula>
    </cfRule>
    <cfRule type="containsText" dxfId="29" priority="10" operator="containsText" text="Kom Pan">
      <formula>NOT(ISERROR(SEARCH("Kom Pan",B34)))</formula>
    </cfRule>
    <cfRule type="containsText" dxfId="28" priority="11" operator="containsText" text="Oral Com">
      <formula>NOT(ISERROR(SEARCH("Oral Com",B34)))</formula>
    </cfRule>
    <cfRule type="containsText" dxfId="27" priority="12" operator="containsText" text="Gen Math">
      <formula>NOT(ISERROR(SEARCH("Gen Math",B34)))</formula>
    </cfRule>
  </conditionalFormatting>
  <conditionalFormatting sqref="B15:P33">
    <cfRule type="containsText" dxfId="26" priority="28" operator="containsText" text="Emp Tech">
      <formula>NOT(ISERROR(SEARCH("Emp Tech",B15)))</formula>
    </cfRule>
    <cfRule type="containsText" dxfId="25" priority="29" operator="containsText" text="UCSP">
      <formula>NOT(ISERROR(SEARCH("UCSP",B15)))</formula>
    </cfRule>
    <cfRule type="containsText" dxfId="24" priority="30" operator="containsText" text="Earth &amp; Life">
      <formula>NOT(ISERROR(SEARCH("Earth &amp; Life",B15)))</formula>
    </cfRule>
    <cfRule type="containsText" dxfId="23" priority="31" operator="containsText" text="Kom Pan">
      <formula>NOT(ISERROR(SEARCH("Kom Pan",B15)))</formula>
    </cfRule>
    <cfRule type="containsText" dxfId="22" priority="32" operator="containsText" text="Oral Com">
      <formula>NOT(ISERROR(SEARCH("Oral Com",B15)))</formula>
    </cfRule>
    <cfRule type="containsText" dxfId="21" priority="33" operator="containsText" text="Gen Math">
      <formula>NOT(ISERROR(SEARCH("Gen Math",B15)))</formula>
    </cfRule>
  </conditionalFormatting>
  <conditionalFormatting sqref="B58:P76 L77:P77 B78:P78">
    <cfRule type="containsText" dxfId="20" priority="13" operator="containsText" text="Piling Larang">
      <formula>NOT(ISERROR(SEARCH("Piling Larang",B58)))</formula>
    </cfRule>
  </conditionalFormatting>
  <conditionalFormatting sqref="B58:P76 L77:P77 B78:P79">
    <cfRule type="containsText" dxfId="19" priority="16" operator="containsText" text="Philo">
      <formula>NOT(ISERROR(SEARCH("Philo",B58)))</formula>
    </cfRule>
    <cfRule type="containsText" dxfId="18" priority="17" operator="containsText" text="Research 2">
      <formula>NOT(ISERROR(SEARCH("Research 2",B58)))</formula>
    </cfRule>
  </conditionalFormatting>
  <conditionalFormatting sqref="B58:P76 L77:P77 B78:P80">
    <cfRule type="containsText" dxfId="17" priority="14" operator="containsText" text="CPAR">
      <formula>NOT(ISERROR(SEARCH("CPAR",B58)))</formula>
    </cfRule>
    <cfRule type="cellIs" dxfId="16" priority="15" operator="equal">
      <formula>3.5</formula>
    </cfRule>
  </conditionalFormatting>
  <conditionalFormatting sqref="Q18:AT18">
    <cfRule type="duplicateValues" dxfId="15" priority="24"/>
  </conditionalFormatting>
  <conditionalFormatting sqref="Q21:AT21">
    <cfRule type="duplicateValues" dxfId="14" priority="23"/>
  </conditionalFormatting>
  <conditionalFormatting sqref="Q23:AT23">
    <cfRule type="duplicateValues" dxfId="13" priority="22"/>
  </conditionalFormatting>
  <conditionalFormatting sqref="Q25:AT25">
    <cfRule type="duplicateValues" dxfId="12" priority="21"/>
  </conditionalFormatting>
  <conditionalFormatting sqref="Q28:AT28">
    <cfRule type="duplicateValues" dxfId="11" priority="20"/>
  </conditionalFormatting>
  <conditionalFormatting sqref="Q30:AT30">
    <cfRule type="duplicateValues" dxfId="10" priority="19"/>
  </conditionalFormatting>
  <conditionalFormatting sqref="Q33:AT33">
    <cfRule type="duplicateValues" dxfId="9" priority="18"/>
  </conditionalFormatting>
  <conditionalFormatting sqref="Q16:AW16">
    <cfRule type="duplicateValues" dxfId="8" priority="25"/>
  </conditionalFormatting>
  <dataValidations count="1">
    <dataValidation type="list" allowBlank="1" showInputMessage="1" showErrorMessage="1" sqref="B159:M159 B120:N120 L77:O77" xr:uid="{00000000-0002-0000-0000-000000000000}">
      <formula1>$AH$3:$AH$7</formula1>
    </dataValidation>
  </dataValidations>
  <printOptions horizontalCentered="1" verticalCentered="1"/>
  <pageMargins left="0.11811023622047245" right="0.15748031496062992" top="0.15748031496062992" bottom="0.15748031496062992" header="0.31496062992125984" footer="0.31496062992125984"/>
  <pageSetup paperSize="9" scale="65" orientation="landscape" horizontalDpi="360" verticalDpi="360" r:id="rId1"/>
  <rowBreaks count="3" manualBreakCount="3">
    <brk id="43" max="16383" man="1"/>
    <brk id="86" max="16383" man="1"/>
    <brk id="127" max="16383" man="1"/>
  </rowBreaks>
  <colBreaks count="3" manualBreakCount="3">
    <brk id="16" max="1048575" man="1"/>
    <brk id="31" max="1048575" man="1"/>
    <brk id="49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26">
        <x14:dataValidation type="list" allowBlank="1" showInputMessage="1" showErrorMessage="1" xr:uid="{00000000-0002-0000-0000-000001000000}">
          <x14:formula1>
            <xm:f>Old!$B$3:$B$27</xm:f>
          </x14:formula1>
          <xm:sqref>B106:N106 B152:M152 B144:M144 B115:N115 B103:N103 B142:M142 B160:M160 B113:N113 B111:N111 B108:N108 B101:N101 B121:N121 B147:M147 B149:M149 B162:M163 B117:N117 B119:C119 N119 C81:D81 L11:M11 G54:I54 I11:J11 G59:I59 M54 D54 B54 F81:M81 B11 D11</xm:sqref>
        </x14:dataValidation>
        <x14:dataValidation type="list" allowBlank="1" showInputMessage="1" showErrorMessage="1" xr:uid="{00000000-0002-0000-0000-000002000000}">
          <x14:formula1>
            <xm:f>Old!$W$3:$W$7</xm:f>
          </x14:formula1>
          <xm:sqref>M34:P34</xm:sqref>
        </x14:dataValidation>
        <x14:dataValidation type="list" allowBlank="1" showInputMessage="1" showErrorMessage="1" xr:uid="{00000000-0002-0000-0000-000003000000}">
          <x14:formula1>
            <xm:f>Ref!$B$4:$B$14</xm:f>
          </x14:formula1>
          <xm:sqref>B32 B27 B17 B24 B15 B22 B29 B20 B34:L34 B77:K77</xm:sqref>
        </x14:dataValidation>
        <x14:dataValidation type="list" allowBlank="1" showInputMessage="1" showErrorMessage="1" xr:uid="{00000000-0002-0000-0000-000004000000}">
          <x14:formula1>
            <xm:f>Ref!$B$31:$B$44</xm:f>
          </x14:formula1>
          <xm:sqref>C20:H20 C32:G32 C15:F15 C24:G24 C22:F22 C17:G17 C27:G27 C29:G29</xm:sqref>
        </x14:dataValidation>
        <x14:dataValidation type="list" allowBlank="1" showInputMessage="1" showErrorMessage="1" xr:uid="{00000000-0002-0000-0000-000005000000}">
          <x14:formula1>
            <xm:f>Ref!$B$89:$B$99</xm:f>
          </x14:formula1>
          <xm:sqref>H29 H17 K29 G22:H22 H24 G15:H15 H32 H27</xm:sqref>
        </x14:dataValidation>
        <x14:dataValidation type="list" allowBlank="1" showInputMessage="1" showErrorMessage="1" xr:uid="{00000000-0002-0000-0000-000006000000}">
          <x14:formula1>
            <xm:f>Ref!$B$116:$B$126</xm:f>
          </x14:formula1>
          <xm:sqref>M32 L29:M29 L15 L17 I17 L27 L22 L20 I24 I29</xm:sqref>
        </x14:dataValidation>
        <x14:dataValidation type="list" allowBlank="1" showInputMessage="1" showErrorMessage="1" xr:uid="{00000000-0002-0000-0000-000007000000}">
          <x14:formula1>
            <xm:f>Ref!$B$143:$B$153</xm:f>
          </x14:formula1>
          <xm:sqref>O15 M27:O27 O24 O20 O29 O17 O32 I22 I15 O22 M22 I20 I32</xm:sqref>
        </x14:dataValidation>
        <x14:dataValidation type="list" allowBlank="1" showInputMessage="1" showErrorMessage="1" xr:uid="{00000000-0002-0000-0000-000008000000}">
          <x14:formula1>
            <xm:f>Ref!$B$61:$B$73</xm:f>
          </x14:formula1>
          <xm:sqref>P27 P29 P17 P20 P15 P32 P24 P22 K15 M20 K24:M24 M17 K32:L32 M15 K27 K20 K22 K17</xm:sqref>
        </x14:dataValidation>
        <x14:dataValidation type="list" allowBlank="1" showInputMessage="1" showErrorMessage="1" xr:uid="{00000000-0002-0000-0000-000009000000}">
          <x14:formula1>
            <xm:f>Ref!$D$4:$D$13</xm:f>
          </x14:formula1>
          <xm:sqref>B100 C110 M114 H112:L112 B114 B102 N105 B116 C107 E102 B105 N118 B118 N116</xm:sqref>
        </x14:dataValidation>
        <x14:dataValidation type="list" allowBlank="1" showInputMessage="1" showErrorMessage="1" xr:uid="{00000000-0002-0000-0000-00000A000000}">
          <x14:formula1>
            <xm:f>Ref!$D$31:$D$42</xm:f>
          </x14:formula1>
          <xm:sqref>C100:D100 G102:L102 N102 F107 H110:M110 C118 N107 D107 M116 B112:G112 C105 C102:D102 C116 F116 D110 N112 D114:E114 B110</xm:sqref>
        </x14:dataValidation>
        <x14:dataValidation type="list" allowBlank="1" showInputMessage="1" showErrorMessage="1" xr:uid="{00000000-0002-0000-0000-00000B000000}">
          <x14:formula1>
            <xm:f>Ref!$D$143:$D$152</xm:f>
          </x14:formula1>
          <xm:sqref>E100 E107 E105:F105</xm:sqref>
        </x14:dataValidation>
        <x14:dataValidation type="list" allowBlank="1" showInputMessage="1" showErrorMessage="1" xr:uid="{00000000-0002-0000-0000-00000C000000}">
          <x14:formula1>
            <xm:f>Ref!$D$171:$D$180</xm:f>
          </x14:formula1>
          <xm:sqref>F100:G100 F102 M105 G105 G107 E116 N114 G116:L116 C114 E110:F110 D105 M107 M112 F114:L114</xm:sqref>
        </x14:dataValidation>
        <x14:dataValidation type="list" allowBlank="1" showInputMessage="1" showErrorMessage="1" xr:uid="{00000000-0002-0000-0000-00000D000000}">
          <x14:formula1>
            <xm:f>Ref!$D$116:$D$125</xm:f>
          </x14:formula1>
          <xm:sqref>H107:L107 H100:L100 H105:L105 G110 D116</xm:sqref>
        </x14:dataValidation>
        <x14:dataValidation type="list" allowBlank="1" showInputMessage="1" showErrorMessage="1" xr:uid="{00000000-0002-0000-0000-00000E000000}">
          <x14:formula1>
            <xm:f>Ref!$D$61:$D$72</xm:f>
          </x14:formula1>
          <xm:sqref>N100 N110</xm:sqref>
        </x14:dataValidation>
        <x14:dataValidation type="list" allowBlank="1" showInputMessage="1" showErrorMessage="1" xr:uid="{00000000-0002-0000-0000-00000F000000}">
          <x14:formula1>
            <xm:f>Ref!$F$143:$F$152</xm:f>
          </x14:formula1>
          <xm:sqref>H58 N65 H65 H63 N63 L72 H72 H60 H70 H67 H75</xm:sqref>
        </x14:dataValidation>
        <x14:dataValidation type="list" allowBlank="1" showInputMessage="1" showErrorMessage="1" xr:uid="{00000000-0002-0000-0000-000010000000}">
          <x14:formula1>
            <xm:f>Ref!$F$4:$F$13</xm:f>
          </x14:formula1>
          <xm:sqref>B65 B63 B75 B60 B67 B58 B72 B70</xm:sqref>
        </x14:dataValidation>
        <x14:dataValidation type="list" allowBlank="1" showInputMessage="1" showErrorMessage="1" xr:uid="{00000000-0002-0000-0000-000011000000}">
          <x14:formula1>
            <xm:f>Ref!$F$31:$F$44</xm:f>
          </x14:formula1>
          <xm:sqref>C70:F70 C63:F63 C75:F75 C72:F72 N67 L75 C67:F67 C58:F58 C60:F60 C65:F65</xm:sqref>
        </x14:dataValidation>
        <x14:dataValidation type="list" allowBlank="1" showInputMessage="1" showErrorMessage="1" xr:uid="{00000000-0002-0000-0000-000012000000}">
          <x14:formula1>
            <xm:f>Ref!$F$171:$F$180</xm:f>
          </x14:formula1>
          <xm:sqref>I60 N70 I72 I65 I70 I63 I58 I67</xm:sqref>
        </x14:dataValidation>
        <x14:dataValidation type="list" allowBlank="1" showInputMessage="1" showErrorMessage="1" xr:uid="{00000000-0002-0000-0000-000013000000}">
          <x14:formula1>
            <xm:f>Ref!$F$116:$F$125</xm:f>
          </x14:formula1>
          <xm:sqref>K72 N58 N60 M75:N75 K70:M70 K58 K63 K75 K65 M72</xm:sqref>
        </x14:dataValidation>
        <x14:dataValidation type="list" allowBlank="1" showInputMessage="1" showErrorMessage="1" xr:uid="{00000000-0002-0000-0000-000014000000}">
          <x14:formula1>
            <xm:f>Ref!$F$61:$F$72</xm:f>
          </x14:formula1>
          <xm:sqref>O75 L63:M63 O58:P58 O70 J67:M67 O60:P60 N72:O72 O67 J65 I75:J75 O65 L58:M58 L65:M65 O63 J58 J72 J63 J60:M60 J70</xm:sqref>
        </x14:dataValidation>
        <x14:dataValidation type="list" allowBlank="1" showInputMessage="1" showErrorMessage="1" xr:uid="{00000000-0002-0000-0000-000015000000}">
          <x14:formula1>
            <xm:f>Ref!$D$89:$D$98</xm:f>
          </x14:formula1>
          <xm:sqref>M100 M102</xm:sqref>
        </x14:dataValidation>
        <x14:dataValidation type="list" allowBlank="1" showInputMessage="1" showErrorMessage="1" xr:uid="{00000000-0002-0000-0000-000016000000}">
          <x14:formula1>
            <xm:f>Ref!$F$89:$F$98</xm:f>
          </x14:formula1>
          <xm:sqref>G58 G67 G63 G65 G72 G60 G75 G70</xm:sqref>
        </x14:dataValidation>
        <x14:dataValidation type="list" allowBlank="1" showInputMessage="1" showErrorMessage="1" xr:uid="{00000000-0002-0000-0000-000017000000}">
          <x14:formula1>
            <xm:f>Old!$B$3:$B$46</xm:f>
          </x14:formula1>
          <xm:sqref>J59:P59 C54 B73:P73 B16:P16 B33:P33 K11 B23:P23 E54:F54 N54:P54 E11:H11 B68:P68 B66:P66 J54:L54 B64:P64 B30:P30 B28:P28 B61:P61 B21:P21 B71:P71 N11:P11 B76:P76 B78:P78 B59:F59 B25:P25 B18:P18 B35:P35</xm:sqref>
        </x14:dataValidation>
        <x14:dataValidation type="list" allowBlank="1" showInputMessage="1" showErrorMessage="1" xr:uid="{00000000-0002-0000-0000-000018000000}">
          <x14:formula1>
            <xm:f>Ref!$B$168:$B$181</xm:f>
          </x14:formula1>
          <xm:sqref>J17 J29 I27:J27 J32 J15 J22 J20 J24</xm:sqref>
        </x14:dataValidation>
        <x14:dataValidation type="list" allowBlank="1" showInputMessage="1" showErrorMessage="1" xr:uid="{00000000-0002-0000-0000-000019000000}">
          <x14:formula1>
            <xm:f>Ref!$B$200:$B$210</xm:f>
          </x14:formula1>
          <xm:sqref>N24 N17 N29 N15 N20 N22 N32</xm:sqref>
        </x14:dataValidation>
        <x14:dataValidation type="list" allowBlank="1" showInputMessage="1" showErrorMessage="1" xr:uid="{00000000-0002-0000-0000-00001A000000}">
          <x14:formula1>
            <xm:f>Old!#REF!</xm:f>
          </x14:formula1>
          <xm:sqref>B146:M146 B148:M148 B161:M161 B143:M143 B107 B141:M141 B151:M151 F153:M153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M210"/>
  <sheetViews>
    <sheetView view="pageBreakPreview" topLeftCell="A103" zoomScale="80" zoomScaleNormal="100" zoomScaleSheetLayoutView="80" workbookViewId="0">
      <selection activeCell="L178" sqref="L178"/>
    </sheetView>
  </sheetViews>
  <sheetFormatPr defaultRowHeight="14.5"/>
  <cols>
    <col min="1" max="1" width="11.7265625" customWidth="1"/>
    <col min="2" max="10" width="13.7265625" customWidth="1"/>
    <col min="11" max="13" width="11.7265625" customWidth="1"/>
  </cols>
  <sheetData>
    <row r="1" spans="1:12" ht="21">
      <c r="A1" s="10" t="s">
        <v>6</v>
      </c>
    </row>
    <row r="2" spans="1:12">
      <c r="A2" s="9" t="s">
        <v>190</v>
      </c>
      <c r="B2" s="9"/>
      <c r="C2" s="9"/>
      <c r="D2" s="9"/>
      <c r="E2" s="9"/>
    </row>
    <row r="3" spans="1:12">
      <c r="A3" s="178" t="s">
        <v>186</v>
      </c>
      <c r="B3" s="179" t="s">
        <v>187</v>
      </c>
      <c r="C3" s="179"/>
      <c r="D3" s="179" t="s">
        <v>203</v>
      </c>
      <c r="E3" s="179"/>
      <c r="F3" s="179" t="s">
        <v>188</v>
      </c>
      <c r="G3" s="179"/>
      <c r="H3" s="179" t="s">
        <v>189</v>
      </c>
      <c r="I3" s="179"/>
    </row>
    <row r="4" spans="1:12" ht="18" customHeight="1">
      <c r="A4" s="178"/>
      <c r="B4" s="191" t="s">
        <v>112</v>
      </c>
      <c r="C4" s="191"/>
      <c r="D4" s="174" t="s">
        <v>56</v>
      </c>
      <c r="E4" s="174"/>
      <c r="F4" s="177" t="s">
        <v>312</v>
      </c>
      <c r="G4" s="177"/>
      <c r="H4" s="177" t="s">
        <v>166</v>
      </c>
      <c r="I4" s="177"/>
    </row>
    <row r="5" spans="1:12" ht="18.75" customHeight="1">
      <c r="A5" s="178"/>
      <c r="B5" s="180" t="s">
        <v>113</v>
      </c>
      <c r="C5" s="180"/>
      <c r="D5" s="177" t="s">
        <v>117</v>
      </c>
      <c r="E5" s="177"/>
      <c r="F5" s="177" t="s">
        <v>313</v>
      </c>
      <c r="G5" s="177"/>
      <c r="H5" s="174" t="s">
        <v>279</v>
      </c>
      <c r="I5" s="174"/>
    </row>
    <row r="6" spans="1:12" ht="18.75" customHeight="1">
      <c r="A6" s="178"/>
      <c r="B6" s="177" t="s">
        <v>84</v>
      </c>
      <c r="C6" s="177"/>
      <c r="D6" s="177" t="s">
        <v>123</v>
      </c>
      <c r="E6" s="177"/>
      <c r="F6" s="177" t="s">
        <v>125</v>
      </c>
      <c r="G6" s="177"/>
      <c r="H6" s="177"/>
      <c r="I6" s="177"/>
    </row>
    <row r="7" spans="1:12" ht="18.75" customHeight="1">
      <c r="A7" s="178"/>
      <c r="B7" s="177" t="s">
        <v>150</v>
      </c>
      <c r="C7" s="177"/>
      <c r="D7" s="177" t="s">
        <v>193</v>
      </c>
      <c r="E7" s="177"/>
      <c r="F7" s="174" t="s">
        <v>279</v>
      </c>
      <c r="G7" s="174"/>
      <c r="H7" s="177"/>
      <c r="I7" s="177"/>
    </row>
    <row r="8" spans="1:12" ht="18.75" customHeight="1">
      <c r="A8" s="178"/>
      <c r="B8" s="177" t="s">
        <v>115</v>
      </c>
      <c r="C8" s="177"/>
      <c r="D8" s="177" t="s">
        <v>194</v>
      </c>
      <c r="E8" s="177"/>
      <c r="F8" s="177" t="s">
        <v>314</v>
      </c>
      <c r="G8" s="177"/>
      <c r="H8" s="177"/>
      <c r="I8" s="177"/>
    </row>
    <row r="9" spans="1:12" ht="18.75" customHeight="1">
      <c r="A9" s="178"/>
      <c r="B9" s="177" t="s">
        <v>116</v>
      </c>
      <c r="C9" s="177"/>
      <c r="D9" s="177" t="s">
        <v>116</v>
      </c>
      <c r="E9" s="177"/>
      <c r="F9" s="177" t="s">
        <v>116</v>
      </c>
      <c r="G9" s="177"/>
      <c r="H9" s="177" t="s">
        <v>116</v>
      </c>
      <c r="I9" s="177"/>
      <c r="J9" t="s">
        <v>51</v>
      </c>
    </row>
    <row r="10" spans="1:12" ht="43.5" customHeight="1">
      <c r="A10" s="173" t="s">
        <v>191</v>
      </c>
      <c r="B10" s="174" t="s">
        <v>311</v>
      </c>
      <c r="C10" s="174"/>
      <c r="D10" s="174" t="s">
        <v>155</v>
      </c>
      <c r="E10" s="174"/>
      <c r="F10" s="174" t="s">
        <v>154</v>
      </c>
      <c r="G10" s="174"/>
      <c r="H10" s="174" t="s">
        <v>65</v>
      </c>
      <c r="I10" s="174"/>
    </row>
    <row r="11" spans="1:12" ht="43.5" customHeight="1">
      <c r="A11" s="173"/>
      <c r="B11" s="174" t="s">
        <v>279</v>
      </c>
      <c r="C11" s="174"/>
      <c r="D11" s="174" t="s">
        <v>279</v>
      </c>
      <c r="E11" s="174"/>
      <c r="F11" s="174" t="s">
        <v>132</v>
      </c>
      <c r="G11" s="174"/>
      <c r="H11" s="174" t="s">
        <v>201</v>
      </c>
      <c r="I11" s="174"/>
    </row>
    <row r="12" spans="1:12" ht="24.75" customHeight="1">
      <c r="A12" s="173" t="s">
        <v>192</v>
      </c>
      <c r="B12" s="174" t="s">
        <v>69</v>
      </c>
      <c r="C12" s="174"/>
      <c r="D12" s="174" t="s">
        <v>71</v>
      </c>
      <c r="E12" s="174"/>
      <c r="F12" s="174" t="s">
        <v>135</v>
      </c>
      <c r="G12" s="174"/>
      <c r="H12" s="174" t="s">
        <v>134</v>
      </c>
      <c r="I12" s="174"/>
    </row>
    <row r="13" spans="1:12" ht="24.75" customHeight="1">
      <c r="A13" s="173"/>
      <c r="B13" s="174" t="s">
        <v>137</v>
      </c>
      <c r="C13" s="174"/>
      <c r="D13" s="174" t="s">
        <v>136</v>
      </c>
      <c r="E13" s="174"/>
      <c r="F13" s="174" t="s">
        <v>138</v>
      </c>
      <c r="G13" s="174"/>
      <c r="H13" s="174" t="s">
        <v>139</v>
      </c>
      <c r="I13" s="174"/>
      <c r="L13" t="s">
        <v>51</v>
      </c>
    </row>
    <row r="14" spans="1:12" ht="24.75" customHeight="1">
      <c r="A14" s="173"/>
      <c r="B14" s="175"/>
      <c r="C14" s="176"/>
      <c r="D14" s="174"/>
      <c r="E14" s="174"/>
      <c r="F14" s="174" t="s">
        <v>279</v>
      </c>
      <c r="G14" s="174"/>
      <c r="H14" s="174" t="s">
        <v>85</v>
      </c>
      <c r="I14" s="174"/>
    </row>
    <row r="15" spans="1:12">
      <c r="B15" s="8"/>
      <c r="C15" s="8"/>
      <c r="D15" s="8"/>
      <c r="E15" s="8"/>
      <c r="F15" s="8"/>
      <c r="G15" s="8"/>
      <c r="H15" s="8"/>
      <c r="I15" s="8"/>
    </row>
    <row r="16" spans="1:12">
      <c r="B16" s="8"/>
      <c r="C16" s="8"/>
      <c r="D16" s="8"/>
      <c r="E16" s="8"/>
      <c r="F16" s="8"/>
      <c r="G16" s="8"/>
      <c r="H16" s="8"/>
      <c r="I16" s="8"/>
    </row>
    <row r="17" spans="1:9">
      <c r="B17" s="8"/>
      <c r="C17" s="8"/>
      <c r="D17" s="8"/>
      <c r="E17" s="8"/>
      <c r="F17" s="8"/>
      <c r="G17" s="8"/>
      <c r="H17" s="8"/>
      <c r="I17" s="8"/>
    </row>
    <row r="28" spans="1:9" ht="21">
      <c r="A28" s="10" t="s">
        <v>7</v>
      </c>
    </row>
    <row r="29" spans="1:9">
      <c r="A29" s="9" t="s">
        <v>190</v>
      </c>
      <c r="B29" s="9"/>
      <c r="C29" s="9"/>
      <c r="D29" s="9"/>
      <c r="E29" s="9"/>
    </row>
    <row r="30" spans="1:9">
      <c r="A30" s="178" t="s">
        <v>186</v>
      </c>
      <c r="B30" s="179" t="s">
        <v>187</v>
      </c>
      <c r="C30" s="179"/>
      <c r="D30" s="179" t="s">
        <v>203</v>
      </c>
      <c r="E30" s="179"/>
      <c r="F30" s="179" t="s">
        <v>188</v>
      </c>
      <c r="G30" s="179"/>
      <c r="H30" s="179" t="s">
        <v>189</v>
      </c>
      <c r="I30" s="179"/>
    </row>
    <row r="31" spans="1:9">
      <c r="A31" s="178"/>
      <c r="B31" s="180" t="s">
        <v>112</v>
      </c>
      <c r="C31" s="180"/>
      <c r="D31" s="177" t="s">
        <v>56</v>
      </c>
      <c r="E31" s="177"/>
      <c r="F31" s="181" t="s">
        <v>125</v>
      </c>
      <c r="G31" s="182"/>
      <c r="H31" s="177" t="s">
        <v>166</v>
      </c>
      <c r="I31" s="177"/>
    </row>
    <row r="32" spans="1:9">
      <c r="A32" s="178"/>
      <c r="B32" s="180" t="s">
        <v>113</v>
      </c>
      <c r="C32" s="180"/>
      <c r="D32" s="177" t="s">
        <v>117</v>
      </c>
      <c r="E32" s="177"/>
      <c r="F32" s="181" t="s">
        <v>314</v>
      </c>
      <c r="G32" s="182"/>
      <c r="H32" s="174" t="s">
        <v>279</v>
      </c>
      <c r="I32" s="174"/>
    </row>
    <row r="33" spans="1:9">
      <c r="A33" s="178"/>
      <c r="B33" s="177" t="s">
        <v>119</v>
      </c>
      <c r="C33" s="177"/>
      <c r="D33" s="177" t="s">
        <v>74</v>
      </c>
      <c r="E33" s="177"/>
      <c r="F33" s="174" t="s">
        <v>279</v>
      </c>
      <c r="G33" s="174"/>
      <c r="H33" s="177"/>
      <c r="I33" s="177"/>
    </row>
    <row r="34" spans="1:9">
      <c r="A34" s="178"/>
      <c r="B34" s="177" t="s">
        <v>150</v>
      </c>
      <c r="C34" s="177"/>
      <c r="D34" s="177" t="s">
        <v>193</v>
      </c>
      <c r="E34" s="177"/>
      <c r="F34" s="181" t="s">
        <v>51</v>
      </c>
      <c r="G34" s="182"/>
      <c r="H34" s="177"/>
      <c r="I34" s="177"/>
    </row>
    <row r="35" spans="1:9">
      <c r="A35" s="178"/>
      <c r="B35" s="177" t="s">
        <v>115</v>
      </c>
      <c r="C35" s="177"/>
      <c r="D35" s="177" t="s">
        <v>194</v>
      </c>
      <c r="E35" s="177"/>
      <c r="F35" s="181"/>
      <c r="G35" s="182"/>
      <c r="H35" s="177"/>
      <c r="I35" s="177"/>
    </row>
    <row r="36" spans="1:9">
      <c r="A36" s="178"/>
      <c r="B36" s="177" t="s">
        <v>312</v>
      </c>
      <c r="C36" s="177"/>
      <c r="D36" s="181"/>
      <c r="E36" s="182"/>
      <c r="F36" s="181"/>
      <c r="G36" s="182"/>
      <c r="H36" s="177"/>
      <c r="I36" s="177"/>
    </row>
    <row r="37" spans="1:9">
      <c r="A37" s="178"/>
      <c r="B37" s="177" t="s">
        <v>313</v>
      </c>
      <c r="C37" s="177"/>
      <c r="D37" s="181"/>
      <c r="E37" s="182"/>
      <c r="F37" s="177" t="s">
        <v>314</v>
      </c>
      <c r="G37" s="177"/>
      <c r="H37" s="177"/>
      <c r="I37" s="177"/>
    </row>
    <row r="38" spans="1:9">
      <c r="A38" s="178"/>
      <c r="B38" s="177" t="s">
        <v>116</v>
      </c>
      <c r="C38" s="177"/>
      <c r="D38" s="177" t="s">
        <v>116</v>
      </c>
      <c r="E38" s="177"/>
      <c r="F38" s="177" t="s">
        <v>116</v>
      </c>
      <c r="G38" s="177"/>
      <c r="H38" s="177" t="s">
        <v>116</v>
      </c>
      <c r="I38" s="177"/>
    </row>
    <row r="39" spans="1:9" ht="31.5" customHeight="1">
      <c r="A39" s="173" t="s">
        <v>191</v>
      </c>
      <c r="B39" s="174" t="s">
        <v>311</v>
      </c>
      <c r="C39" s="174"/>
      <c r="D39" s="174" t="s">
        <v>155</v>
      </c>
      <c r="E39" s="174"/>
      <c r="F39" s="174" t="s">
        <v>154</v>
      </c>
      <c r="G39" s="174"/>
      <c r="H39" s="174" t="s">
        <v>65</v>
      </c>
      <c r="I39" s="174"/>
    </row>
    <row r="40" spans="1:9" ht="31.5" customHeight="1">
      <c r="A40" s="173"/>
      <c r="B40" s="174" t="s">
        <v>279</v>
      </c>
      <c r="C40" s="174"/>
      <c r="D40" s="174" t="s">
        <v>279</v>
      </c>
      <c r="E40" s="174"/>
      <c r="F40" s="174" t="s">
        <v>132</v>
      </c>
      <c r="G40" s="174"/>
      <c r="H40" s="174" t="s">
        <v>201</v>
      </c>
      <c r="I40" s="174"/>
    </row>
    <row r="41" spans="1:9" ht="21" customHeight="1">
      <c r="A41" s="188" t="s">
        <v>192</v>
      </c>
      <c r="B41" s="174"/>
      <c r="C41" s="174"/>
      <c r="D41" s="174" t="s">
        <v>87</v>
      </c>
      <c r="E41" s="174"/>
      <c r="F41" s="174" t="s">
        <v>199</v>
      </c>
      <c r="G41" s="174"/>
      <c r="H41" s="174" t="s">
        <v>143</v>
      </c>
      <c r="I41" s="174"/>
    </row>
    <row r="42" spans="1:9" ht="21" customHeight="1">
      <c r="A42" s="189"/>
      <c r="B42" s="174"/>
      <c r="C42" s="174"/>
      <c r="D42" s="174" t="s">
        <v>129</v>
      </c>
      <c r="E42" s="174"/>
      <c r="F42" s="181" t="s">
        <v>200</v>
      </c>
      <c r="G42" s="182"/>
      <c r="H42" s="174" t="s">
        <v>142</v>
      </c>
      <c r="I42" s="174"/>
    </row>
    <row r="43" spans="1:9" ht="21" customHeight="1">
      <c r="A43" s="189"/>
      <c r="B43" s="175"/>
      <c r="C43" s="176"/>
      <c r="D43" s="174"/>
      <c r="E43" s="174"/>
      <c r="F43" s="174" t="s">
        <v>140</v>
      </c>
      <c r="G43" s="174"/>
      <c r="H43" s="174" t="s">
        <v>95</v>
      </c>
      <c r="I43" s="174"/>
    </row>
    <row r="44" spans="1:9" ht="21" customHeight="1">
      <c r="A44" s="190"/>
      <c r="B44" s="175"/>
      <c r="C44" s="176"/>
      <c r="D44" s="174"/>
      <c r="E44" s="174"/>
      <c r="F44" s="174" t="s">
        <v>141</v>
      </c>
      <c r="G44" s="174"/>
      <c r="H44" s="174"/>
      <c r="I44" s="174"/>
    </row>
    <row r="58" spans="1:9" ht="21">
      <c r="A58" s="10" t="s">
        <v>9</v>
      </c>
    </row>
    <row r="59" spans="1:9">
      <c r="A59" s="9" t="s">
        <v>190</v>
      </c>
      <c r="B59" s="9"/>
      <c r="C59" s="9"/>
      <c r="D59" s="9"/>
      <c r="E59" s="9"/>
    </row>
    <row r="60" spans="1:9">
      <c r="A60" s="186" t="s">
        <v>186</v>
      </c>
      <c r="B60" s="177" t="s">
        <v>187</v>
      </c>
      <c r="C60" s="177"/>
      <c r="D60" s="177" t="s">
        <v>203</v>
      </c>
      <c r="E60" s="177"/>
      <c r="F60" s="177" t="s">
        <v>188</v>
      </c>
      <c r="G60" s="177"/>
      <c r="H60" s="177" t="s">
        <v>189</v>
      </c>
      <c r="I60" s="177"/>
    </row>
    <row r="61" spans="1:9">
      <c r="A61" s="186"/>
      <c r="B61" s="180" t="s">
        <v>112</v>
      </c>
      <c r="C61" s="180"/>
      <c r="D61" s="177" t="s">
        <v>56</v>
      </c>
      <c r="E61" s="177"/>
      <c r="F61" s="177" t="s">
        <v>312</v>
      </c>
      <c r="G61" s="177"/>
      <c r="H61" s="177" t="s">
        <v>166</v>
      </c>
      <c r="I61" s="177"/>
    </row>
    <row r="62" spans="1:9">
      <c r="A62" s="186"/>
      <c r="B62" s="180" t="s">
        <v>113</v>
      </c>
      <c r="C62" s="180"/>
      <c r="D62" s="177" t="s">
        <v>117</v>
      </c>
      <c r="E62" s="177"/>
      <c r="F62" s="177" t="s">
        <v>313</v>
      </c>
      <c r="G62" s="177"/>
      <c r="H62" s="177"/>
      <c r="I62" s="177"/>
    </row>
    <row r="63" spans="1:9">
      <c r="A63" s="186"/>
      <c r="B63" s="177" t="s">
        <v>119</v>
      </c>
      <c r="C63" s="177"/>
      <c r="D63" s="177" t="s">
        <v>74</v>
      </c>
      <c r="E63" s="177"/>
      <c r="F63" s="177" t="s">
        <v>125</v>
      </c>
      <c r="G63" s="177"/>
      <c r="H63" s="177"/>
      <c r="I63" s="177"/>
    </row>
    <row r="64" spans="1:9">
      <c r="A64" s="186"/>
      <c r="B64" s="177" t="s">
        <v>150</v>
      </c>
      <c r="C64" s="177"/>
      <c r="D64" s="177" t="s">
        <v>193</v>
      </c>
      <c r="E64" s="177"/>
      <c r="H64" s="177"/>
      <c r="I64" s="177"/>
    </row>
    <row r="65" spans="1:13">
      <c r="A65" s="186"/>
      <c r="B65" s="177" t="s">
        <v>115</v>
      </c>
      <c r="C65" s="177"/>
      <c r="D65" s="177" t="s">
        <v>194</v>
      </c>
      <c r="E65" s="177"/>
      <c r="F65" s="177" t="s">
        <v>314</v>
      </c>
      <c r="G65" s="177"/>
      <c r="H65" s="177"/>
      <c r="I65" s="177"/>
    </row>
    <row r="66" spans="1:13">
      <c r="A66" s="186"/>
      <c r="B66" s="174" t="s">
        <v>279</v>
      </c>
      <c r="C66" s="174"/>
      <c r="D66" s="174" t="s">
        <v>279</v>
      </c>
      <c r="E66" s="174"/>
      <c r="F66" s="174" t="s">
        <v>279</v>
      </c>
      <c r="G66" s="174"/>
      <c r="H66" s="174" t="s">
        <v>279</v>
      </c>
      <c r="I66" s="174"/>
    </row>
    <row r="67" spans="1:13">
      <c r="A67" s="186"/>
      <c r="B67" s="177"/>
      <c r="C67" s="177"/>
      <c r="D67" s="181"/>
      <c r="E67" s="182"/>
      <c r="F67" s="181"/>
      <c r="G67" s="182"/>
      <c r="H67" s="177"/>
      <c r="I67" s="177"/>
    </row>
    <row r="68" spans="1:13">
      <c r="A68" s="186"/>
      <c r="B68" s="177" t="s">
        <v>116</v>
      </c>
      <c r="C68" s="177"/>
      <c r="D68" s="177" t="s">
        <v>116</v>
      </c>
      <c r="E68" s="177"/>
      <c r="F68" s="177" t="s">
        <v>116</v>
      </c>
      <c r="G68" s="177"/>
      <c r="H68" s="177" t="s">
        <v>116</v>
      </c>
      <c r="I68" s="177"/>
    </row>
    <row r="69" spans="1:13" ht="36" customHeight="1">
      <c r="A69" s="187" t="s">
        <v>191</v>
      </c>
      <c r="B69" s="174" t="s">
        <v>311</v>
      </c>
      <c r="C69" s="174"/>
      <c r="D69" s="174" t="s">
        <v>155</v>
      </c>
      <c r="E69" s="174"/>
      <c r="F69" s="174" t="s">
        <v>154</v>
      </c>
      <c r="G69" s="174"/>
      <c r="H69" s="174" t="s">
        <v>65</v>
      </c>
      <c r="I69" s="174"/>
    </row>
    <row r="70" spans="1:13" ht="36" customHeight="1">
      <c r="A70" s="187"/>
      <c r="B70" s="174"/>
      <c r="C70" s="174"/>
      <c r="D70" s="174"/>
      <c r="E70" s="174"/>
      <c r="F70" s="174" t="s">
        <v>132</v>
      </c>
      <c r="G70" s="174"/>
      <c r="H70" s="174" t="s">
        <v>201</v>
      </c>
      <c r="I70" s="174"/>
    </row>
    <row r="71" spans="1:13" ht="24.75" customHeight="1">
      <c r="A71" s="183" t="s">
        <v>192</v>
      </c>
      <c r="B71" s="174" t="s">
        <v>202</v>
      </c>
      <c r="C71" s="174"/>
      <c r="D71" s="174" t="s">
        <v>143</v>
      </c>
      <c r="E71" s="174"/>
      <c r="F71" s="174" t="s">
        <v>140</v>
      </c>
      <c r="G71" s="174"/>
      <c r="H71" s="174" t="s">
        <v>97</v>
      </c>
      <c r="I71" s="174"/>
      <c r="M71" t="s">
        <v>51</v>
      </c>
    </row>
    <row r="72" spans="1:13" ht="24.75" customHeight="1">
      <c r="A72" s="184"/>
      <c r="B72" s="174" t="s">
        <v>87</v>
      </c>
      <c r="C72" s="174"/>
      <c r="D72" s="174" t="s">
        <v>123</v>
      </c>
      <c r="E72" s="174"/>
      <c r="F72" s="181" t="s">
        <v>102</v>
      </c>
      <c r="G72" s="182"/>
      <c r="H72" s="174" t="s">
        <v>99</v>
      </c>
      <c r="I72" s="174"/>
    </row>
    <row r="73" spans="1:13" ht="24.75" customHeight="1">
      <c r="A73" s="184"/>
      <c r="B73" s="175"/>
      <c r="C73" s="176"/>
      <c r="D73" s="174"/>
      <c r="E73" s="174"/>
      <c r="H73" s="174" t="s">
        <v>100</v>
      </c>
      <c r="I73" s="174"/>
    </row>
    <row r="74" spans="1:13" ht="24.75" customHeight="1">
      <c r="A74" s="185"/>
      <c r="B74" s="175"/>
      <c r="C74" s="176"/>
      <c r="D74" s="174"/>
      <c r="E74" s="174"/>
      <c r="F74" s="174"/>
      <c r="G74" s="174"/>
      <c r="H74" s="174"/>
      <c r="I74" s="174"/>
    </row>
    <row r="86" spans="1:9" ht="21">
      <c r="A86" s="10" t="s">
        <v>204</v>
      </c>
    </row>
    <row r="87" spans="1:9">
      <c r="A87" s="9" t="s">
        <v>190</v>
      </c>
      <c r="B87" s="9"/>
      <c r="C87" s="9"/>
      <c r="D87" s="9"/>
      <c r="E87" s="9"/>
    </row>
    <row r="88" spans="1:9">
      <c r="A88" s="178" t="s">
        <v>186</v>
      </c>
      <c r="B88" s="179" t="s">
        <v>187</v>
      </c>
      <c r="C88" s="179"/>
      <c r="D88" s="179" t="s">
        <v>203</v>
      </c>
      <c r="E88" s="179"/>
      <c r="F88" s="179" t="s">
        <v>188</v>
      </c>
      <c r="G88" s="179"/>
      <c r="H88" s="179" t="s">
        <v>189</v>
      </c>
      <c r="I88" s="179"/>
    </row>
    <row r="89" spans="1:9">
      <c r="A89" s="178"/>
      <c r="B89" s="180" t="s">
        <v>112</v>
      </c>
      <c r="C89" s="180"/>
      <c r="D89" s="177" t="s">
        <v>56</v>
      </c>
      <c r="E89" s="177"/>
      <c r="F89" s="177" t="s">
        <v>312</v>
      </c>
      <c r="G89" s="177"/>
      <c r="H89" s="177" t="s">
        <v>166</v>
      </c>
      <c r="I89" s="177"/>
    </row>
    <row r="90" spans="1:9">
      <c r="A90" s="178"/>
      <c r="B90" s="180" t="s">
        <v>113</v>
      </c>
      <c r="C90" s="180"/>
      <c r="D90" s="177" t="s">
        <v>117</v>
      </c>
      <c r="E90" s="177"/>
      <c r="F90" s="177" t="s">
        <v>313</v>
      </c>
      <c r="G90" s="177"/>
      <c r="H90" s="174" t="s">
        <v>279</v>
      </c>
      <c r="I90" s="174"/>
    </row>
    <row r="91" spans="1:9">
      <c r="A91" s="178"/>
      <c r="B91" s="177" t="s">
        <v>119</v>
      </c>
      <c r="C91" s="177"/>
      <c r="D91" s="177" t="s">
        <v>74</v>
      </c>
      <c r="E91" s="177"/>
      <c r="F91" s="177" t="s">
        <v>125</v>
      </c>
      <c r="G91" s="177"/>
      <c r="H91" s="177"/>
      <c r="I91" s="177"/>
    </row>
    <row r="92" spans="1:9">
      <c r="A92" s="178"/>
      <c r="B92" s="177" t="s">
        <v>150</v>
      </c>
      <c r="C92" s="177"/>
      <c r="D92" s="177" t="s">
        <v>193</v>
      </c>
      <c r="E92" s="177"/>
      <c r="F92" s="181" t="s">
        <v>279</v>
      </c>
      <c r="G92" s="182"/>
      <c r="H92" s="177"/>
      <c r="I92" s="177"/>
    </row>
    <row r="93" spans="1:9">
      <c r="A93" s="178"/>
      <c r="B93" s="177" t="s">
        <v>115</v>
      </c>
      <c r="C93" s="177"/>
      <c r="D93" s="177" t="s">
        <v>194</v>
      </c>
      <c r="E93" s="177"/>
      <c r="F93" s="177" t="s">
        <v>314</v>
      </c>
      <c r="G93" s="177"/>
      <c r="H93" s="177"/>
      <c r="I93" s="177"/>
    </row>
    <row r="94" spans="1:9">
      <c r="A94" s="178"/>
      <c r="B94" s="177" t="s">
        <v>116</v>
      </c>
      <c r="C94" s="177"/>
      <c r="D94" s="177" t="s">
        <v>116</v>
      </c>
      <c r="E94" s="177"/>
      <c r="F94" s="177" t="s">
        <v>116</v>
      </c>
      <c r="G94" s="177"/>
      <c r="H94" s="177" t="s">
        <v>116</v>
      </c>
      <c r="I94" s="177"/>
    </row>
    <row r="95" spans="1:9" ht="45" customHeight="1">
      <c r="A95" s="173" t="s">
        <v>191</v>
      </c>
      <c r="B95" s="174" t="s">
        <v>311</v>
      </c>
      <c r="C95" s="174"/>
      <c r="D95" s="174" t="s">
        <v>155</v>
      </c>
      <c r="E95" s="174"/>
      <c r="F95" s="174" t="s">
        <v>154</v>
      </c>
      <c r="G95" s="174"/>
      <c r="H95" s="174" t="s">
        <v>65</v>
      </c>
      <c r="I95" s="174"/>
    </row>
    <row r="96" spans="1:9" ht="45" customHeight="1">
      <c r="A96" s="173"/>
      <c r="B96" s="174" t="s">
        <v>279</v>
      </c>
      <c r="C96" s="174"/>
      <c r="D96" s="174" t="s">
        <v>279</v>
      </c>
      <c r="E96" s="174"/>
      <c r="F96" s="174" t="s">
        <v>132</v>
      </c>
      <c r="G96" s="174"/>
      <c r="H96" s="174" t="s">
        <v>201</v>
      </c>
      <c r="I96" s="174"/>
    </row>
    <row r="97" spans="1:13" ht="25.5" customHeight="1">
      <c r="A97" s="173" t="s">
        <v>192</v>
      </c>
      <c r="B97" s="174" t="s">
        <v>274</v>
      </c>
      <c r="C97" s="174"/>
      <c r="D97" s="174" t="s">
        <v>274</v>
      </c>
      <c r="E97" s="174"/>
      <c r="F97" s="174" t="s">
        <v>274</v>
      </c>
      <c r="G97" s="174"/>
      <c r="H97" s="174" t="s">
        <v>274</v>
      </c>
      <c r="I97" s="174"/>
      <c r="M97" t="s">
        <v>51</v>
      </c>
    </row>
    <row r="98" spans="1:13" ht="25.5" customHeight="1">
      <c r="A98" s="173"/>
      <c r="B98" s="174" t="s">
        <v>274</v>
      </c>
      <c r="C98" s="174"/>
      <c r="D98" s="174" t="s">
        <v>274</v>
      </c>
      <c r="E98" s="174"/>
      <c r="F98" s="174" t="s">
        <v>274</v>
      </c>
      <c r="G98" s="174"/>
      <c r="H98" s="174" t="s">
        <v>274</v>
      </c>
      <c r="I98" s="174"/>
      <c r="K98" t="s">
        <v>51</v>
      </c>
      <c r="L98" t="s">
        <v>51</v>
      </c>
    </row>
    <row r="99" spans="1:13" ht="25.5" customHeight="1">
      <c r="A99" s="173"/>
      <c r="B99" s="175"/>
      <c r="C99" s="176"/>
      <c r="D99" s="174"/>
      <c r="E99" s="174"/>
      <c r="F99" s="174" t="s">
        <v>279</v>
      </c>
      <c r="G99" s="174"/>
      <c r="H99" s="174" t="s">
        <v>100</v>
      </c>
      <c r="I99" s="174"/>
    </row>
    <row r="113" spans="1:11" ht="21">
      <c r="A113" s="10" t="s">
        <v>10</v>
      </c>
    </row>
    <row r="114" spans="1:11">
      <c r="A114" s="9" t="s">
        <v>190</v>
      </c>
      <c r="B114" s="9"/>
      <c r="C114" s="9"/>
      <c r="D114" s="9"/>
      <c r="E114" s="9"/>
    </row>
    <row r="115" spans="1:11">
      <c r="A115" s="178" t="s">
        <v>186</v>
      </c>
      <c r="B115" s="179" t="s">
        <v>187</v>
      </c>
      <c r="C115" s="179"/>
      <c r="D115" s="179" t="s">
        <v>203</v>
      </c>
      <c r="E115" s="179"/>
      <c r="F115" s="179" t="s">
        <v>188</v>
      </c>
      <c r="G115" s="179"/>
      <c r="H115" s="179" t="s">
        <v>189</v>
      </c>
      <c r="I115" s="179"/>
    </row>
    <row r="116" spans="1:11">
      <c r="A116" s="178"/>
      <c r="B116" s="180" t="s">
        <v>112</v>
      </c>
      <c r="C116" s="180"/>
      <c r="D116" s="177" t="s">
        <v>56</v>
      </c>
      <c r="E116" s="177"/>
      <c r="F116" s="177" t="s">
        <v>312</v>
      </c>
      <c r="G116" s="177"/>
      <c r="H116" s="177" t="s">
        <v>166</v>
      </c>
      <c r="I116" s="177"/>
    </row>
    <row r="117" spans="1:11">
      <c r="A117" s="178"/>
      <c r="B117" s="180" t="s">
        <v>113</v>
      </c>
      <c r="C117" s="180"/>
      <c r="D117" s="177" t="s">
        <v>117</v>
      </c>
      <c r="E117" s="177"/>
      <c r="F117" s="177" t="s">
        <v>313</v>
      </c>
      <c r="G117" s="177"/>
      <c r="H117" s="174" t="s">
        <v>279</v>
      </c>
      <c r="I117" s="174"/>
    </row>
    <row r="118" spans="1:11">
      <c r="A118" s="178"/>
      <c r="B118" s="177" t="s">
        <v>119</v>
      </c>
      <c r="C118" s="177"/>
      <c r="D118" s="177" t="s">
        <v>74</v>
      </c>
      <c r="E118" s="177"/>
      <c r="F118" s="177" t="s">
        <v>125</v>
      </c>
      <c r="G118" s="177"/>
      <c r="H118" s="177"/>
      <c r="I118" s="177"/>
    </row>
    <row r="119" spans="1:11">
      <c r="A119" s="178"/>
      <c r="B119" s="177" t="s">
        <v>150</v>
      </c>
      <c r="C119" s="177"/>
      <c r="D119" s="177" t="s">
        <v>193</v>
      </c>
      <c r="E119" s="177"/>
      <c r="F119" s="181" t="s">
        <v>279</v>
      </c>
      <c r="G119" s="182"/>
      <c r="H119" s="177"/>
      <c r="I119" s="177"/>
    </row>
    <row r="120" spans="1:11">
      <c r="A120" s="178"/>
      <c r="B120" s="177" t="s">
        <v>115</v>
      </c>
      <c r="C120" s="177"/>
      <c r="D120" s="177" t="s">
        <v>194</v>
      </c>
      <c r="E120" s="177"/>
      <c r="F120" s="177" t="s">
        <v>314</v>
      </c>
      <c r="G120" s="177"/>
      <c r="H120" s="177"/>
      <c r="I120" s="177"/>
    </row>
    <row r="121" spans="1:11">
      <c r="A121" s="178"/>
      <c r="B121" s="177" t="s">
        <v>116</v>
      </c>
      <c r="C121" s="177"/>
      <c r="D121" s="177" t="s">
        <v>116</v>
      </c>
      <c r="E121" s="177"/>
      <c r="F121" s="177" t="s">
        <v>116</v>
      </c>
      <c r="G121" s="177"/>
      <c r="H121" s="177" t="s">
        <v>116</v>
      </c>
      <c r="I121" s="177"/>
      <c r="K121" t="s">
        <v>51</v>
      </c>
    </row>
    <row r="122" spans="1:11" ht="40.5" customHeight="1">
      <c r="A122" s="173" t="s">
        <v>191</v>
      </c>
      <c r="B122" s="174" t="s">
        <v>311</v>
      </c>
      <c r="C122" s="174"/>
      <c r="D122" s="174" t="s">
        <v>155</v>
      </c>
      <c r="E122" s="174"/>
      <c r="F122" s="174" t="s">
        <v>154</v>
      </c>
      <c r="G122" s="174"/>
      <c r="H122" s="174" t="s">
        <v>65</v>
      </c>
      <c r="I122" s="174"/>
    </row>
    <row r="123" spans="1:11" ht="40.5" customHeight="1">
      <c r="A123" s="173"/>
      <c r="B123" s="174" t="s">
        <v>279</v>
      </c>
      <c r="C123" s="174"/>
      <c r="D123" s="174" t="s">
        <v>279</v>
      </c>
      <c r="E123" s="174"/>
      <c r="F123" s="174" t="s">
        <v>132</v>
      </c>
      <c r="G123" s="174"/>
      <c r="H123" s="174" t="s">
        <v>201</v>
      </c>
      <c r="I123" s="174"/>
    </row>
    <row r="124" spans="1:11" ht="30" customHeight="1">
      <c r="A124" s="173" t="s">
        <v>192</v>
      </c>
      <c r="B124" s="174" t="s">
        <v>205</v>
      </c>
      <c r="C124" s="174"/>
      <c r="D124" s="174" t="s">
        <v>102</v>
      </c>
      <c r="E124" s="174"/>
      <c r="F124" s="174" t="s">
        <v>103</v>
      </c>
      <c r="G124" s="174"/>
      <c r="H124" s="174" t="s">
        <v>103</v>
      </c>
      <c r="I124" s="174"/>
    </row>
    <row r="125" spans="1:11" ht="30" customHeight="1">
      <c r="A125" s="173"/>
      <c r="B125" s="174" t="s">
        <v>205</v>
      </c>
      <c r="C125" s="174"/>
      <c r="D125" s="174" t="s">
        <v>102</v>
      </c>
      <c r="E125" s="174"/>
      <c r="F125" s="174" t="s">
        <v>103</v>
      </c>
      <c r="G125" s="174"/>
      <c r="H125" s="174" t="s">
        <v>103</v>
      </c>
      <c r="I125" s="174"/>
    </row>
    <row r="126" spans="1:11" ht="30" customHeight="1">
      <c r="A126" s="173"/>
      <c r="B126" s="175"/>
      <c r="C126" s="176"/>
      <c r="D126" s="174"/>
      <c r="E126" s="174"/>
      <c r="F126" s="174" t="s">
        <v>279</v>
      </c>
      <c r="G126" s="174"/>
      <c r="H126" s="174" t="s">
        <v>100</v>
      </c>
      <c r="I126" s="174"/>
    </row>
    <row r="140" spans="1:12" ht="21">
      <c r="A140" s="10" t="s">
        <v>105</v>
      </c>
    </row>
    <row r="141" spans="1:12">
      <c r="A141" s="9" t="s">
        <v>190</v>
      </c>
      <c r="B141" s="9"/>
      <c r="C141" s="9"/>
      <c r="D141" s="9"/>
      <c r="E141" s="9"/>
      <c r="L141" t="s">
        <v>51</v>
      </c>
    </row>
    <row r="142" spans="1:12">
      <c r="A142" s="178" t="s">
        <v>186</v>
      </c>
      <c r="B142" s="179" t="s">
        <v>187</v>
      </c>
      <c r="C142" s="179"/>
      <c r="D142" s="179" t="s">
        <v>203</v>
      </c>
      <c r="E142" s="179"/>
      <c r="F142" s="179" t="s">
        <v>188</v>
      </c>
      <c r="G142" s="179"/>
      <c r="H142" s="179" t="s">
        <v>189</v>
      </c>
      <c r="I142" s="179"/>
    </row>
    <row r="143" spans="1:12">
      <c r="A143" s="178"/>
      <c r="B143" s="180" t="s">
        <v>112</v>
      </c>
      <c r="C143" s="180"/>
      <c r="D143" s="177" t="s">
        <v>56</v>
      </c>
      <c r="E143" s="177"/>
      <c r="F143" s="177" t="s">
        <v>312</v>
      </c>
      <c r="G143" s="177"/>
      <c r="H143" s="177" t="s">
        <v>166</v>
      </c>
      <c r="I143" s="177"/>
    </row>
    <row r="144" spans="1:12">
      <c r="A144" s="178"/>
      <c r="B144" s="180" t="s">
        <v>113</v>
      </c>
      <c r="C144" s="180"/>
      <c r="D144" s="177" t="s">
        <v>117</v>
      </c>
      <c r="E144" s="177"/>
      <c r="F144" s="177" t="s">
        <v>313</v>
      </c>
      <c r="G144" s="177"/>
      <c r="H144" s="174" t="s">
        <v>279</v>
      </c>
      <c r="I144" s="174"/>
    </row>
    <row r="145" spans="1:9">
      <c r="A145" s="178"/>
      <c r="B145" s="177" t="s">
        <v>119</v>
      </c>
      <c r="C145" s="177"/>
      <c r="D145" s="177" t="s">
        <v>74</v>
      </c>
      <c r="E145" s="177"/>
      <c r="F145" s="177" t="s">
        <v>125</v>
      </c>
      <c r="G145" s="177"/>
      <c r="H145" s="177"/>
      <c r="I145" s="177"/>
    </row>
    <row r="146" spans="1:9">
      <c r="A146" s="178"/>
      <c r="B146" s="177" t="s">
        <v>150</v>
      </c>
      <c r="C146" s="177"/>
      <c r="D146" s="177" t="s">
        <v>193</v>
      </c>
      <c r="E146" s="177"/>
      <c r="F146" s="181" t="s">
        <v>279</v>
      </c>
      <c r="G146" s="182"/>
      <c r="H146" s="177"/>
      <c r="I146" s="177"/>
    </row>
    <row r="147" spans="1:9">
      <c r="A147" s="178"/>
      <c r="B147" s="177" t="s">
        <v>115</v>
      </c>
      <c r="C147" s="177"/>
      <c r="D147" s="177" t="s">
        <v>194</v>
      </c>
      <c r="E147" s="177"/>
      <c r="F147" s="177" t="s">
        <v>314</v>
      </c>
      <c r="G147" s="177"/>
      <c r="H147" s="177"/>
      <c r="I147" s="177"/>
    </row>
    <row r="148" spans="1:9">
      <c r="A148" s="178"/>
      <c r="B148" s="177" t="s">
        <v>116</v>
      </c>
      <c r="C148" s="177"/>
      <c r="D148" s="177" t="s">
        <v>116</v>
      </c>
      <c r="E148" s="177"/>
      <c r="F148" s="177" t="s">
        <v>116</v>
      </c>
      <c r="G148" s="177"/>
      <c r="H148" s="177" t="s">
        <v>116</v>
      </c>
      <c r="I148" s="177"/>
    </row>
    <row r="149" spans="1:9" ht="42" customHeight="1">
      <c r="A149" s="173" t="s">
        <v>191</v>
      </c>
      <c r="B149" s="174" t="s">
        <v>311</v>
      </c>
      <c r="C149" s="174"/>
      <c r="D149" s="174" t="s">
        <v>155</v>
      </c>
      <c r="E149" s="174"/>
      <c r="F149" s="174" t="s">
        <v>154</v>
      </c>
      <c r="G149" s="174"/>
      <c r="H149" s="174" t="s">
        <v>65</v>
      </c>
      <c r="I149" s="174"/>
    </row>
    <row r="150" spans="1:9" ht="42" customHeight="1">
      <c r="A150" s="173"/>
      <c r="B150" s="174" t="s">
        <v>279</v>
      </c>
      <c r="C150" s="174"/>
      <c r="D150" s="174" t="s">
        <v>279</v>
      </c>
      <c r="E150" s="174"/>
      <c r="F150" s="174" t="s">
        <v>132</v>
      </c>
      <c r="G150" s="174"/>
      <c r="H150" s="174" t="s">
        <v>201</v>
      </c>
      <c r="I150" s="174"/>
    </row>
    <row r="151" spans="1:9" ht="27" customHeight="1">
      <c r="A151" s="173" t="s">
        <v>192</v>
      </c>
      <c r="B151" s="174" t="s">
        <v>126</v>
      </c>
      <c r="C151" s="174"/>
      <c r="D151" s="174" t="s">
        <v>126</v>
      </c>
      <c r="E151" s="174"/>
      <c r="F151" s="174" t="s">
        <v>127</v>
      </c>
      <c r="G151" s="174"/>
      <c r="H151" s="174" t="s">
        <v>127</v>
      </c>
      <c r="I151" s="174"/>
    </row>
    <row r="152" spans="1:9" ht="27" customHeight="1">
      <c r="A152" s="173"/>
      <c r="B152" s="174" t="s">
        <v>126</v>
      </c>
      <c r="C152" s="174"/>
      <c r="D152" s="174" t="s">
        <v>126</v>
      </c>
      <c r="E152" s="174"/>
      <c r="F152" s="174" t="s">
        <v>127</v>
      </c>
      <c r="G152" s="174"/>
      <c r="H152" s="174" t="s">
        <v>127</v>
      </c>
      <c r="I152" s="174"/>
    </row>
    <row r="153" spans="1:9" ht="27" customHeight="1">
      <c r="A153" s="173"/>
      <c r="B153" s="175"/>
      <c r="C153" s="176"/>
      <c r="D153" s="174"/>
      <c r="E153" s="174"/>
      <c r="F153" s="174" t="s">
        <v>279</v>
      </c>
      <c r="G153" s="174"/>
      <c r="H153" s="174" t="s">
        <v>100</v>
      </c>
      <c r="I153" s="174"/>
    </row>
    <row r="168" spans="1:9" ht="21">
      <c r="A168" s="10" t="s">
        <v>108</v>
      </c>
    </row>
    <row r="169" spans="1:9">
      <c r="A169" s="9" t="s">
        <v>190</v>
      </c>
      <c r="B169" s="9"/>
      <c r="C169" s="9"/>
      <c r="D169" s="9"/>
      <c r="E169" s="9"/>
    </row>
    <row r="170" spans="1:9">
      <c r="A170" s="178" t="s">
        <v>186</v>
      </c>
      <c r="B170" s="179" t="s">
        <v>187</v>
      </c>
      <c r="C170" s="179"/>
      <c r="D170" s="179" t="s">
        <v>203</v>
      </c>
      <c r="E170" s="179"/>
      <c r="F170" s="179" t="s">
        <v>188</v>
      </c>
      <c r="G170" s="179"/>
      <c r="H170" s="179" t="s">
        <v>189</v>
      </c>
      <c r="I170" s="179"/>
    </row>
    <row r="171" spans="1:9">
      <c r="A171" s="178"/>
      <c r="B171" s="180" t="s">
        <v>112</v>
      </c>
      <c r="C171" s="180"/>
      <c r="D171" s="177" t="s">
        <v>56</v>
      </c>
      <c r="E171" s="177"/>
      <c r="F171" s="177" t="s">
        <v>312</v>
      </c>
      <c r="G171" s="177"/>
      <c r="H171" s="177" t="s">
        <v>166</v>
      </c>
      <c r="I171" s="177"/>
    </row>
    <row r="172" spans="1:9">
      <c r="A172" s="178"/>
      <c r="B172" s="180" t="s">
        <v>113</v>
      </c>
      <c r="C172" s="180"/>
      <c r="D172" s="177" t="s">
        <v>117</v>
      </c>
      <c r="E172" s="177"/>
      <c r="F172" s="177" t="s">
        <v>313</v>
      </c>
      <c r="G172" s="177"/>
      <c r="H172" s="174" t="s">
        <v>279</v>
      </c>
      <c r="I172" s="174"/>
    </row>
    <row r="173" spans="1:9">
      <c r="A173" s="178"/>
      <c r="B173" s="177" t="s">
        <v>119</v>
      </c>
      <c r="C173" s="177"/>
      <c r="D173" s="177" t="s">
        <v>74</v>
      </c>
      <c r="E173" s="177"/>
      <c r="F173" s="177" t="s">
        <v>125</v>
      </c>
      <c r="G173" s="177"/>
      <c r="H173" s="177"/>
      <c r="I173" s="177"/>
    </row>
    <row r="174" spans="1:9">
      <c r="A174" s="178"/>
      <c r="B174" s="177" t="s">
        <v>150</v>
      </c>
      <c r="C174" s="177"/>
      <c r="D174" s="177" t="s">
        <v>193</v>
      </c>
      <c r="E174" s="177"/>
      <c r="F174" s="181" t="s">
        <v>279</v>
      </c>
      <c r="G174" s="182"/>
      <c r="H174" s="177"/>
      <c r="I174" s="177"/>
    </row>
    <row r="175" spans="1:9">
      <c r="A175" s="178"/>
      <c r="B175" s="177" t="s">
        <v>115</v>
      </c>
      <c r="C175" s="177"/>
      <c r="D175" s="177" t="s">
        <v>194</v>
      </c>
      <c r="E175" s="177"/>
      <c r="F175" s="177" t="s">
        <v>314</v>
      </c>
      <c r="G175" s="177"/>
      <c r="H175" s="177"/>
      <c r="I175" s="177"/>
    </row>
    <row r="176" spans="1:9">
      <c r="A176" s="178"/>
      <c r="B176" s="177" t="s">
        <v>116</v>
      </c>
      <c r="C176" s="177"/>
      <c r="D176" s="177" t="s">
        <v>116</v>
      </c>
      <c r="E176" s="177"/>
      <c r="F176" s="177" t="s">
        <v>116</v>
      </c>
      <c r="G176" s="177"/>
      <c r="H176" s="177" t="s">
        <v>116</v>
      </c>
      <c r="I176" s="177"/>
    </row>
    <row r="177" spans="1:9" ht="39.75" customHeight="1">
      <c r="A177" s="173" t="s">
        <v>191</v>
      </c>
      <c r="B177" s="174" t="s">
        <v>311</v>
      </c>
      <c r="C177" s="174"/>
      <c r="D177" s="174" t="s">
        <v>155</v>
      </c>
      <c r="E177" s="174"/>
      <c r="F177" s="174" t="s">
        <v>154</v>
      </c>
      <c r="G177" s="174"/>
      <c r="H177" s="174" t="s">
        <v>65</v>
      </c>
      <c r="I177" s="174"/>
    </row>
    <row r="178" spans="1:9" ht="39.75" customHeight="1">
      <c r="A178" s="173"/>
      <c r="B178" s="174" t="s">
        <v>279</v>
      </c>
      <c r="C178" s="174"/>
      <c r="D178" s="174" t="s">
        <v>279</v>
      </c>
      <c r="E178" s="174"/>
      <c r="F178" s="174" t="s">
        <v>132</v>
      </c>
      <c r="G178" s="174"/>
      <c r="H178" s="174" t="s">
        <v>201</v>
      </c>
      <c r="I178" s="174"/>
    </row>
    <row r="179" spans="1:9" ht="24" customHeight="1">
      <c r="A179" s="173" t="s">
        <v>192</v>
      </c>
      <c r="B179" s="174" t="s">
        <v>128</v>
      </c>
      <c r="C179" s="174"/>
      <c r="D179" s="174" t="s">
        <v>128</v>
      </c>
      <c r="E179" s="174"/>
      <c r="F179" s="174" t="s">
        <v>128</v>
      </c>
      <c r="G179" s="174"/>
      <c r="H179" s="174" t="s">
        <v>128</v>
      </c>
      <c r="I179" s="174"/>
    </row>
    <row r="180" spans="1:9" ht="24" customHeight="1">
      <c r="A180" s="173"/>
      <c r="B180" s="174" t="s">
        <v>128</v>
      </c>
      <c r="C180" s="174"/>
      <c r="D180" s="174" t="s">
        <v>128</v>
      </c>
      <c r="E180" s="174"/>
      <c r="F180" s="174" t="s">
        <v>128</v>
      </c>
      <c r="G180" s="174"/>
      <c r="H180" s="174" t="s">
        <v>128</v>
      </c>
      <c r="I180" s="174"/>
    </row>
    <row r="181" spans="1:9" ht="24" customHeight="1">
      <c r="A181" s="173"/>
      <c r="B181" s="175"/>
      <c r="C181" s="176"/>
      <c r="D181" s="174"/>
      <c r="E181" s="174"/>
      <c r="F181" s="174" t="s">
        <v>279</v>
      </c>
      <c r="G181" s="174"/>
      <c r="H181" s="174" t="s">
        <v>100</v>
      </c>
      <c r="I181" s="174"/>
    </row>
    <row r="197" spans="1:9" ht="21">
      <c r="A197" s="10" t="s">
        <v>348</v>
      </c>
    </row>
    <row r="198" spans="1:9">
      <c r="A198" s="9" t="s">
        <v>190</v>
      </c>
      <c r="B198" s="9"/>
      <c r="C198" s="9"/>
      <c r="D198" s="9"/>
      <c r="E198" s="9"/>
    </row>
    <row r="199" spans="1:9" ht="18" customHeight="1">
      <c r="A199" s="178" t="s">
        <v>186</v>
      </c>
      <c r="B199" s="179" t="s">
        <v>187</v>
      </c>
      <c r="C199" s="179"/>
      <c r="D199" s="179" t="s">
        <v>203</v>
      </c>
      <c r="E199" s="179"/>
      <c r="F199" s="179" t="s">
        <v>188</v>
      </c>
      <c r="G199" s="179"/>
      <c r="H199" s="179" t="s">
        <v>189</v>
      </c>
      <c r="I199" s="179"/>
    </row>
    <row r="200" spans="1:9" ht="18" customHeight="1">
      <c r="A200" s="178"/>
      <c r="B200" s="180" t="s">
        <v>112</v>
      </c>
      <c r="C200" s="180"/>
      <c r="D200" s="177" t="s">
        <v>56</v>
      </c>
      <c r="E200" s="177"/>
      <c r="F200" s="177" t="s">
        <v>312</v>
      </c>
      <c r="G200" s="177"/>
      <c r="H200" s="177" t="s">
        <v>166</v>
      </c>
      <c r="I200" s="177"/>
    </row>
    <row r="201" spans="1:9" ht="18" customHeight="1">
      <c r="A201" s="178"/>
      <c r="B201" s="180" t="s">
        <v>113</v>
      </c>
      <c r="C201" s="180"/>
      <c r="D201" s="177" t="s">
        <v>117</v>
      </c>
      <c r="E201" s="177"/>
      <c r="F201" s="177" t="s">
        <v>313</v>
      </c>
      <c r="G201" s="177"/>
      <c r="H201" s="174" t="s">
        <v>279</v>
      </c>
      <c r="I201" s="174"/>
    </row>
    <row r="202" spans="1:9" ht="18" customHeight="1">
      <c r="A202" s="178"/>
      <c r="B202" s="177" t="s">
        <v>119</v>
      </c>
      <c r="C202" s="177"/>
      <c r="D202" s="177" t="s">
        <v>74</v>
      </c>
      <c r="E202" s="177"/>
      <c r="F202" s="177" t="s">
        <v>125</v>
      </c>
      <c r="G202" s="177"/>
      <c r="H202" s="177"/>
      <c r="I202" s="177"/>
    </row>
    <row r="203" spans="1:9" ht="18" customHeight="1">
      <c r="A203" s="178"/>
      <c r="B203" s="177" t="s">
        <v>150</v>
      </c>
      <c r="C203" s="177"/>
      <c r="D203" s="177" t="s">
        <v>193</v>
      </c>
      <c r="E203" s="177"/>
      <c r="F203" s="181" t="s">
        <v>279</v>
      </c>
      <c r="G203" s="182"/>
      <c r="H203" s="177"/>
      <c r="I203" s="177"/>
    </row>
    <row r="204" spans="1:9" ht="18" customHeight="1">
      <c r="A204" s="178"/>
      <c r="B204" s="177" t="s">
        <v>115</v>
      </c>
      <c r="C204" s="177"/>
      <c r="D204" s="177" t="s">
        <v>194</v>
      </c>
      <c r="E204" s="177"/>
      <c r="F204" s="177" t="s">
        <v>314</v>
      </c>
      <c r="G204" s="177"/>
      <c r="H204" s="177"/>
      <c r="I204" s="177"/>
    </row>
    <row r="205" spans="1:9" ht="18" customHeight="1">
      <c r="A205" s="178"/>
      <c r="B205" s="177" t="s">
        <v>116</v>
      </c>
      <c r="C205" s="177"/>
      <c r="D205" s="177" t="s">
        <v>116</v>
      </c>
      <c r="E205" s="177"/>
      <c r="F205" s="177" t="s">
        <v>116</v>
      </c>
      <c r="G205" s="177"/>
      <c r="H205" s="177" t="s">
        <v>116</v>
      </c>
      <c r="I205" s="177"/>
    </row>
    <row r="206" spans="1:9" ht="35.25" customHeight="1">
      <c r="A206" s="173" t="s">
        <v>191</v>
      </c>
      <c r="B206" s="174" t="s">
        <v>311</v>
      </c>
      <c r="C206" s="174"/>
      <c r="D206" s="174" t="s">
        <v>155</v>
      </c>
      <c r="E206" s="174"/>
      <c r="F206" s="174" t="s">
        <v>154</v>
      </c>
      <c r="G206" s="174"/>
      <c r="H206" s="174" t="s">
        <v>65</v>
      </c>
      <c r="I206" s="174"/>
    </row>
    <row r="207" spans="1:9" ht="35.25" customHeight="1">
      <c r="A207" s="173"/>
      <c r="B207" s="174" t="s">
        <v>279</v>
      </c>
      <c r="C207" s="174"/>
      <c r="D207" s="174" t="s">
        <v>279</v>
      </c>
      <c r="E207" s="174"/>
      <c r="F207" s="174" t="s">
        <v>132</v>
      </c>
      <c r="G207" s="174"/>
      <c r="H207" s="174" t="s">
        <v>201</v>
      </c>
      <c r="I207" s="174"/>
    </row>
    <row r="208" spans="1:9" ht="35.25" customHeight="1">
      <c r="A208" s="173" t="s">
        <v>192</v>
      </c>
      <c r="B208" s="174" t="s">
        <v>202</v>
      </c>
      <c r="C208" s="174"/>
      <c r="D208" s="174" t="s">
        <v>99</v>
      </c>
      <c r="E208" s="174"/>
      <c r="F208" s="174" t="s">
        <v>351</v>
      </c>
      <c r="G208" s="174"/>
      <c r="H208" s="174" t="s">
        <v>97</v>
      </c>
      <c r="I208" s="174"/>
    </row>
    <row r="209" spans="1:9" ht="35.25" customHeight="1">
      <c r="A209" s="173"/>
      <c r="B209" s="174" t="s">
        <v>152</v>
      </c>
      <c r="C209" s="174"/>
      <c r="D209" s="174" t="s">
        <v>349</v>
      </c>
      <c r="E209" s="174"/>
      <c r="F209" s="174" t="s">
        <v>350</v>
      </c>
      <c r="G209" s="174"/>
      <c r="H209" s="174" t="s">
        <v>352</v>
      </c>
      <c r="I209" s="174"/>
    </row>
    <row r="210" spans="1:9" ht="35.25" customHeight="1">
      <c r="A210" s="173"/>
      <c r="B210" s="175"/>
      <c r="C210" s="176"/>
      <c r="D210" s="174"/>
      <c r="E210" s="174"/>
      <c r="F210" s="174"/>
      <c r="G210" s="174"/>
      <c r="H210" s="174" t="s">
        <v>353</v>
      </c>
      <c r="I210" s="174"/>
    </row>
  </sheetData>
  <mergeCells count="430">
    <mergeCell ref="A179:A181"/>
    <mergeCell ref="B179:C179"/>
    <mergeCell ref="D179:E179"/>
    <mergeCell ref="F179:G179"/>
    <mergeCell ref="H179:I179"/>
    <mergeCell ref="B180:C180"/>
    <mergeCell ref="D180:E180"/>
    <mergeCell ref="F180:G180"/>
    <mergeCell ref="H180:I180"/>
    <mergeCell ref="B181:C181"/>
    <mergeCell ref="D181:E181"/>
    <mergeCell ref="F181:G181"/>
    <mergeCell ref="H181:I181"/>
    <mergeCell ref="B176:C176"/>
    <mergeCell ref="D176:E176"/>
    <mergeCell ref="F176:G176"/>
    <mergeCell ref="H176:I176"/>
    <mergeCell ref="A177:A178"/>
    <mergeCell ref="B177:C177"/>
    <mergeCell ref="D177:E177"/>
    <mergeCell ref="F177:G177"/>
    <mergeCell ref="H177:I177"/>
    <mergeCell ref="B178:C178"/>
    <mergeCell ref="D178:E178"/>
    <mergeCell ref="F178:G178"/>
    <mergeCell ref="H178:I178"/>
    <mergeCell ref="A170:A176"/>
    <mergeCell ref="B170:C170"/>
    <mergeCell ref="D170:E170"/>
    <mergeCell ref="F170:G170"/>
    <mergeCell ref="H170:I170"/>
    <mergeCell ref="B171:C171"/>
    <mergeCell ref="D171:E171"/>
    <mergeCell ref="F171:G171"/>
    <mergeCell ref="H171:I171"/>
    <mergeCell ref="B172:C172"/>
    <mergeCell ref="D172:E172"/>
    <mergeCell ref="F172:G172"/>
    <mergeCell ref="H172:I172"/>
    <mergeCell ref="B173:C173"/>
    <mergeCell ref="D173:E173"/>
    <mergeCell ref="F173:G173"/>
    <mergeCell ref="H173:I173"/>
    <mergeCell ref="B174:C174"/>
    <mergeCell ref="D174:E174"/>
    <mergeCell ref="H174:I174"/>
    <mergeCell ref="B175:C175"/>
    <mergeCell ref="D175:E175"/>
    <mergeCell ref="F175:G175"/>
    <mergeCell ref="H175:I175"/>
    <mergeCell ref="F12:G12"/>
    <mergeCell ref="F13:G13"/>
    <mergeCell ref="F14:G14"/>
    <mergeCell ref="H10:I10"/>
    <mergeCell ref="H11:I11"/>
    <mergeCell ref="H12:I12"/>
    <mergeCell ref="H13:I13"/>
    <mergeCell ref="H14:I14"/>
    <mergeCell ref="B12:C12"/>
    <mergeCell ref="B13:C13"/>
    <mergeCell ref="H30:I30"/>
    <mergeCell ref="B31:C31"/>
    <mergeCell ref="D31:E31"/>
    <mergeCell ref="F31:G31"/>
    <mergeCell ref="H31:I31"/>
    <mergeCell ref="F11:G11"/>
    <mergeCell ref="H34:I34"/>
    <mergeCell ref="H35:I35"/>
    <mergeCell ref="H32:I32"/>
    <mergeCell ref="H33:I33"/>
    <mergeCell ref="A12:A14"/>
    <mergeCell ref="A3:A9"/>
    <mergeCell ref="D10:E10"/>
    <mergeCell ref="D11:E11"/>
    <mergeCell ref="D12:E12"/>
    <mergeCell ref="D13:E13"/>
    <mergeCell ref="D14:E14"/>
    <mergeCell ref="B3:C3"/>
    <mergeCell ref="D3:E3"/>
    <mergeCell ref="D6:E6"/>
    <mergeCell ref="D7:E7"/>
    <mergeCell ref="D8:E8"/>
    <mergeCell ref="D9:E9"/>
    <mergeCell ref="B4:C4"/>
    <mergeCell ref="B5:C5"/>
    <mergeCell ref="B14:C14"/>
    <mergeCell ref="B6:C6"/>
    <mergeCell ref="B7:C7"/>
    <mergeCell ref="D4:E4"/>
    <mergeCell ref="D5:E5"/>
    <mergeCell ref="B11:C11"/>
    <mergeCell ref="A10:A11"/>
    <mergeCell ref="F4:G4"/>
    <mergeCell ref="F6:G6"/>
    <mergeCell ref="F3:G3"/>
    <mergeCell ref="H3:I3"/>
    <mergeCell ref="B10:C10"/>
    <mergeCell ref="F10:G10"/>
    <mergeCell ref="F9:G9"/>
    <mergeCell ref="H6:I6"/>
    <mergeCell ref="H7:I7"/>
    <mergeCell ref="H8:I8"/>
    <mergeCell ref="H9:I9"/>
    <mergeCell ref="H4:I4"/>
    <mergeCell ref="F5:G5"/>
    <mergeCell ref="H5:I5"/>
    <mergeCell ref="B8:C8"/>
    <mergeCell ref="B9:C9"/>
    <mergeCell ref="F8:G8"/>
    <mergeCell ref="F7:G7"/>
    <mergeCell ref="A30:A38"/>
    <mergeCell ref="B30:C30"/>
    <mergeCell ref="D30:E30"/>
    <mergeCell ref="F30:G30"/>
    <mergeCell ref="B32:C32"/>
    <mergeCell ref="D32:E32"/>
    <mergeCell ref="F32:G32"/>
    <mergeCell ref="B34:C34"/>
    <mergeCell ref="D34:E34"/>
    <mergeCell ref="B38:C38"/>
    <mergeCell ref="D38:E38"/>
    <mergeCell ref="F38:G38"/>
    <mergeCell ref="B36:C36"/>
    <mergeCell ref="B37:C37"/>
    <mergeCell ref="D36:E36"/>
    <mergeCell ref="B35:C35"/>
    <mergeCell ref="D35:E35"/>
    <mergeCell ref="F35:G35"/>
    <mergeCell ref="F34:G34"/>
    <mergeCell ref="B33:C33"/>
    <mergeCell ref="D33:E33"/>
    <mergeCell ref="F33:G33"/>
    <mergeCell ref="D37:E37"/>
    <mergeCell ref="F36:G36"/>
    <mergeCell ref="A39:A40"/>
    <mergeCell ref="B39:C39"/>
    <mergeCell ref="D39:E39"/>
    <mergeCell ref="F39:G39"/>
    <mergeCell ref="H39:I39"/>
    <mergeCell ref="B40:C40"/>
    <mergeCell ref="D40:E40"/>
    <mergeCell ref="F40:G40"/>
    <mergeCell ref="H40:I40"/>
    <mergeCell ref="B42:C42"/>
    <mergeCell ref="D42:E42"/>
    <mergeCell ref="F43:G43"/>
    <mergeCell ref="H42:I42"/>
    <mergeCell ref="B43:C43"/>
    <mergeCell ref="D43:E43"/>
    <mergeCell ref="H43:I43"/>
    <mergeCell ref="F42:G42"/>
    <mergeCell ref="A41:A44"/>
    <mergeCell ref="B44:C44"/>
    <mergeCell ref="D44:E44"/>
    <mergeCell ref="F44:G44"/>
    <mergeCell ref="H44:I44"/>
    <mergeCell ref="B67:C67"/>
    <mergeCell ref="D67:E67"/>
    <mergeCell ref="F67:G67"/>
    <mergeCell ref="H67:I67"/>
    <mergeCell ref="F37:G37"/>
    <mergeCell ref="H36:I36"/>
    <mergeCell ref="H37:I37"/>
    <mergeCell ref="B41:C41"/>
    <mergeCell ref="D41:E41"/>
    <mergeCell ref="F41:G41"/>
    <mergeCell ref="H41:I41"/>
    <mergeCell ref="H38:I38"/>
    <mergeCell ref="B60:C60"/>
    <mergeCell ref="D60:E60"/>
    <mergeCell ref="F60:G60"/>
    <mergeCell ref="H60:I60"/>
    <mergeCell ref="B61:C61"/>
    <mergeCell ref="D61:E61"/>
    <mergeCell ref="F61:G61"/>
    <mergeCell ref="H61:I61"/>
    <mergeCell ref="B62:C62"/>
    <mergeCell ref="B65:C65"/>
    <mergeCell ref="D65:E65"/>
    <mergeCell ref="F65:G65"/>
    <mergeCell ref="A60:A68"/>
    <mergeCell ref="D62:E62"/>
    <mergeCell ref="F62:G62"/>
    <mergeCell ref="H62:I62"/>
    <mergeCell ref="A69:A70"/>
    <mergeCell ref="B69:C69"/>
    <mergeCell ref="D69:E69"/>
    <mergeCell ref="F69:G69"/>
    <mergeCell ref="H69:I69"/>
    <mergeCell ref="B70:C70"/>
    <mergeCell ref="D70:E70"/>
    <mergeCell ref="F70:G70"/>
    <mergeCell ref="H65:I65"/>
    <mergeCell ref="B66:C66"/>
    <mergeCell ref="D66:E66"/>
    <mergeCell ref="F66:G66"/>
    <mergeCell ref="H66:I66"/>
    <mergeCell ref="H63:I63"/>
    <mergeCell ref="B64:C64"/>
    <mergeCell ref="D64:E64"/>
    <mergeCell ref="H64:I64"/>
    <mergeCell ref="B63:C63"/>
    <mergeCell ref="D63:E63"/>
    <mergeCell ref="F63:G63"/>
    <mergeCell ref="H71:I71"/>
    <mergeCell ref="B72:C72"/>
    <mergeCell ref="D72:E72"/>
    <mergeCell ref="F72:G72"/>
    <mergeCell ref="H72:I72"/>
    <mergeCell ref="B68:C68"/>
    <mergeCell ref="D68:E68"/>
    <mergeCell ref="F68:G68"/>
    <mergeCell ref="H68:I68"/>
    <mergeCell ref="H70:I70"/>
    <mergeCell ref="D94:E94"/>
    <mergeCell ref="F94:G94"/>
    <mergeCell ref="H94:I94"/>
    <mergeCell ref="F91:G91"/>
    <mergeCell ref="F71:G71"/>
    <mergeCell ref="H73:I73"/>
    <mergeCell ref="B74:C74"/>
    <mergeCell ref="D74:E74"/>
    <mergeCell ref="F74:G74"/>
    <mergeCell ref="H74:I74"/>
    <mergeCell ref="B90:C90"/>
    <mergeCell ref="D90:E90"/>
    <mergeCell ref="F90:G90"/>
    <mergeCell ref="H90:I90"/>
    <mergeCell ref="B91:C91"/>
    <mergeCell ref="D91:E91"/>
    <mergeCell ref="B93:C93"/>
    <mergeCell ref="D93:E93"/>
    <mergeCell ref="F93:G93"/>
    <mergeCell ref="H93:I93"/>
    <mergeCell ref="H91:I91"/>
    <mergeCell ref="B92:C92"/>
    <mergeCell ref="D92:E92"/>
    <mergeCell ref="D71:E71"/>
    <mergeCell ref="H92:I92"/>
    <mergeCell ref="B73:C73"/>
    <mergeCell ref="D73:E73"/>
    <mergeCell ref="A95:A96"/>
    <mergeCell ref="B95:C95"/>
    <mergeCell ref="D95:E95"/>
    <mergeCell ref="F95:G95"/>
    <mergeCell ref="H95:I95"/>
    <mergeCell ref="B96:C96"/>
    <mergeCell ref="D96:E96"/>
    <mergeCell ref="F96:G96"/>
    <mergeCell ref="H96:I96"/>
    <mergeCell ref="A88:A94"/>
    <mergeCell ref="B88:C88"/>
    <mergeCell ref="D88:E88"/>
    <mergeCell ref="F88:G88"/>
    <mergeCell ref="H88:I88"/>
    <mergeCell ref="B89:C89"/>
    <mergeCell ref="D89:E89"/>
    <mergeCell ref="F89:G89"/>
    <mergeCell ref="H89:I89"/>
    <mergeCell ref="A71:A74"/>
    <mergeCell ref="B71:C71"/>
    <mergeCell ref="B94:C94"/>
    <mergeCell ref="F97:G97"/>
    <mergeCell ref="H97:I97"/>
    <mergeCell ref="B98:C98"/>
    <mergeCell ref="F98:G98"/>
    <mergeCell ref="H98:I98"/>
    <mergeCell ref="B99:C99"/>
    <mergeCell ref="D99:E99"/>
    <mergeCell ref="F99:G99"/>
    <mergeCell ref="H99:I99"/>
    <mergeCell ref="D98:E98"/>
    <mergeCell ref="H118:I118"/>
    <mergeCell ref="B119:C119"/>
    <mergeCell ref="D119:E119"/>
    <mergeCell ref="H119:I119"/>
    <mergeCell ref="B120:C120"/>
    <mergeCell ref="D120:E120"/>
    <mergeCell ref="F120:G120"/>
    <mergeCell ref="H120:I120"/>
    <mergeCell ref="A115:A121"/>
    <mergeCell ref="B115:C115"/>
    <mergeCell ref="D115:E115"/>
    <mergeCell ref="F115:G115"/>
    <mergeCell ref="H115:I115"/>
    <mergeCell ref="B116:C116"/>
    <mergeCell ref="D116:E116"/>
    <mergeCell ref="F116:G116"/>
    <mergeCell ref="H116:I116"/>
    <mergeCell ref="B117:C117"/>
    <mergeCell ref="D117:E117"/>
    <mergeCell ref="F117:G117"/>
    <mergeCell ref="H117:I117"/>
    <mergeCell ref="B118:C118"/>
    <mergeCell ref="D118:E118"/>
    <mergeCell ref="F118:G118"/>
    <mergeCell ref="H121:I121"/>
    <mergeCell ref="A122:A123"/>
    <mergeCell ref="B122:C122"/>
    <mergeCell ref="D122:E122"/>
    <mergeCell ref="F122:G122"/>
    <mergeCell ref="H122:I122"/>
    <mergeCell ref="B123:C123"/>
    <mergeCell ref="D123:E123"/>
    <mergeCell ref="F123:G123"/>
    <mergeCell ref="H123:I123"/>
    <mergeCell ref="H124:I124"/>
    <mergeCell ref="B125:C125"/>
    <mergeCell ref="D125:E125"/>
    <mergeCell ref="F125:G125"/>
    <mergeCell ref="H125:I125"/>
    <mergeCell ref="B126:C126"/>
    <mergeCell ref="D126:E126"/>
    <mergeCell ref="F126:G126"/>
    <mergeCell ref="H126:I126"/>
    <mergeCell ref="H145:I145"/>
    <mergeCell ref="B146:C146"/>
    <mergeCell ref="D146:E146"/>
    <mergeCell ref="H146:I146"/>
    <mergeCell ref="B147:C147"/>
    <mergeCell ref="D147:E147"/>
    <mergeCell ref="F147:G147"/>
    <mergeCell ref="H147:I147"/>
    <mergeCell ref="A142:A148"/>
    <mergeCell ref="B142:C142"/>
    <mergeCell ref="D142:E142"/>
    <mergeCell ref="F142:G142"/>
    <mergeCell ref="H142:I142"/>
    <mergeCell ref="B143:C143"/>
    <mergeCell ref="D143:E143"/>
    <mergeCell ref="F143:G143"/>
    <mergeCell ref="H143:I143"/>
    <mergeCell ref="B144:C144"/>
    <mergeCell ref="D144:E144"/>
    <mergeCell ref="F144:G144"/>
    <mergeCell ref="H144:I144"/>
    <mergeCell ref="B145:C145"/>
    <mergeCell ref="D145:E145"/>
    <mergeCell ref="F145:G145"/>
    <mergeCell ref="H148:I148"/>
    <mergeCell ref="A149:A150"/>
    <mergeCell ref="B149:C149"/>
    <mergeCell ref="D149:E149"/>
    <mergeCell ref="F149:G149"/>
    <mergeCell ref="H149:I149"/>
    <mergeCell ref="B150:C150"/>
    <mergeCell ref="D150:E150"/>
    <mergeCell ref="F150:G150"/>
    <mergeCell ref="H150:I150"/>
    <mergeCell ref="H151:I151"/>
    <mergeCell ref="B152:C152"/>
    <mergeCell ref="D152:E152"/>
    <mergeCell ref="F152:G152"/>
    <mergeCell ref="H152:I152"/>
    <mergeCell ref="B153:C153"/>
    <mergeCell ref="D153:E153"/>
    <mergeCell ref="F153:G153"/>
    <mergeCell ref="H153:I153"/>
    <mergeCell ref="B204:C204"/>
    <mergeCell ref="D204:E204"/>
    <mergeCell ref="F204:G204"/>
    <mergeCell ref="F92:G92"/>
    <mergeCell ref="F119:G119"/>
    <mergeCell ref="F146:G146"/>
    <mergeCell ref="F174:G174"/>
    <mergeCell ref="A151:A153"/>
    <mergeCell ref="B151:C151"/>
    <mergeCell ref="D151:E151"/>
    <mergeCell ref="F151:G151"/>
    <mergeCell ref="B148:C148"/>
    <mergeCell ref="D148:E148"/>
    <mergeCell ref="F148:G148"/>
    <mergeCell ref="A124:A126"/>
    <mergeCell ref="B124:C124"/>
    <mergeCell ref="D124:E124"/>
    <mergeCell ref="F124:G124"/>
    <mergeCell ref="B121:C121"/>
    <mergeCell ref="D121:E121"/>
    <mergeCell ref="F121:G121"/>
    <mergeCell ref="A97:A99"/>
    <mergeCell ref="B97:C97"/>
    <mergeCell ref="D97:E97"/>
    <mergeCell ref="D201:E201"/>
    <mergeCell ref="F201:G201"/>
    <mergeCell ref="H201:I201"/>
    <mergeCell ref="B202:C202"/>
    <mergeCell ref="D202:E202"/>
    <mergeCell ref="F202:G202"/>
    <mergeCell ref="H202:I202"/>
    <mergeCell ref="B203:C203"/>
    <mergeCell ref="D203:E203"/>
    <mergeCell ref="F203:G203"/>
    <mergeCell ref="H203:I203"/>
    <mergeCell ref="H204:I204"/>
    <mergeCell ref="B205:C205"/>
    <mergeCell ref="D205:E205"/>
    <mergeCell ref="F205:G205"/>
    <mergeCell ref="H205:I205"/>
    <mergeCell ref="A206:A207"/>
    <mergeCell ref="B206:C206"/>
    <mergeCell ref="D206:E206"/>
    <mergeCell ref="F206:G206"/>
    <mergeCell ref="H206:I206"/>
    <mergeCell ref="B207:C207"/>
    <mergeCell ref="D207:E207"/>
    <mergeCell ref="F207:G207"/>
    <mergeCell ref="H207:I207"/>
    <mergeCell ref="A199:A205"/>
    <mergeCell ref="B199:C199"/>
    <mergeCell ref="D199:E199"/>
    <mergeCell ref="F199:G199"/>
    <mergeCell ref="H199:I199"/>
    <mergeCell ref="B200:C200"/>
    <mergeCell ref="D200:E200"/>
    <mergeCell ref="F200:G200"/>
    <mergeCell ref="H200:I200"/>
    <mergeCell ref="B201:C201"/>
    <mergeCell ref="A208:A210"/>
    <mergeCell ref="B208:C208"/>
    <mergeCell ref="D208:E208"/>
    <mergeCell ref="F208:G208"/>
    <mergeCell ref="H208:I208"/>
    <mergeCell ref="B209:C209"/>
    <mergeCell ref="D209:E209"/>
    <mergeCell ref="F209:G209"/>
    <mergeCell ref="H209:I209"/>
    <mergeCell ref="B210:C210"/>
    <mergeCell ref="D210:E210"/>
    <mergeCell ref="F210:G210"/>
    <mergeCell ref="H210:I210"/>
  </mergeCells>
  <pageMargins left="0.25" right="0.25" top="0.75" bottom="0.75" header="0.3" footer="0.3"/>
  <pageSetup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M194"/>
  <sheetViews>
    <sheetView view="pageBreakPreview" zoomScale="84" zoomScaleNormal="100" zoomScaleSheetLayoutView="84" workbookViewId="0">
      <selection activeCell="K13" sqref="K13"/>
    </sheetView>
  </sheetViews>
  <sheetFormatPr defaultColWidth="9.1796875" defaultRowHeight="14.5"/>
  <cols>
    <col min="1" max="1" width="11.7265625" style="5" customWidth="1"/>
    <col min="2" max="10" width="13.7265625" style="5" customWidth="1"/>
    <col min="11" max="13" width="11.7265625" style="5" customWidth="1"/>
    <col min="14" max="16384" width="9.1796875" style="5"/>
  </cols>
  <sheetData>
    <row r="1" spans="1:9" ht="21">
      <c r="A1" s="15" t="s">
        <v>6</v>
      </c>
    </row>
    <row r="2" spans="1:9">
      <c r="A2" s="16" t="s">
        <v>190</v>
      </c>
      <c r="B2" s="16"/>
      <c r="C2" s="16"/>
      <c r="D2" s="16"/>
      <c r="E2" s="16"/>
    </row>
    <row r="3" spans="1:9">
      <c r="A3" s="178" t="s">
        <v>186</v>
      </c>
      <c r="B3" s="232" t="s">
        <v>187</v>
      </c>
      <c r="C3" s="232"/>
      <c r="D3" s="232" t="s">
        <v>203</v>
      </c>
      <c r="E3" s="232"/>
      <c r="F3" s="232" t="s">
        <v>188</v>
      </c>
      <c r="G3" s="232"/>
      <c r="H3" s="232" t="s">
        <v>189</v>
      </c>
      <c r="I3" s="232"/>
    </row>
    <row r="4" spans="1:9" ht="42.75" customHeight="1">
      <c r="A4" s="178"/>
      <c r="B4" s="231" t="s">
        <v>54</v>
      </c>
      <c r="C4" s="231"/>
      <c r="D4" s="209" t="s">
        <v>206</v>
      </c>
      <c r="E4" s="209"/>
      <c r="F4" s="209" t="s">
        <v>62</v>
      </c>
      <c r="G4" s="209"/>
      <c r="H4" s="209"/>
      <c r="I4" s="209"/>
    </row>
    <row r="5" spans="1:9" ht="48.75" customHeight="1">
      <c r="A5" s="178"/>
      <c r="B5" s="231" t="s">
        <v>58</v>
      </c>
      <c r="C5" s="231"/>
      <c r="D5" s="209" t="s">
        <v>60</v>
      </c>
      <c r="E5" s="209"/>
      <c r="F5" s="209" t="s">
        <v>66</v>
      </c>
      <c r="G5" s="209"/>
      <c r="H5" s="209" t="s">
        <v>51</v>
      </c>
      <c r="I5" s="209"/>
    </row>
    <row r="6" spans="1:9" ht="28.5" customHeight="1">
      <c r="A6" s="178"/>
      <c r="B6" s="209" t="s">
        <v>84</v>
      </c>
      <c r="C6" s="209"/>
      <c r="D6" s="228" t="s">
        <v>86</v>
      </c>
      <c r="E6" s="228"/>
      <c r="F6" s="209" t="s">
        <v>64</v>
      </c>
      <c r="G6" s="209"/>
      <c r="H6" s="209"/>
      <c r="I6" s="209"/>
    </row>
    <row r="7" spans="1:9" ht="18.75" customHeight="1">
      <c r="A7" s="178"/>
      <c r="B7" s="209" t="s">
        <v>68</v>
      </c>
      <c r="C7" s="209"/>
      <c r="D7" s="209" t="s">
        <v>70</v>
      </c>
      <c r="E7" s="209"/>
      <c r="F7" s="229" t="s">
        <v>51</v>
      </c>
      <c r="G7" s="230"/>
      <c r="H7" s="209"/>
      <c r="I7" s="209"/>
    </row>
    <row r="8" spans="1:9" ht="27.75" customHeight="1">
      <c r="A8" s="178"/>
      <c r="B8" s="209" t="s">
        <v>78</v>
      </c>
      <c r="C8" s="209"/>
      <c r="D8" s="209" t="s">
        <v>194</v>
      </c>
      <c r="E8" s="209"/>
      <c r="F8" s="209" t="s">
        <v>80</v>
      </c>
      <c r="G8" s="209"/>
      <c r="H8" s="209"/>
      <c r="I8" s="209"/>
    </row>
    <row r="9" spans="1:9" ht="32.25" customHeight="1">
      <c r="A9" s="178"/>
      <c r="B9" s="209" t="s">
        <v>82</v>
      </c>
      <c r="C9" s="209"/>
      <c r="D9" s="209" t="s">
        <v>82</v>
      </c>
      <c r="E9" s="209"/>
      <c r="F9" s="209" t="s">
        <v>82</v>
      </c>
      <c r="G9" s="209"/>
      <c r="H9" s="209" t="s">
        <v>82</v>
      </c>
      <c r="I9" s="209"/>
    </row>
    <row r="10" spans="1:9" ht="27.75" customHeight="1">
      <c r="A10" s="173" t="s">
        <v>191</v>
      </c>
      <c r="B10" s="174" t="s">
        <v>63</v>
      </c>
      <c r="C10" s="174"/>
      <c r="D10" s="174" t="s">
        <v>57</v>
      </c>
      <c r="E10" s="174"/>
      <c r="F10" s="174" t="s">
        <v>59</v>
      </c>
      <c r="G10" s="174"/>
      <c r="H10" s="209" t="s">
        <v>55</v>
      </c>
      <c r="I10" s="209"/>
    </row>
    <row r="11" spans="1:9" ht="18.75" customHeight="1">
      <c r="A11" s="173"/>
      <c r="B11" s="174"/>
      <c r="C11" s="174"/>
      <c r="D11" s="174"/>
      <c r="E11" s="174"/>
      <c r="F11" s="174" t="s">
        <v>61</v>
      </c>
      <c r="G11" s="174"/>
      <c r="H11" s="174" t="s">
        <v>65</v>
      </c>
      <c r="I11" s="174"/>
    </row>
    <row r="12" spans="1:9" ht="30.75" customHeight="1">
      <c r="A12" s="173"/>
      <c r="B12" s="174"/>
      <c r="C12" s="174"/>
      <c r="D12" s="174"/>
      <c r="E12" s="174"/>
      <c r="H12" s="209" t="s">
        <v>67</v>
      </c>
      <c r="I12" s="209"/>
    </row>
    <row r="13" spans="1:9" ht="24.75" customHeight="1">
      <c r="A13" s="173" t="s">
        <v>233</v>
      </c>
      <c r="B13" s="174" t="s">
        <v>69</v>
      </c>
      <c r="C13" s="174"/>
      <c r="D13" s="174" t="s">
        <v>71</v>
      </c>
      <c r="E13" s="174"/>
      <c r="F13" s="174" t="s">
        <v>73</v>
      </c>
      <c r="G13" s="174"/>
      <c r="H13" s="174" t="s">
        <v>75</v>
      </c>
      <c r="I13" s="174"/>
    </row>
    <row r="14" spans="1:9" ht="24.75" customHeight="1">
      <c r="A14" s="173"/>
      <c r="B14" s="174" t="s">
        <v>77</v>
      </c>
      <c r="C14" s="174"/>
      <c r="D14" s="174" t="s">
        <v>79</v>
      </c>
      <c r="E14" s="174"/>
      <c r="F14" s="174" t="s">
        <v>81</v>
      </c>
      <c r="G14" s="174"/>
      <c r="H14" s="174" t="s">
        <v>83</v>
      </c>
      <c r="I14" s="174"/>
    </row>
    <row r="15" spans="1:9" ht="24.75" customHeight="1">
      <c r="A15" s="173"/>
      <c r="B15" s="175"/>
      <c r="C15" s="176"/>
      <c r="D15" s="174"/>
      <c r="E15" s="174"/>
      <c r="F15" s="174"/>
      <c r="G15" s="174"/>
      <c r="H15" s="174" t="s">
        <v>85</v>
      </c>
      <c r="I15" s="174"/>
    </row>
    <row r="16" spans="1:9">
      <c r="A16" s="192" t="s">
        <v>236</v>
      </c>
      <c r="B16" s="192"/>
      <c r="C16" s="192" t="s">
        <v>240</v>
      </c>
      <c r="D16" s="192"/>
      <c r="E16" s="30"/>
      <c r="F16" s="192" t="s">
        <v>236</v>
      </c>
      <c r="G16" s="192"/>
      <c r="H16" s="192" t="s">
        <v>240</v>
      </c>
      <c r="I16" s="192"/>
    </row>
    <row r="17" spans="1:9" ht="15" customHeight="1">
      <c r="A17" s="192" t="s">
        <v>59</v>
      </c>
      <c r="B17" s="192"/>
      <c r="C17" s="192" t="s">
        <v>70</v>
      </c>
      <c r="D17" s="192"/>
      <c r="E17" s="30"/>
      <c r="F17" s="193" t="s">
        <v>67</v>
      </c>
      <c r="G17" s="194"/>
      <c r="H17" s="197" t="s">
        <v>57</v>
      </c>
      <c r="I17" s="198"/>
    </row>
    <row r="18" spans="1:9">
      <c r="A18" s="192" t="s">
        <v>79</v>
      </c>
      <c r="B18" s="192"/>
      <c r="C18" s="192" t="s">
        <v>77</v>
      </c>
      <c r="D18" s="192"/>
      <c r="E18" s="30"/>
      <c r="F18" s="195"/>
      <c r="G18" s="196"/>
      <c r="H18" s="197" t="s">
        <v>59</v>
      </c>
      <c r="I18" s="198"/>
    </row>
    <row r="19" spans="1:9">
      <c r="A19" s="192" t="s">
        <v>75</v>
      </c>
      <c r="B19" s="192"/>
      <c r="C19" s="192" t="s">
        <v>73</v>
      </c>
      <c r="D19" s="192"/>
      <c r="E19" s="30"/>
      <c r="F19" s="206"/>
      <c r="G19" s="207"/>
      <c r="H19" s="206"/>
      <c r="I19" s="207"/>
    </row>
    <row r="20" spans="1:9">
      <c r="A20" s="192" t="s">
        <v>83</v>
      </c>
      <c r="B20" s="192"/>
      <c r="C20" s="192" t="s">
        <v>81</v>
      </c>
      <c r="D20" s="192"/>
      <c r="E20" s="30"/>
      <c r="F20" s="206"/>
      <c r="G20" s="207"/>
      <c r="H20" s="206"/>
      <c r="I20" s="207"/>
    </row>
    <row r="21" spans="1:9">
      <c r="A21" s="192" t="s">
        <v>71</v>
      </c>
      <c r="B21" s="192"/>
      <c r="C21" s="192" t="s">
        <v>69</v>
      </c>
      <c r="D21" s="192"/>
      <c r="E21" s="30"/>
      <c r="F21" s="206"/>
      <c r="G21" s="207"/>
      <c r="H21" s="206"/>
      <c r="I21" s="207"/>
    </row>
    <row r="22" spans="1:9" hidden="1">
      <c r="H22" s="206"/>
      <c r="I22" s="207"/>
    </row>
    <row r="23" spans="1:9" hidden="1">
      <c r="H23" s="206"/>
      <c r="I23" s="207"/>
    </row>
    <row r="24" spans="1:9" hidden="1">
      <c r="H24" s="206"/>
      <c r="I24" s="207"/>
    </row>
    <row r="25" spans="1:9" hidden="1">
      <c r="H25" s="206"/>
      <c r="I25" s="207"/>
    </row>
    <row r="26" spans="1:9" hidden="1">
      <c r="H26" s="206"/>
      <c r="I26" s="207"/>
    </row>
    <row r="27" spans="1:9" hidden="1">
      <c r="H27" s="206"/>
      <c r="I27" s="207"/>
    </row>
    <row r="28" spans="1:9" hidden="1">
      <c r="H28" s="206"/>
      <c r="I28" s="207"/>
    </row>
    <row r="29" spans="1:9" hidden="1">
      <c r="H29" s="206"/>
      <c r="I29" s="207"/>
    </row>
    <row r="30" spans="1:9" ht="21">
      <c r="A30" s="15" t="s">
        <v>7</v>
      </c>
    </row>
    <row r="31" spans="1:9">
      <c r="A31" s="16" t="s">
        <v>190</v>
      </c>
      <c r="B31" s="16"/>
      <c r="C31" s="16"/>
      <c r="D31" s="16"/>
      <c r="E31" s="16"/>
    </row>
    <row r="32" spans="1:9">
      <c r="A32" s="178" t="s">
        <v>186</v>
      </c>
      <c r="B32" s="232" t="s">
        <v>187</v>
      </c>
      <c r="C32" s="232"/>
      <c r="D32" s="232" t="s">
        <v>203</v>
      </c>
      <c r="E32" s="232"/>
      <c r="F32" s="232" t="s">
        <v>188</v>
      </c>
      <c r="G32" s="232"/>
      <c r="H32" s="232" t="s">
        <v>189</v>
      </c>
      <c r="I32" s="232"/>
    </row>
    <row r="33" spans="1:9" ht="29.25" customHeight="1">
      <c r="A33" s="178"/>
      <c r="B33" s="191" t="s">
        <v>54</v>
      </c>
      <c r="C33" s="191"/>
      <c r="D33" s="209" t="s">
        <v>206</v>
      </c>
      <c r="E33" s="209"/>
      <c r="F33" s="209" t="s">
        <v>64</v>
      </c>
      <c r="G33" s="209"/>
      <c r="H33" s="174"/>
      <c r="I33" s="174"/>
    </row>
    <row r="34" spans="1:9" ht="44.25" customHeight="1">
      <c r="A34" s="178"/>
      <c r="B34" s="231" t="s">
        <v>58</v>
      </c>
      <c r="C34" s="231"/>
      <c r="D34" s="209" t="s">
        <v>60</v>
      </c>
      <c r="E34" s="209"/>
      <c r="F34" s="209" t="s">
        <v>80</v>
      </c>
      <c r="G34" s="209"/>
      <c r="H34" s="174"/>
      <c r="I34" s="174"/>
    </row>
    <row r="35" spans="1:9">
      <c r="A35" s="178"/>
      <c r="B35" s="209" t="s">
        <v>72</v>
      </c>
      <c r="C35" s="209"/>
      <c r="D35" s="209" t="s">
        <v>74</v>
      </c>
      <c r="E35" s="209"/>
      <c r="F35" s="175"/>
      <c r="G35" s="176"/>
      <c r="H35" s="174"/>
      <c r="I35" s="174"/>
    </row>
    <row r="36" spans="1:9">
      <c r="A36" s="178"/>
      <c r="B36" s="209" t="s">
        <v>68</v>
      </c>
      <c r="C36" s="209"/>
      <c r="D36" s="209" t="s">
        <v>70</v>
      </c>
      <c r="E36" s="209"/>
      <c r="F36" s="175" t="s">
        <v>51</v>
      </c>
      <c r="G36" s="176"/>
      <c r="H36" s="174"/>
      <c r="I36" s="174"/>
    </row>
    <row r="37" spans="1:9" ht="27" customHeight="1">
      <c r="A37" s="178"/>
      <c r="B37" s="209" t="s">
        <v>78</v>
      </c>
      <c r="C37" s="209"/>
      <c r="D37" s="209" t="s">
        <v>194</v>
      </c>
      <c r="E37" s="209"/>
      <c r="F37" s="175"/>
      <c r="G37" s="176"/>
      <c r="H37" s="174"/>
      <c r="I37" s="174"/>
    </row>
    <row r="38" spans="1:9" ht="43.5" customHeight="1">
      <c r="A38" s="178"/>
      <c r="B38" s="209" t="s">
        <v>207</v>
      </c>
      <c r="C38" s="209"/>
      <c r="D38" s="175"/>
      <c r="E38" s="176"/>
      <c r="F38" s="175" t="s">
        <v>51</v>
      </c>
      <c r="G38" s="176"/>
      <c r="H38" s="174"/>
      <c r="I38" s="174"/>
    </row>
    <row r="39" spans="1:9" ht="24" customHeight="1">
      <c r="A39" s="178"/>
      <c r="B39" s="233" t="s">
        <v>66</v>
      </c>
      <c r="C39" s="233"/>
      <c r="D39" s="175"/>
      <c r="E39" s="176"/>
      <c r="F39" s="175"/>
      <c r="G39" s="176"/>
      <c r="H39" s="174"/>
      <c r="I39" s="174"/>
    </row>
    <row r="40" spans="1:9">
      <c r="A40" s="178"/>
      <c r="B40" s="209" t="s">
        <v>82</v>
      </c>
      <c r="C40" s="209"/>
      <c r="D40" s="209" t="s">
        <v>82</v>
      </c>
      <c r="E40" s="209"/>
      <c r="F40" s="209" t="s">
        <v>82</v>
      </c>
      <c r="G40" s="209"/>
      <c r="H40" s="209" t="s">
        <v>82</v>
      </c>
      <c r="I40" s="209"/>
    </row>
    <row r="41" spans="1:9" ht="33" customHeight="1">
      <c r="A41" s="240" t="s">
        <v>191</v>
      </c>
      <c r="B41" s="174" t="s">
        <v>63</v>
      </c>
      <c r="C41" s="174"/>
      <c r="D41" s="174" t="s">
        <v>57</v>
      </c>
      <c r="E41" s="174"/>
      <c r="F41" s="174" t="s">
        <v>59</v>
      </c>
      <c r="G41" s="174"/>
      <c r="H41" s="209" t="s">
        <v>55</v>
      </c>
      <c r="I41" s="209"/>
    </row>
    <row r="42" spans="1:9" ht="19.5" customHeight="1">
      <c r="A42" s="241"/>
      <c r="B42" s="174"/>
      <c r="C42" s="174"/>
      <c r="D42" s="174"/>
      <c r="E42" s="174"/>
      <c r="F42" s="174" t="s">
        <v>61</v>
      </c>
      <c r="G42" s="174"/>
      <c r="H42" s="174" t="s">
        <v>65</v>
      </c>
      <c r="I42" s="174"/>
    </row>
    <row r="43" spans="1:9" ht="42.75" customHeight="1">
      <c r="A43" s="242"/>
      <c r="B43" s="174"/>
      <c r="C43" s="174"/>
      <c r="D43" s="174"/>
      <c r="E43" s="174"/>
      <c r="F43" s="175"/>
      <c r="G43" s="176"/>
      <c r="H43" s="209" t="s">
        <v>67</v>
      </c>
      <c r="I43" s="209"/>
    </row>
    <row r="44" spans="1:9" ht="47.25" customHeight="1">
      <c r="A44" s="188" t="s">
        <v>192</v>
      </c>
      <c r="B44" s="174"/>
      <c r="C44" s="174"/>
      <c r="D44" s="174" t="s">
        <v>87</v>
      </c>
      <c r="E44" s="174"/>
      <c r="F44" s="209" t="s">
        <v>90</v>
      </c>
      <c r="G44" s="209"/>
      <c r="H44" s="209" t="s">
        <v>239</v>
      </c>
      <c r="I44" s="209"/>
    </row>
    <row r="45" spans="1:9" ht="36" customHeight="1">
      <c r="A45" s="189"/>
      <c r="B45" s="174"/>
      <c r="C45" s="174"/>
      <c r="D45" s="209" t="s">
        <v>237</v>
      </c>
      <c r="E45" s="209"/>
      <c r="F45" s="175" t="s">
        <v>200</v>
      </c>
      <c r="G45" s="176"/>
      <c r="H45" s="209" t="s">
        <v>93</v>
      </c>
      <c r="I45" s="209"/>
    </row>
    <row r="46" spans="1:9" ht="29.25" customHeight="1">
      <c r="A46" s="189"/>
      <c r="B46" s="175"/>
      <c r="C46" s="176"/>
      <c r="D46" s="174"/>
      <c r="E46" s="174"/>
      <c r="F46" s="209" t="s">
        <v>91</v>
      </c>
      <c r="G46" s="209"/>
      <c r="H46" s="234" t="s">
        <v>252</v>
      </c>
      <c r="I46" s="235"/>
    </row>
    <row r="47" spans="1:9" ht="29.25" customHeight="1">
      <c r="A47" s="190"/>
      <c r="B47" s="175"/>
      <c r="C47" s="176"/>
      <c r="D47" s="174"/>
      <c r="E47" s="174"/>
      <c r="F47" s="209" t="s">
        <v>238</v>
      </c>
      <c r="G47" s="209"/>
      <c r="H47" s="174"/>
      <c r="I47" s="174"/>
    </row>
    <row r="48" spans="1:9" ht="15.75" customHeight="1">
      <c r="A48" s="192" t="s">
        <v>236</v>
      </c>
      <c r="B48" s="192"/>
      <c r="C48" s="192" t="s">
        <v>240</v>
      </c>
      <c r="D48" s="192"/>
      <c r="F48" s="192" t="s">
        <v>236</v>
      </c>
      <c r="G48" s="192"/>
      <c r="H48" s="192" t="s">
        <v>240</v>
      </c>
      <c r="I48" s="192"/>
    </row>
    <row r="49" spans="1:9" ht="15.75" customHeight="1">
      <c r="A49" s="192" t="s">
        <v>59</v>
      </c>
      <c r="B49" s="192"/>
      <c r="C49" s="192" t="s">
        <v>70</v>
      </c>
      <c r="D49" s="192"/>
      <c r="F49" s="208" t="s">
        <v>67</v>
      </c>
      <c r="G49" s="208"/>
      <c r="H49" s="192" t="s">
        <v>57</v>
      </c>
      <c r="I49" s="192"/>
    </row>
    <row r="50" spans="1:9" ht="15.75" customHeight="1">
      <c r="A50" s="219" t="s">
        <v>87</v>
      </c>
      <c r="B50" s="219"/>
      <c r="C50" s="219" t="s">
        <v>185</v>
      </c>
      <c r="D50" s="219"/>
      <c r="E50" s="14"/>
      <c r="F50" s="208"/>
      <c r="G50" s="208"/>
      <c r="H50" s="192" t="s">
        <v>59</v>
      </c>
      <c r="I50" s="192"/>
    </row>
    <row r="51" spans="1:9" ht="15.75" customHeight="1">
      <c r="A51" s="192" t="s">
        <v>88</v>
      </c>
      <c r="B51" s="192"/>
      <c r="C51" s="222" t="s">
        <v>87</v>
      </c>
      <c r="D51" s="222"/>
      <c r="E51" s="14"/>
      <c r="F51" s="209"/>
      <c r="G51" s="209"/>
      <c r="H51" s="174"/>
      <c r="I51" s="174"/>
    </row>
    <row r="52" spans="1:9" ht="15.75" customHeight="1">
      <c r="A52" s="192" t="s">
        <v>141</v>
      </c>
      <c r="B52" s="192"/>
      <c r="C52" s="192" t="s">
        <v>129</v>
      </c>
      <c r="D52" s="192"/>
      <c r="F52" s="209"/>
      <c r="G52" s="209"/>
      <c r="H52" s="174" t="s">
        <v>51</v>
      </c>
      <c r="I52" s="174"/>
    </row>
    <row r="53" spans="1:9" ht="15.75" customHeight="1">
      <c r="A53" s="192" t="s">
        <v>143</v>
      </c>
      <c r="B53" s="192"/>
      <c r="C53" s="192" t="s">
        <v>121</v>
      </c>
      <c r="D53" s="192"/>
      <c r="F53" s="209"/>
      <c r="G53" s="209"/>
      <c r="H53" s="174"/>
      <c r="I53" s="174"/>
    </row>
    <row r="54" spans="1:9" ht="15.75" hidden="1" customHeight="1">
      <c r="A54" s="220"/>
      <c r="B54" s="220"/>
      <c r="C54" s="14"/>
      <c r="D54" s="221"/>
      <c r="E54" s="221"/>
      <c r="F54" s="29"/>
      <c r="G54" s="29"/>
      <c r="H54" s="14"/>
      <c r="I54" s="14"/>
    </row>
    <row r="55" spans="1:9" ht="21.75" hidden="1" customHeight="1">
      <c r="A55" s="31"/>
      <c r="B55" s="31"/>
      <c r="C55" s="14"/>
      <c r="D55" s="220"/>
      <c r="E55" s="220"/>
      <c r="F55" s="29"/>
      <c r="G55" s="29"/>
      <c r="H55" s="14"/>
      <c r="I55" s="14"/>
    </row>
    <row r="56" spans="1:9" ht="21">
      <c r="A56" s="15" t="s">
        <v>9</v>
      </c>
    </row>
    <row r="57" spans="1:9">
      <c r="A57" s="16" t="s">
        <v>190</v>
      </c>
      <c r="B57" s="16"/>
      <c r="C57" s="16"/>
      <c r="D57" s="16"/>
      <c r="E57" s="16"/>
    </row>
    <row r="58" spans="1:9">
      <c r="A58" s="186" t="s">
        <v>186</v>
      </c>
      <c r="B58" s="174" t="s">
        <v>187</v>
      </c>
      <c r="C58" s="174"/>
      <c r="D58" s="174" t="s">
        <v>203</v>
      </c>
      <c r="E58" s="174"/>
      <c r="F58" s="174" t="s">
        <v>188</v>
      </c>
      <c r="G58" s="174"/>
      <c r="H58" s="174" t="s">
        <v>189</v>
      </c>
      <c r="I58" s="174"/>
    </row>
    <row r="59" spans="1:9" ht="39.75" customHeight="1">
      <c r="A59" s="186"/>
      <c r="B59" s="231" t="s">
        <v>54</v>
      </c>
      <c r="C59" s="231"/>
      <c r="D59" s="209" t="s">
        <v>206</v>
      </c>
      <c r="E59" s="209"/>
      <c r="F59" s="236" t="s">
        <v>62</v>
      </c>
      <c r="G59" s="236"/>
      <c r="H59" s="174"/>
      <c r="I59" s="174"/>
    </row>
    <row r="60" spans="1:9" ht="48" customHeight="1">
      <c r="A60" s="186"/>
      <c r="B60" s="231" t="s">
        <v>58</v>
      </c>
      <c r="C60" s="231"/>
      <c r="D60" s="209" t="s">
        <v>60</v>
      </c>
      <c r="E60" s="209"/>
      <c r="F60" s="209" t="s">
        <v>66</v>
      </c>
      <c r="G60" s="209"/>
      <c r="H60" s="174"/>
      <c r="I60" s="174"/>
    </row>
    <row r="61" spans="1:9" ht="29.25" customHeight="1">
      <c r="A61" s="186"/>
      <c r="B61" s="209" t="s">
        <v>72</v>
      </c>
      <c r="C61" s="209"/>
      <c r="D61" s="209" t="s">
        <v>74</v>
      </c>
      <c r="E61" s="209"/>
      <c r="F61" s="209" t="s">
        <v>64</v>
      </c>
      <c r="G61" s="209"/>
      <c r="H61" s="174"/>
      <c r="I61" s="174"/>
    </row>
    <row r="62" spans="1:9">
      <c r="A62" s="186"/>
      <c r="B62" s="209" t="s">
        <v>68</v>
      </c>
      <c r="C62" s="209"/>
      <c r="D62" s="209" t="s">
        <v>70</v>
      </c>
      <c r="E62" s="209"/>
      <c r="F62" s="229" t="s">
        <v>51</v>
      </c>
      <c r="G62" s="230"/>
      <c r="H62" s="174"/>
      <c r="I62" s="174"/>
    </row>
    <row r="63" spans="1:9" ht="48" customHeight="1">
      <c r="A63" s="186"/>
      <c r="B63" s="209" t="s">
        <v>78</v>
      </c>
      <c r="C63" s="209"/>
      <c r="D63" s="209" t="s">
        <v>194</v>
      </c>
      <c r="E63" s="209"/>
      <c r="F63" s="236" t="s">
        <v>80</v>
      </c>
      <c r="G63" s="236"/>
      <c r="H63" s="174"/>
      <c r="I63" s="174"/>
    </row>
    <row r="64" spans="1:9">
      <c r="A64" s="186"/>
      <c r="B64" s="209" t="s">
        <v>82</v>
      </c>
      <c r="C64" s="209"/>
      <c r="D64" s="209" t="s">
        <v>82</v>
      </c>
      <c r="E64" s="209"/>
      <c r="F64" s="209" t="s">
        <v>82</v>
      </c>
      <c r="G64" s="209"/>
      <c r="H64" s="209" t="s">
        <v>82</v>
      </c>
      <c r="I64" s="209"/>
    </row>
    <row r="65" spans="1:13" ht="33" customHeight="1">
      <c r="A65" s="223" t="s">
        <v>191</v>
      </c>
      <c r="B65" s="174" t="s">
        <v>63</v>
      </c>
      <c r="C65" s="174"/>
      <c r="D65" s="174" t="s">
        <v>57</v>
      </c>
      <c r="E65" s="174"/>
      <c r="F65" s="174" t="s">
        <v>59</v>
      </c>
      <c r="G65" s="174"/>
      <c r="H65" s="209" t="s">
        <v>55</v>
      </c>
      <c r="I65" s="209"/>
    </row>
    <row r="66" spans="1:13" ht="20.25" customHeight="1">
      <c r="A66" s="224"/>
      <c r="B66" s="174"/>
      <c r="C66" s="174"/>
      <c r="D66" s="174"/>
      <c r="E66" s="174"/>
      <c r="F66" s="174" t="s">
        <v>61</v>
      </c>
      <c r="G66" s="174"/>
      <c r="H66" s="174" t="s">
        <v>65</v>
      </c>
      <c r="I66" s="174"/>
    </row>
    <row r="67" spans="1:13" ht="45.75" customHeight="1">
      <c r="A67" s="225"/>
      <c r="B67" s="174"/>
      <c r="C67" s="174"/>
      <c r="D67" s="174"/>
      <c r="E67" s="174"/>
      <c r="H67" s="209" t="s">
        <v>67</v>
      </c>
      <c r="I67" s="209"/>
    </row>
    <row r="68" spans="1:13" ht="50.25" customHeight="1">
      <c r="A68" s="183" t="s">
        <v>233</v>
      </c>
      <c r="B68" s="174" t="s">
        <v>96</v>
      </c>
      <c r="C68" s="174"/>
      <c r="D68" s="236" t="s">
        <v>245</v>
      </c>
      <c r="E68" s="236"/>
      <c r="F68" s="209" t="s">
        <v>241</v>
      </c>
      <c r="G68" s="209"/>
      <c r="H68" s="174" t="s">
        <v>97</v>
      </c>
      <c r="I68" s="174"/>
      <c r="M68" s="5" t="s">
        <v>51</v>
      </c>
    </row>
    <row r="69" spans="1:13" ht="39.75" customHeight="1">
      <c r="A69" s="184"/>
      <c r="B69" s="237" t="s">
        <v>226</v>
      </c>
      <c r="C69" s="237"/>
      <c r="D69" s="228" t="s">
        <v>86</v>
      </c>
      <c r="E69" s="228"/>
      <c r="F69" s="238" t="s">
        <v>270</v>
      </c>
      <c r="G69" s="239"/>
      <c r="H69" s="238" t="s">
        <v>270</v>
      </c>
      <c r="I69" s="239"/>
      <c r="L69" s="5" t="s">
        <v>51</v>
      </c>
    </row>
    <row r="70" spans="1:13" ht="24.75" customHeight="1">
      <c r="A70" s="184"/>
      <c r="B70" s="175"/>
      <c r="C70" s="176"/>
      <c r="D70" s="174"/>
      <c r="E70" s="174"/>
      <c r="F70" s="27"/>
      <c r="G70" s="28"/>
      <c r="H70" s="174" t="s">
        <v>100</v>
      </c>
      <c r="I70" s="174"/>
    </row>
    <row r="71" spans="1:13" ht="24.75" hidden="1" customHeight="1">
      <c r="A71" s="185"/>
      <c r="B71" s="175"/>
      <c r="C71" s="176"/>
      <c r="D71" s="174"/>
      <c r="E71" s="174"/>
      <c r="F71" s="174"/>
      <c r="G71" s="174"/>
      <c r="H71" s="174"/>
      <c r="I71" s="174"/>
    </row>
    <row r="72" spans="1:13">
      <c r="A72" s="192" t="s">
        <v>236</v>
      </c>
      <c r="B72" s="192"/>
      <c r="C72" s="192" t="s">
        <v>240</v>
      </c>
      <c r="D72" s="192"/>
      <c r="F72" s="192" t="s">
        <v>236</v>
      </c>
      <c r="G72" s="192"/>
      <c r="H72" s="192" t="s">
        <v>240</v>
      </c>
      <c r="I72" s="192"/>
    </row>
    <row r="73" spans="1:13">
      <c r="A73" s="192" t="s">
        <v>59</v>
      </c>
      <c r="B73" s="192"/>
      <c r="C73" s="192" t="s">
        <v>70</v>
      </c>
      <c r="D73" s="192"/>
      <c r="F73" s="193" t="s">
        <v>67</v>
      </c>
      <c r="G73" s="194"/>
      <c r="H73" s="197" t="s">
        <v>57</v>
      </c>
      <c r="I73" s="198"/>
    </row>
    <row r="74" spans="1:13">
      <c r="A74" s="215" t="s">
        <v>87</v>
      </c>
      <c r="B74" s="215"/>
      <c r="C74" s="215" t="s">
        <v>185</v>
      </c>
      <c r="D74" s="215"/>
      <c r="E74" s="5" t="s">
        <v>51</v>
      </c>
      <c r="F74" s="195"/>
      <c r="G74" s="196"/>
      <c r="H74" s="192" t="s">
        <v>59</v>
      </c>
      <c r="I74" s="192"/>
    </row>
    <row r="75" spans="1:13">
      <c r="A75" s="216" t="s">
        <v>143</v>
      </c>
      <c r="B75" s="217"/>
      <c r="C75" s="218" t="s">
        <v>121</v>
      </c>
      <c r="D75" s="217"/>
      <c r="F75" s="212" t="s">
        <v>244</v>
      </c>
      <c r="G75" s="213"/>
      <c r="H75" s="213"/>
      <c r="I75" s="214"/>
    </row>
    <row r="76" spans="1:13">
      <c r="A76" s="211" t="s">
        <v>242</v>
      </c>
      <c r="B76" s="211"/>
      <c r="C76" s="211"/>
      <c r="D76" s="207"/>
      <c r="F76" s="209"/>
      <c r="G76" s="209"/>
      <c r="H76" s="174" t="s">
        <v>51</v>
      </c>
      <c r="I76" s="174"/>
    </row>
    <row r="77" spans="1:13">
      <c r="A77" s="211" t="s">
        <v>243</v>
      </c>
      <c r="B77" s="211"/>
      <c r="C77" s="211"/>
      <c r="D77" s="207"/>
      <c r="F77" s="209"/>
      <c r="G77" s="209"/>
      <c r="H77" s="174"/>
      <c r="I77" s="174"/>
    </row>
    <row r="78" spans="1:13" ht="21">
      <c r="A78" s="15" t="s">
        <v>9</v>
      </c>
      <c r="B78" s="5" t="s">
        <v>234</v>
      </c>
    </row>
    <row r="79" spans="1:13">
      <c r="A79" s="16" t="s">
        <v>190</v>
      </c>
      <c r="B79" s="16"/>
      <c r="C79" s="16"/>
      <c r="D79" s="16"/>
      <c r="E79" s="16"/>
    </row>
    <row r="80" spans="1:13">
      <c r="A80" s="186" t="s">
        <v>186</v>
      </c>
      <c r="B80" s="174" t="s">
        <v>187</v>
      </c>
      <c r="C80" s="174"/>
      <c r="D80" s="174" t="s">
        <v>203</v>
      </c>
      <c r="E80" s="174"/>
      <c r="F80" s="174" t="s">
        <v>188</v>
      </c>
      <c r="G80" s="174"/>
      <c r="H80" s="174" t="s">
        <v>189</v>
      </c>
      <c r="I80" s="174"/>
      <c r="M80" s="5" t="s">
        <v>51</v>
      </c>
    </row>
    <row r="81" spans="1:9" ht="45" customHeight="1">
      <c r="A81" s="186"/>
      <c r="B81" s="231" t="s">
        <v>54</v>
      </c>
      <c r="C81" s="231"/>
      <c r="D81" s="209" t="s">
        <v>206</v>
      </c>
      <c r="E81" s="209"/>
      <c r="F81" s="209" t="s">
        <v>62</v>
      </c>
      <c r="G81" s="209"/>
      <c r="H81" s="174"/>
      <c r="I81" s="174"/>
    </row>
    <row r="82" spans="1:9" ht="45" customHeight="1">
      <c r="A82" s="186"/>
      <c r="B82" s="231" t="s">
        <v>58</v>
      </c>
      <c r="C82" s="231"/>
      <c r="D82" s="209" t="s">
        <v>60</v>
      </c>
      <c r="E82" s="209"/>
      <c r="F82" s="209" t="s">
        <v>66</v>
      </c>
      <c r="G82" s="209"/>
      <c r="H82" s="174"/>
      <c r="I82" s="174"/>
    </row>
    <row r="83" spans="1:9" ht="39.75" customHeight="1">
      <c r="A83" s="186"/>
      <c r="B83" s="209" t="s">
        <v>72</v>
      </c>
      <c r="C83" s="209"/>
      <c r="D83" s="209" t="s">
        <v>74</v>
      </c>
      <c r="E83" s="209"/>
      <c r="F83" s="209" t="s">
        <v>64</v>
      </c>
      <c r="G83" s="209"/>
      <c r="H83" s="174"/>
      <c r="I83" s="174"/>
    </row>
    <row r="84" spans="1:9" ht="23.25" customHeight="1">
      <c r="A84" s="186"/>
      <c r="B84" s="209" t="s">
        <v>68</v>
      </c>
      <c r="C84" s="209"/>
      <c r="D84" s="209" t="s">
        <v>70</v>
      </c>
      <c r="E84" s="209"/>
      <c r="F84" s="229" t="s">
        <v>51</v>
      </c>
      <c r="G84" s="230"/>
      <c r="H84" s="174"/>
      <c r="I84" s="174"/>
    </row>
    <row r="85" spans="1:9" ht="45" customHeight="1">
      <c r="A85" s="186"/>
      <c r="B85" s="209" t="s">
        <v>78</v>
      </c>
      <c r="C85" s="209"/>
      <c r="D85" s="209" t="s">
        <v>194</v>
      </c>
      <c r="E85" s="209"/>
      <c r="F85" s="209" t="s">
        <v>80</v>
      </c>
      <c r="G85" s="209"/>
      <c r="H85" s="174"/>
      <c r="I85" s="174"/>
    </row>
    <row r="86" spans="1:9" ht="45" customHeight="1">
      <c r="A86" s="186"/>
      <c r="B86" s="209" t="s">
        <v>82</v>
      </c>
      <c r="C86" s="209"/>
      <c r="D86" s="209" t="s">
        <v>82</v>
      </c>
      <c r="E86" s="209"/>
      <c r="F86" s="209" t="s">
        <v>82</v>
      </c>
      <c r="G86" s="209"/>
      <c r="H86" s="209" t="s">
        <v>82</v>
      </c>
      <c r="I86" s="209"/>
    </row>
    <row r="87" spans="1:9" ht="30.75" customHeight="1">
      <c r="A87" s="223" t="s">
        <v>191</v>
      </c>
      <c r="B87" s="174" t="s">
        <v>63</v>
      </c>
      <c r="C87" s="174"/>
      <c r="D87" s="174" t="s">
        <v>57</v>
      </c>
      <c r="E87" s="174"/>
      <c r="F87" s="174" t="s">
        <v>59</v>
      </c>
      <c r="G87" s="174"/>
      <c r="H87" s="209" t="s">
        <v>55</v>
      </c>
      <c r="I87" s="209"/>
    </row>
    <row r="88" spans="1:9" ht="30.75" customHeight="1">
      <c r="A88" s="224"/>
      <c r="B88" s="174"/>
      <c r="C88" s="174"/>
      <c r="D88" s="174"/>
      <c r="E88" s="174"/>
      <c r="F88" s="174" t="s">
        <v>61</v>
      </c>
      <c r="G88" s="174"/>
      <c r="H88" s="174" t="s">
        <v>65</v>
      </c>
      <c r="I88" s="174"/>
    </row>
    <row r="89" spans="1:9" ht="30.75" customHeight="1">
      <c r="A89" s="225"/>
      <c r="B89" s="174"/>
      <c r="C89" s="174"/>
      <c r="D89" s="174"/>
      <c r="E89" s="174"/>
      <c r="H89" s="209" t="s">
        <v>67</v>
      </c>
      <c r="I89" s="209"/>
    </row>
    <row r="90" spans="1:9" ht="43.5" customHeight="1">
      <c r="A90" s="226" t="s">
        <v>233</v>
      </c>
      <c r="B90" s="174" t="s">
        <v>96</v>
      </c>
      <c r="C90" s="174"/>
      <c r="D90" s="227" t="s">
        <v>226</v>
      </c>
      <c r="E90" s="227"/>
      <c r="F90" s="209" t="s">
        <v>241</v>
      </c>
      <c r="G90" s="209"/>
      <c r="H90" s="209" t="s">
        <v>239</v>
      </c>
      <c r="I90" s="209"/>
    </row>
    <row r="91" spans="1:9" ht="30.75" customHeight="1">
      <c r="A91" s="226"/>
      <c r="B91" s="209" t="s">
        <v>97</v>
      </c>
      <c r="C91" s="209"/>
      <c r="D91" s="209" t="s">
        <v>86</v>
      </c>
      <c r="E91" s="209"/>
      <c r="F91" s="228" t="s">
        <v>235</v>
      </c>
      <c r="G91" s="228"/>
      <c r="H91" s="228" t="s">
        <v>235</v>
      </c>
      <c r="I91" s="228"/>
    </row>
    <row r="92" spans="1:9" ht="22.5" customHeight="1">
      <c r="A92" s="226"/>
      <c r="B92" s="175"/>
      <c r="C92" s="176"/>
      <c r="D92" s="174"/>
      <c r="E92" s="174"/>
      <c r="F92" s="209"/>
      <c r="G92" s="209"/>
      <c r="H92" s="174" t="s">
        <v>100</v>
      </c>
      <c r="I92" s="174"/>
    </row>
    <row r="93" spans="1:9" ht="30.75" hidden="1" customHeight="1">
      <c r="A93" s="226"/>
      <c r="B93" s="175"/>
      <c r="C93" s="176"/>
      <c r="D93" s="227"/>
      <c r="E93" s="227"/>
      <c r="F93" s="174"/>
      <c r="G93" s="174"/>
      <c r="H93" s="174"/>
      <c r="I93" s="174"/>
    </row>
    <row r="94" spans="1:9">
      <c r="A94" s="192" t="s">
        <v>236</v>
      </c>
      <c r="B94" s="192"/>
      <c r="C94" s="192" t="s">
        <v>240</v>
      </c>
      <c r="D94" s="192"/>
      <c r="F94" s="192" t="s">
        <v>236</v>
      </c>
      <c r="G94" s="192"/>
      <c r="H94" s="192" t="s">
        <v>240</v>
      </c>
      <c r="I94" s="192"/>
    </row>
    <row r="95" spans="1:9" ht="15" customHeight="1">
      <c r="A95" s="192" t="s">
        <v>59</v>
      </c>
      <c r="B95" s="192"/>
      <c r="C95" s="192" t="s">
        <v>70</v>
      </c>
      <c r="D95" s="192"/>
      <c r="F95" s="192" t="s">
        <v>242</v>
      </c>
      <c r="G95" s="192"/>
      <c r="H95" s="192"/>
      <c r="I95" s="192"/>
    </row>
    <row r="96" spans="1:9">
      <c r="A96" s="210" t="s">
        <v>87</v>
      </c>
      <c r="B96" s="210"/>
      <c r="C96" s="210" t="s">
        <v>185</v>
      </c>
      <c r="D96" s="210"/>
      <c r="E96" s="5" t="s">
        <v>51</v>
      </c>
      <c r="F96" s="192" t="s">
        <v>243</v>
      </c>
      <c r="G96" s="192"/>
      <c r="H96" s="192"/>
      <c r="I96" s="192"/>
    </row>
    <row r="97" spans="1:11" ht="15" customHeight="1">
      <c r="A97" s="192" t="s">
        <v>143</v>
      </c>
      <c r="B97" s="192"/>
      <c r="C97" s="206" t="s">
        <v>121</v>
      </c>
      <c r="D97" s="207"/>
      <c r="F97" s="208" t="s">
        <v>244</v>
      </c>
      <c r="G97" s="208"/>
      <c r="H97" s="208"/>
      <c r="I97" s="208"/>
    </row>
    <row r="98" spans="1:11">
      <c r="A98" s="193" t="s">
        <v>67</v>
      </c>
      <c r="B98" s="194"/>
      <c r="C98" s="197" t="s">
        <v>57</v>
      </c>
      <c r="D98" s="198"/>
      <c r="E98" s="5" t="s">
        <v>51</v>
      </c>
      <c r="F98" s="209"/>
      <c r="G98" s="209"/>
      <c r="H98" s="174" t="s">
        <v>51</v>
      </c>
      <c r="I98" s="174"/>
    </row>
    <row r="99" spans="1:11" ht="15.75" customHeight="1">
      <c r="A99" s="195"/>
      <c r="B99" s="196"/>
      <c r="C99" s="192" t="s">
        <v>59</v>
      </c>
      <c r="D99" s="192"/>
      <c r="F99" s="209"/>
      <c r="G99" s="209"/>
      <c r="H99" s="174"/>
      <c r="I99" s="174"/>
      <c r="K99" s="5" t="s">
        <v>51</v>
      </c>
    </row>
    <row r="100" spans="1:11" hidden="1"/>
    <row r="101" spans="1:11" ht="15" hidden="1" customHeight="1"/>
    <row r="102" spans="1:11" ht="15" hidden="1" customHeight="1"/>
    <row r="103" spans="1:11" ht="15" hidden="1" customHeight="1"/>
    <row r="104" spans="1:11" ht="15" hidden="1" customHeight="1"/>
    <row r="105" spans="1:11" ht="15" customHeight="1">
      <c r="A105" s="15" t="s">
        <v>204</v>
      </c>
    </row>
    <row r="106" spans="1:11" ht="15" customHeight="1">
      <c r="A106" s="16" t="s">
        <v>190</v>
      </c>
      <c r="B106" s="16"/>
      <c r="C106" s="16"/>
      <c r="D106" s="16"/>
      <c r="E106" s="16"/>
    </row>
    <row r="107" spans="1:11" ht="15" customHeight="1">
      <c r="A107" s="201" t="s">
        <v>186</v>
      </c>
      <c r="B107" s="204" t="s">
        <v>187</v>
      </c>
      <c r="C107" s="205"/>
      <c r="D107" s="204" t="s">
        <v>203</v>
      </c>
      <c r="E107" s="205"/>
      <c r="F107" s="204" t="s">
        <v>188</v>
      </c>
      <c r="G107" s="205"/>
      <c r="H107" s="204" t="s">
        <v>189</v>
      </c>
      <c r="I107" s="205"/>
    </row>
    <row r="108" spans="1:11" ht="31.5" customHeight="1">
      <c r="A108" s="202"/>
      <c r="B108" s="199" t="s">
        <v>54</v>
      </c>
      <c r="C108" s="200"/>
      <c r="D108" s="229" t="s">
        <v>206</v>
      </c>
      <c r="E108" s="230"/>
      <c r="F108" s="229" t="s">
        <v>62</v>
      </c>
      <c r="G108" s="230"/>
      <c r="H108" s="175"/>
      <c r="I108" s="176"/>
    </row>
    <row r="109" spans="1:11" ht="47.25" customHeight="1">
      <c r="A109" s="202"/>
      <c r="B109" s="199" t="s">
        <v>58</v>
      </c>
      <c r="C109" s="200"/>
      <c r="D109" s="229" t="s">
        <v>60</v>
      </c>
      <c r="E109" s="230"/>
      <c r="F109" s="229" t="s">
        <v>66</v>
      </c>
      <c r="G109" s="230"/>
      <c r="H109" s="175"/>
      <c r="I109" s="176"/>
    </row>
    <row r="110" spans="1:11" ht="30.75" customHeight="1">
      <c r="A110" s="202"/>
      <c r="B110" s="229" t="s">
        <v>72</v>
      </c>
      <c r="C110" s="230"/>
      <c r="D110" s="229" t="s">
        <v>74</v>
      </c>
      <c r="E110" s="230"/>
      <c r="F110" s="229" t="s">
        <v>64</v>
      </c>
      <c r="G110" s="230"/>
      <c r="H110" s="175"/>
      <c r="I110" s="176"/>
    </row>
    <row r="111" spans="1:11" ht="15" customHeight="1">
      <c r="A111" s="202"/>
      <c r="B111" s="229" t="s">
        <v>68</v>
      </c>
      <c r="C111" s="230"/>
      <c r="D111" s="229" t="s">
        <v>70</v>
      </c>
      <c r="E111" s="230"/>
      <c r="F111" s="229" t="s">
        <v>51</v>
      </c>
      <c r="G111" s="230"/>
      <c r="H111" s="175"/>
      <c r="I111" s="176"/>
    </row>
    <row r="112" spans="1:11" ht="44.25" customHeight="1">
      <c r="A112" s="202"/>
      <c r="B112" s="229" t="s">
        <v>78</v>
      </c>
      <c r="C112" s="230"/>
      <c r="D112" s="229" t="s">
        <v>194</v>
      </c>
      <c r="E112" s="230"/>
      <c r="F112" s="229" t="s">
        <v>80</v>
      </c>
      <c r="G112" s="230"/>
      <c r="H112" s="175"/>
      <c r="I112" s="176"/>
    </row>
    <row r="113" spans="1:9" ht="15" customHeight="1">
      <c r="A113" s="203"/>
      <c r="B113" s="229" t="s">
        <v>82</v>
      </c>
      <c r="C113" s="230"/>
      <c r="D113" s="229" t="s">
        <v>82</v>
      </c>
      <c r="E113" s="230"/>
      <c r="F113" s="229" t="s">
        <v>82</v>
      </c>
      <c r="G113" s="230"/>
      <c r="H113" s="229" t="s">
        <v>82</v>
      </c>
      <c r="I113" s="230"/>
    </row>
    <row r="114" spans="1:9" ht="33" customHeight="1">
      <c r="A114" s="240" t="s">
        <v>191</v>
      </c>
      <c r="B114" s="174" t="s">
        <v>63</v>
      </c>
      <c r="C114" s="174"/>
      <c r="D114" s="174" t="s">
        <v>57</v>
      </c>
      <c r="E114" s="174"/>
      <c r="F114" s="174" t="s">
        <v>59</v>
      </c>
      <c r="G114" s="174"/>
      <c r="H114" s="209" t="s">
        <v>55</v>
      </c>
      <c r="I114" s="209"/>
    </row>
    <row r="115" spans="1:9" ht="18.75" customHeight="1">
      <c r="A115" s="241"/>
      <c r="B115" s="174"/>
      <c r="C115" s="174"/>
      <c r="D115" s="174"/>
      <c r="E115" s="174"/>
      <c r="F115" s="174" t="s">
        <v>61</v>
      </c>
      <c r="G115" s="174"/>
      <c r="H115" s="174" t="s">
        <v>65</v>
      </c>
      <c r="I115" s="174"/>
    </row>
    <row r="116" spans="1:9" ht="45" customHeight="1">
      <c r="A116" s="242"/>
      <c r="B116" s="174"/>
      <c r="C116" s="174"/>
      <c r="D116" s="174"/>
      <c r="E116" s="174"/>
      <c r="H116" s="209" t="s">
        <v>67</v>
      </c>
      <c r="I116" s="209"/>
    </row>
    <row r="117" spans="1:9" ht="25.5" customHeight="1">
      <c r="A117" s="173" t="s">
        <v>233</v>
      </c>
      <c r="B117" s="174" t="s">
        <v>208</v>
      </c>
      <c r="C117" s="174"/>
      <c r="D117" s="174" t="s">
        <v>208</v>
      </c>
      <c r="E117" s="174"/>
      <c r="F117" s="174" t="s">
        <v>253</v>
      </c>
      <c r="G117" s="174"/>
      <c r="H117" s="174" t="s">
        <v>253</v>
      </c>
      <c r="I117" s="174"/>
    </row>
    <row r="118" spans="1:9" ht="25.5" customHeight="1">
      <c r="A118" s="173"/>
      <c r="B118" s="174" t="s">
        <v>208</v>
      </c>
      <c r="C118" s="174"/>
      <c r="D118" s="174" t="s">
        <v>208</v>
      </c>
      <c r="E118" s="174"/>
      <c r="F118" s="174" t="s">
        <v>253</v>
      </c>
      <c r="G118" s="174"/>
      <c r="H118" s="174" t="s">
        <v>253</v>
      </c>
      <c r="I118" s="174"/>
    </row>
    <row r="119" spans="1:9" ht="25.5" customHeight="1">
      <c r="A119" s="173"/>
      <c r="B119" s="175"/>
      <c r="C119" s="176"/>
      <c r="D119" s="174"/>
      <c r="E119" s="174"/>
      <c r="F119" s="174"/>
      <c r="G119" s="174"/>
      <c r="H119" s="174" t="s">
        <v>100</v>
      </c>
      <c r="I119" s="174"/>
    </row>
    <row r="120" spans="1:9">
      <c r="A120" s="192" t="s">
        <v>236</v>
      </c>
      <c r="B120" s="192"/>
      <c r="C120" s="192" t="s">
        <v>240</v>
      </c>
      <c r="D120" s="192"/>
    </row>
    <row r="121" spans="1:9">
      <c r="A121" s="192" t="s">
        <v>59</v>
      </c>
      <c r="B121" s="192"/>
      <c r="C121" s="192" t="s">
        <v>70</v>
      </c>
      <c r="D121" s="192"/>
    </row>
    <row r="122" spans="1:9">
      <c r="A122" s="193" t="s">
        <v>67</v>
      </c>
      <c r="B122" s="194"/>
      <c r="C122" s="197" t="s">
        <v>57</v>
      </c>
      <c r="D122" s="198"/>
      <c r="F122" s="5" t="s">
        <v>51</v>
      </c>
    </row>
    <row r="123" spans="1:9">
      <c r="A123" s="195"/>
      <c r="B123" s="196"/>
      <c r="C123" s="192" t="s">
        <v>59</v>
      </c>
      <c r="D123" s="192"/>
    </row>
    <row r="124" spans="1:9" hidden="1"/>
    <row r="125" spans="1:9" hidden="1"/>
    <row r="126" spans="1:9" ht="21">
      <c r="A126" s="15" t="s">
        <v>10</v>
      </c>
    </row>
    <row r="127" spans="1:9">
      <c r="A127" s="16" t="s">
        <v>190</v>
      </c>
      <c r="B127" s="16"/>
      <c r="C127" s="16"/>
      <c r="D127" s="16"/>
      <c r="E127" s="16"/>
    </row>
    <row r="128" spans="1:9">
      <c r="A128" s="178" t="s">
        <v>186</v>
      </c>
      <c r="B128" s="232" t="s">
        <v>187</v>
      </c>
      <c r="C128" s="232"/>
      <c r="D128" s="232" t="s">
        <v>203</v>
      </c>
      <c r="E128" s="232"/>
      <c r="F128" s="232" t="s">
        <v>188</v>
      </c>
      <c r="G128" s="232"/>
      <c r="H128" s="232" t="s">
        <v>189</v>
      </c>
      <c r="I128" s="232"/>
    </row>
    <row r="129" spans="1:11" ht="35.25" customHeight="1">
      <c r="A129" s="178"/>
      <c r="B129" s="231" t="s">
        <v>54</v>
      </c>
      <c r="C129" s="231"/>
      <c r="D129" s="209" t="s">
        <v>206</v>
      </c>
      <c r="E129" s="209"/>
      <c r="F129" s="209" t="s">
        <v>62</v>
      </c>
      <c r="G129" s="209"/>
      <c r="H129" s="174"/>
      <c r="I129" s="174"/>
    </row>
    <row r="130" spans="1:11" ht="46.5" customHeight="1">
      <c r="A130" s="178"/>
      <c r="B130" s="231" t="s">
        <v>58</v>
      </c>
      <c r="C130" s="231"/>
      <c r="D130" s="209" t="s">
        <v>60</v>
      </c>
      <c r="E130" s="209"/>
      <c r="F130" s="209" t="s">
        <v>66</v>
      </c>
      <c r="G130" s="209"/>
      <c r="H130" s="174"/>
      <c r="I130" s="174"/>
    </row>
    <row r="131" spans="1:11" ht="31.5" customHeight="1">
      <c r="A131" s="178"/>
      <c r="B131" s="209" t="s">
        <v>72</v>
      </c>
      <c r="C131" s="209"/>
      <c r="D131" s="209" t="s">
        <v>74</v>
      </c>
      <c r="E131" s="209"/>
      <c r="F131" s="209" t="s">
        <v>64</v>
      </c>
      <c r="G131" s="209"/>
      <c r="H131" s="174"/>
      <c r="I131" s="174"/>
    </row>
    <row r="132" spans="1:11">
      <c r="A132" s="178"/>
      <c r="B132" s="209" t="s">
        <v>68</v>
      </c>
      <c r="C132" s="209"/>
      <c r="D132" s="209" t="s">
        <v>70</v>
      </c>
      <c r="E132" s="209"/>
      <c r="F132" s="229" t="s">
        <v>51</v>
      </c>
      <c r="G132" s="230"/>
      <c r="H132" s="174"/>
      <c r="I132" s="174"/>
    </row>
    <row r="133" spans="1:11" ht="46.5" customHeight="1">
      <c r="A133" s="178"/>
      <c r="B133" s="209" t="s">
        <v>78</v>
      </c>
      <c r="C133" s="209"/>
      <c r="D133" s="209" t="s">
        <v>194</v>
      </c>
      <c r="E133" s="209"/>
      <c r="F133" s="209" t="s">
        <v>80</v>
      </c>
      <c r="G133" s="209"/>
      <c r="H133" s="174"/>
      <c r="I133" s="174"/>
    </row>
    <row r="134" spans="1:11">
      <c r="A134" s="178"/>
      <c r="B134" s="209" t="s">
        <v>82</v>
      </c>
      <c r="C134" s="209"/>
      <c r="D134" s="209" t="s">
        <v>82</v>
      </c>
      <c r="E134" s="209"/>
      <c r="F134" s="209" t="s">
        <v>82</v>
      </c>
      <c r="G134" s="209"/>
      <c r="H134" s="209" t="s">
        <v>82</v>
      </c>
      <c r="I134" s="209"/>
      <c r="K134" s="5" t="s">
        <v>51</v>
      </c>
    </row>
    <row r="135" spans="1:11">
      <c r="A135" s="240" t="s">
        <v>191</v>
      </c>
      <c r="B135" s="174" t="s">
        <v>63</v>
      </c>
      <c r="C135" s="174"/>
      <c r="D135" s="174" t="s">
        <v>57</v>
      </c>
      <c r="E135" s="174"/>
      <c r="F135" s="174" t="s">
        <v>59</v>
      </c>
      <c r="G135" s="174"/>
      <c r="H135" s="209" t="s">
        <v>55</v>
      </c>
      <c r="I135" s="209"/>
    </row>
    <row r="136" spans="1:11" ht="22.5" customHeight="1">
      <c r="A136" s="241"/>
      <c r="B136" s="174"/>
      <c r="C136" s="174"/>
      <c r="D136" s="174"/>
      <c r="E136" s="174"/>
      <c r="F136" s="174" t="s">
        <v>61</v>
      </c>
      <c r="G136" s="174"/>
      <c r="H136" s="174" t="s">
        <v>65</v>
      </c>
      <c r="I136" s="174"/>
    </row>
    <row r="137" spans="1:11" ht="40.5" customHeight="1">
      <c r="A137" s="242"/>
      <c r="B137" s="174"/>
      <c r="C137" s="174"/>
      <c r="D137" s="174"/>
      <c r="E137" s="174"/>
      <c r="H137" s="209" t="s">
        <v>67</v>
      </c>
      <c r="I137" s="209"/>
    </row>
    <row r="138" spans="1:11" ht="30" customHeight="1">
      <c r="A138" s="173" t="s">
        <v>233</v>
      </c>
      <c r="B138" s="174" t="s">
        <v>101</v>
      </c>
      <c r="C138" s="174"/>
      <c r="D138" s="175" t="s">
        <v>102</v>
      </c>
      <c r="E138" s="176"/>
      <c r="F138" s="175" t="s">
        <v>103</v>
      </c>
      <c r="G138" s="176"/>
      <c r="H138" s="175" t="s">
        <v>103</v>
      </c>
      <c r="I138" s="176"/>
    </row>
    <row r="139" spans="1:11" ht="30" customHeight="1">
      <c r="A139" s="173"/>
      <c r="B139" s="174" t="s">
        <v>101</v>
      </c>
      <c r="C139" s="174"/>
      <c r="D139" s="174" t="s">
        <v>102</v>
      </c>
      <c r="E139" s="174"/>
      <c r="F139" s="174" t="s">
        <v>103</v>
      </c>
      <c r="G139" s="174"/>
      <c r="H139" s="174" t="s">
        <v>103</v>
      </c>
      <c r="I139" s="174"/>
    </row>
    <row r="140" spans="1:11" ht="30" customHeight="1">
      <c r="A140" s="173"/>
      <c r="B140" s="175"/>
      <c r="C140" s="176"/>
      <c r="D140" s="174"/>
      <c r="E140" s="174"/>
      <c r="F140" s="174"/>
      <c r="G140" s="174"/>
      <c r="H140" s="174" t="s">
        <v>100</v>
      </c>
      <c r="I140" s="174"/>
    </row>
    <row r="141" spans="1:11" ht="15" customHeight="1">
      <c r="A141" s="192" t="s">
        <v>236</v>
      </c>
      <c r="B141" s="192"/>
      <c r="C141" s="192" t="s">
        <v>240</v>
      </c>
      <c r="D141" s="192"/>
      <c r="E141" s="14"/>
      <c r="F141" s="14"/>
      <c r="G141" s="14"/>
      <c r="H141" s="14"/>
      <c r="I141" s="14"/>
    </row>
    <row r="142" spans="1:11" ht="15" customHeight="1">
      <c r="A142" s="192" t="s">
        <v>59</v>
      </c>
      <c r="B142" s="192"/>
      <c r="C142" s="192" t="s">
        <v>70</v>
      </c>
      <c r="D142" s="192"/>
      <c r="E142" s="14"/>
      <c r="F142" s="14"/>
      <c r="G142" s="14"/>
      <c r="H142" s="14"/>
      <c r="I142" s="14"/>
    </row>
    <row r="143" spans="1:11" ht="15" customHeight="1">
      <c r="A143" s="193" t="s">
        <v>67</v>
      </c>
      <c r="B143" s="194"/>
      <c r="C143" s="197" t="s">
        <v>57</v>
      </c>
      <c r="D143" s="198"/>
      <c r="E143" s="14"/>
      <c r="F143" s="14"/>
      <c r="G143" s="14"/>
      <c r="H143" s="14"/>
      <c r="I143" s="14"/>
    </row>
    <row r="144" spans="1:11" ht="15" customHeight="1">
      <c r="A144" s="195"/>
      <c r="B144" s="196"/>
      <c r="C144" s="192" t="s">
        <v>59</v>
      </c>
      <c r="D144" s="192"/>
      <c r="E144" s="14"/>
      <c r="F144" s="14"/>
      <c r="G144" s="14"/>
      <c r="H144" s="14"/>
      <c r="I144" s="14"/>
    </row>
    <row r="145" spans="1:12" ht="15" hidden="1" customHeight="1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12" ht="15" hidden="1" customHeight="1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12" ht="21">
      <c r="A147" s="15" t="s">
        <v>105</v>
      </c>
    </row>
    <row r="148" spans="1:12">
      <c r="A148" s="16" t="s">
        <v>190</v>
      </c>
      <c r="B148" s="16"/>
      <c r="C148" s="16"/>
      <c r="D148" s="16"/>
      <c r="E148" s="16"/>
      <c r="L148" s="5" t="s">
        <v>51</v>
      </c>
    </row>
    <row r="149" spans="1:12">
      <c r="A149" s="178" t="s">
        <v>186</v>
      </c>
      <c r="B149" s="232" t="s">
        <v>187</v>
      </c>
      <c r="C149" s="232"/>
      <c r="D149" s="232" t="s">
        <v>203</v>
      </c>
      <c r="E149" s="232"/>
      <c r="F149" s="232" t="s">
        <v>188</v>
      </c>
      <c r="G149" s="232"/>
      <c r="H149" s="232" t="s">
        <v>189</v>
      </c>
      <c r="I149" s="232"/>
    </row>
    <row r="150" spans="1:12" ht="33.75" customHeight="1">
      <c r="A150" s="178"/>
      <c r="B150" s="231" t="s">
        <v>54</v>
      </c>
      <c r="C150" s="231"/>
      <c r="D150" s="209" t="s">
        <v>206</v>
      </c>
      <c r="E150" s="209"/>
      <c r="F150" s="209" t="s">
        <v>62</v>
      </c>
      <c r="G150" s="209"/>
      <c r="H150" s="174"/>
      <c r="I150" s="174"/>
    </row>
    <row r="151" spans="1:12" ht="42" customHeight="1">
      <c r="A151" s="178"/>
      <c r="B151" s="231" t="s">
        <v>58</v>
      </c>
      <c r="C151" s="231"/>
      <c r="D151" s="209" t="s">
        <v>60</v>
      </c>
      <c r="E151" s="209"/>
      <c r="F151" s="209" t="s">
        <v>66</v>
      </c>
      <c r="G151" s="209"/>
      <c r="H151" s="174"/>
      <c r="I151" s="174"/>
    </row>
    <row r="152" spans="1:12" ht="31.5" customHeight="1">
      <c r="A152" s="178"/>
      <c r="B152" s="209" t="s">
        <v>72</v>
      </c>
      <c r="C152" s="209"/>
      <c r="D152" s="209" t="s">
        <v>74</v>
      </c>
      <c r="E152" s="209"/>
      <c r="F152" s="209" t="s">
        <v>64</v>
      </c>
      <c r="G152" s="209"/>
      <c r="H152" s="174"/>
      <c r="I152" s="174"/>
    </row>
    <row r="153" spans="1:12" ht="15" customHeight="1">
      <c r="A153" s="178"/>
      <c r="B153" s="209" t="s">
        <v>68</v>
      </c>
      <c r="C153" s="209"/>
      <c r="D153" s="209" t="s">
        <v>70</v>
      </c>
      <c r="E153" s="209"/>
      <c r="F153" s="229" t="s">
        <v>51</v>
      </c>
      <c r="G153" s="230"/>
      <c r="H153" s="174"/>
      <c r="I153" s="174"/>
    </row>
    <row r="154" spans="1:12" ht="28.5" customHeight="1">
      <c r="A154" s="178"/>
      <c r="B154" s="209" t="s">
        <v>78</v>
      </c>
      <c r="C154" s="209"/>
      <c r="D154" s="209" t="s">
        <v>194</v>
      </c>
      <c r="E154" s="209"/>
      <c r="F154" s="209" t="s">
        <v>80</v>
      </c>
      <c r="G154" s="209"/>
      <c r="H154" s="174"/>
      <c r="I154" s="174"/>
    </row>
    <row r="155" spans="1:12" ht="15" customHeight="1">
      <c r="A155" s="178"/>
      <c r="B155" s="209" t="s">
        <v>82</v>
      </c>
      <c r="C155" s="209"/>
      <c r="D155" s="229" t="s">
        <v>82</v>
      </c>
      <c r="E155" s="230"/>
      <c r="F155" s="209" t="s">
        <v>82</v>
      </c>
      <c r="G155" s="209"/>
      <c r="H155" s="209" t="s">
        <v>82</v>
      </c>
      <c r="I155" s="209"/>
    </row>
    <row r="156" spans="1:12" ht="32.25" customHeight="1">
      <c r="A156" s="240" t="s">
        <v>191</v>
      </c>
      <c r="B156" s="174" t="s">
        <v>63</v>
      </c>
      <c r="C156" s="174"/>
      <c r="D156" s="174" t="s">
        <v>57</v>
      </c>
      <c r="E156" s="174"/>
      <c r="F156" s="174" t="s">
        <v>59</v>
      </c>
      <c r="G156" s="174"/>
      <c r="H156" s="209" t="s">
        <v>55</v>
      </c>
      <c r="I156" s="209"/>
    </row>
    <row r="157" spans="1:12" ht="21" customHeight="1">
      <c r="A157" s="241"/>
      <c r="B157" s="174"/>
      <c r="C157" s="174"/>
      <c r="D157" s="174"/>
      <c r="E157" s="174"/>
      <c r="F157" s="174" t="s">
        <v>61</v>
      </c>
      <c r="G157" s="174"/>
      <c r="H157" s="174" t="s">
        <v>65</v>
      </c>
      <c r="I157" s="174"/>
    </row>
    <row r="158" spans="1:12" ht="36.75" customHeight="1">
      <c r="A158" s="242"/>
      <c r="B158" s="174"/>
      <c r="C158" s="174"/>
      <c r="D158" s="174"/>
      <c r="E158" s="174"/>
      <c r="H158" s="209" t="s">
        <v>67</v>
      </c>
      <c r="I158" s="209"/>
    </row>
    <row r="159" spans="1:12" ht="27" customHeight="1">
      <c r="A159" s="173" t="s">
        <v>233</v>
      </c>
      <c r="B159" s="174" t="s">
        <v>126</v>
      </c>
      <c r="C159" s="174"/>
      <c r="D159" s="174" t="s">
        <v>126</v>
      </c>
      <c r="E159" s="174"/>
      <c r="F159" s="174" t="s">
        <v>127</v>
      </c>
      <c r="G159" s="174"/>
      <c r="H159" s="174" t="s">
        <v>127</v>
      </c>
      <c r="I159" s="174"/>
    </row>
    <row r="160" spans="1:12" ht="27" customHeight="1">
      <c r="A160" s="173"/>
      <c r="B160" s="174" t="s">
        <v>126</v>
      </c>
      <c r="C160" s="174"/>
      <c r="D160" s="174" t="s">
        <v>126</v>
      </c>
      <c r="E160" s="174"/>
      <c r="F160" s="174" t="s">
        <v>127</v>
      </c>
      <c r="G160" s="174"/>
      <c r="H160" s="174" t="s">
        <v>127</v>
      </c>
      <c r="I160" s="174"/>
    </row>
    <row r="161" spans="1:9" ht="27" customHeight="1">
      <c r="A161" s="173"/>
      <c r="B161" s="175"/>
      <c r="C161" s="176"/>
      <c r="D161" s="174"/>
      <c r="E161" s="174"/>
      <c r="F161" s="174"/>
      <c r="G161" s="174"/>
      <c r="H161" s="174" t="s">
        <v>100</v>
      </c>
      <c r="I161" s="174"/>
    </row>
    <row r="162" spans="1:9">
      <c r="A162" s="192" t="s">
        <v>236</v>
      </c>
      <c r="B162" s="192"/>
      <c r="C162" s="192" t="s">
        <v>240</v>
      </c>
      <c r="D162" s="192"/>
    </row>
    <row r="163" spans="1:9">
      <c r="A163" s="192" t="s">
        <v>59</v>
      </c>
      <c r="B163" s="192"/>
      <c r="C163" s="192" t="s">
        <v>70</v>
      </c>
      <c r="D163" s="192"/>
    </row>
    <row r="164" spans="1:9">
      <c r="A164" s="193" t="s">
        <v>67</v>
      </c>
      <c r="B164" s="194"/>
      <c r="C164" s="197" t="s">
        <v>57</v>
      </c>
      <c r="D164" s="198"/>
    </row>
    <row r="165" spans="1:9">
      <c r="A165" s="195"/>
      <c r="B165" s="196"/>
      <c r="C165" s="192" t="s">
        <v>59</v>
      </c>
      <c r="D165" s="192"/>
    </row>
    <row r="166" spans="1:9" hidden="1"/>
    <row r="167" spans="1:9" hidden="1"/>
    <row r="168" spans="1:9" hidden="1"/>
    <row r="169" spans="1:9" hidden="1"/>
    <row r="170" spans="1:9" hidden="1"/>
    <row r="171" spans="1:9" ht="21">
      <c r="A171" s="15" t="s">
        <v>108</v>
      </c>
    </row>
    <row r="172" spans="1:9">
      <c r="A172" s="16" t="s">
        <v>190</v>
      </c>
      <c r="B172" s="16"/>
      <c r="C172" s="16"/>
      <c r="D172" s="16"/>
      <c r="E172" s="16"/>
    </row>
    <row r="173" spans="1:9">
      <c r="A173" s="178" t="s">
        <v>186</v>
      </c>
      <c r="B173" s="232" t="s">
        <v>187</v>
      </c>
      <c r="C173" s="232"/>
      <c r="D173" s="232" t="s">
        <v>203</v>
      </c>
      <c r="E173" s="232"/>
      <c r="F173" s="232" t="s">
        <v>188</v>
      </c>
      <c r="G173" s="232"/>
      <c r="H173" s="232" t="s">
        <v>189</v>
      </c>
      <c r="I173" s="232"/>
    </row>
    <row r="174" spans="1:9" ht="33.75" customHeight="1">
      <c r="A174" s="178"/>
      <c r="B174" s="191" t="s">
        <v>54</v>
      </c>
      <c r="C174" s="191"/>
      <c r="D174" s="209" t="s">
        <v>206</v>
      </c>
      <c r="E174" s="209"/>
      <c r="F174" s="209" t="s">
        <v>62</v>
      </c>
      <c r="G174" s="209"/>
      <c r="H174" s="174"/>
      <c r="I174" s="174"/>
    </row>
    <row r="175" spans="1:9" ht="46.5" customHeight="1">
      <c r="A175" s="178"/>
      <c r="B175" s="231" t="s">
        <v>58</v>
      </c>
      <c r="C175" s="231"/>
      <c r="D175" s="209" t="s">
        <v>60</v>
      </c>
      <c r="E175" s="209"/>
      <c r="F175" s="209" t="s">
        <v>66</v>
      </c>
      <c r="G175" s="209"/>
      <c r="H175" s="174"/>
      <c r="I175" s="174"/>
    </row>
    <row r="176" spans="1:9" ht="30.75" customHeight="1">
      <c r="A176" s="178"/>
      <c r="B176" s="209" t="s">
        <v>72</v>
      </c>
      <c r="C176" s="209"/>
      <c r="D176" s="209" t="s">
        <v>74</v>
      </c>
      <c r="E176" s="209"/>
      <c r="F176" s="209" t="s">
        <v>64</v>
      </c>
      <c r="G176" s="209"/>
      <c r="H176" s="174"/>
      <c r="I176" s="174"/>
    </row>
    <row r="177" spans="1:9">
      <c r="A177" s="178"/>
      <c r="B177" s="209" t="s">
        <v>68</v>
      </c>
      <c r="C177" s="209"/>
      <c r="D177" s="209" t="s">
        <v>70</v>
      </c>
      <c r="E177" s="209"/>
      <c r="F177" s="229" t="s">
        <v>51</v>
      </c>
      <c r="G177" s="230"/>
      <c r="H177" s="174"/>
      <c r="I177" s="174"/>
    </row>
    <row r="178" spans="1:9" ht="48.75" customHeight="1">
      <c r="A178" s="178"/>
      <c r="B178" s="209" t="s">
        <v>78</v>
      </c>
      <c r="C178" s="209"/>
      <c r="D178" s="209" t="s">
        <v>194</v>
      </c>
      <c r="E178" s="209"/>
      <c r="F178" s="209" t="s">
        <v>80</v>
      </c>
      <c r="G178" s="209"/>
      <c r="H178" s="174"/>
      <c r="I178" s="174"/>
    </row>
    <row r="179" spans="1:9">
      <c r="A179" s="178"/>
      <c r="B179" s="209" t="s">
        <v>82</v>
      </c>
      <c r="C179" s="209"/>
      <c r="D179" s="209" t="s">
        <v>82</v>
      </c>
      <c r="E179" s="209"/>
      <c r="F179" s="209" t="s">
        <v>82</v>
      </c>
      <c r="G179" s="209"/>
      <c r="H179" s="209" t="s">
        <v>82</v>
      </c>
      <c r="I179" s="209"/>
    </row>
    <row r="180" spans="1:9">
      <c r="A180" s="240" t="s">
        <v>191</v>
      </c>
      <c r="B180" s="174" t="s">
        <v>63</v>
      </c>
      <c r="C180" s="174"/>
      <c r="D180" s="174" t="s">
        <v>57</v>
      </c>
      <c r="E180" s="174"/>
      <c r="F180" s="174" t="s">
        <v>59</v>
      </c>
      <c r="G180" s="174"/>
      <c r="H180" s="209" t="s">
        <v>55</v>
      </c>
      <c r="I180" s="209"/>
    </row>
    <row r="181" spans="1:9" ht="39.75" customHeight="1">
      <c r="A181" s="241"/>
      <c r="B181" s="174"/>
      <c r="C181" s="174"/>
      <c r="D181" s="174"/>
      <c r="E181" s="174"/>
      <c r="F181" s="174" t="s">
        <v>61</v>
      </c>
      <c r="G181" s="174"/>
      <c r="H181" s="174" t="s">
        <v>65</v>
      </c>
      <c r="I181" s="174"/>
    </row>
    <row r="182" spans="1:9" ht="39.75" customHeight="1">
      <c r="A182" s="242"/>
      <c r="B182" s="174"/>
      <c r="C182" s="174"/>
      <c r="D182" s="174"/>
      <c r="E182" s="174"/>
      <c r="H182" s="209" t="s">
        <v>67</v>
      </c>
      <c r="I182" s="209"/>
    </row>
    <row r="183" spans="1:9" ht="24" customHeight="1">
      <c r="A183" s="173" t="s">
        <v>233</v>
      </c>
      <c r="B183" s="174" t="s">
        <v>109</v>
      </c>
      <c r="C183" s="174"/>
      <c r="D183" s="174" t="s">
        <v>109</v>
      </c>
      <c r="E183" s="174"/>
      <c r="F183" s="174" t="s">
        <v>210</v>
      </c>
      <c r="G183" s="174"/>
      <c r="H183" s="174" t="s">
        <v>210</v>
      </c>
      <c r="I183" s="174"/>
    </row>
    <row r="184" spans="1:9" ht="24" customHeight="1">
      <c r="A184" s="173"/>
      <c r="B184" s="174" t="s">
        <v>109</v>
      </c>
      <c r="C184" s="174"/>
      <c r="D184" s="174" t="s">
        <v>109</v>
      </c>
      <c r="E184" s="174"/>
      <c r="F184" s="174" t="s">
        <v>210</v>
      </c>
      <c r="G184" s="174"/>
      <c r="H184" s="174" t="s">
        <v>210</v>
      </c>
      <c r="I184" s="174"/>
    </row>
    <row r="185" spans="1:9" ht="24" customHeight="1">
      <c r="A185" s="173"/>
      <c r="B185" s="175"/>
      <c r="C185" s="176"/>
      <c r="D185" s="174"/>
      <c r="E185" s="174"/>
      <c r="F185" s="174"/>
      <c r="G185" s="174"/>
      <c r="H185" s="174" t="s">
        <v>100</v>
      </c>
      <c r="I185" s="174"/>
    </row>
    <row r="186" spans="1:9">
      <c r="A186" s="192" t="s">
        <v>236</v>
      </c>
      <c r="B186" s="192"/>
      <c r="C186" s="192" t="s">
        <v>240</v>
      </c>
      <c r="D186" s="192"/>
    </row>
    <row r="187" spans="1:9">
      <c r="A187" s="192" t="s">
        <v>59</v>
      </c>
      <c r="B187" s="192"/>
      <c r="C187" s="192" t="s">
        <v>70</v>
      </c>
      <c r="D187" s="192"/>
    </row>
    <row r="188" spans="1:9">
      <c r="A188" s="193" t="s">
        <v>67</v>
      </c>
      <c r="B188" s="194"/>
      <c r="C188" s="197" t="s">
        <v>57</v>
      </c>
      <c r="D188" s="198"/>
    </row>
    <row r="189" spans="1:9">
      <c r="A189" s="195"/>
      <c r="B189" s="196"/>
      <c r="C189" s="192" t="s">
        <v>59</v>
      </c>
      <c r="D189" s="192"/>
    </row>
    <row r="190" spans="1:9" hidden="1"/>
    <row r="191" spans="1:9" hidden="1"/>
    <row r="192" spans="1:9" hidden="1"/>
    <row r="193" hidden="1"/>
    <row r="194" hidden="1"/>
  </sheetData>
  <mergeCells count="577">
    <mergeCell ref="B179:C179"/>
    <mergeCell ref="D179:E179"/>
    <mergeCell ref="F179:G179"/>
    <mergeCell ref="H179:I179"/>
    <mergeCell ref="B181:C181"/>
    <mergeCell ref="D181:E181"/>
    <mergeCell ref="F181:G181"/>
    <mergeCell ref="H181:I181"/>
    <mergeCell ref="A173:A179"/>
    <mergeCell ref="B173:C173"/>
    <mergeCell ref="D173:E173"/>
    <mergeCell ref="F173:G173"/>
    <mergeCell ref="H173:I173"/>
    <mergeCell ref="B174:C174"/>
    <mergeCell ref="D174:E174"/>
    <mergeCell ref="B178:C178"/>
    <mergeCell ref="D178:E178"/>
    <mergeCell ref="F178:G178"/>
    <mergeCell ref="H178:I178"/>
    <mergeCell ref="D175:E175"/>
    <mergeCell ref="F175:G175"/>
    <mergeCell ref="H175:I175"/>
    <mergeCell ref="B176:C176"/>
    <mergeCell ref="D176:E176"/>
    <mergeCell ref="B135:C135"/>
    <mergeCell ref="D135:E135"/>
    <mergeCell ref="F135:G135"/>
    <mergeCell ref="H135:I135"/>
    <mergeCell ref="A135:A137"/>
    <mergeCell ref="B134:C134"/>
    <mergeCell ref="D134:E134"/>
    <mergeCell ref="F134:G134"/>
    <mergeCell ref="H134:I134"/>
    <mergeCell ref="B136:C136"/>
    <mergeCell ref="D136:E136"/>
    <mergeCell ref="F136:G136"/>
    <mergeCell ref="H136:I136"/>
    <mergeCell ref="A128:A134"/>
    <mergeCell ref="B128:C128"/>
    <mergeCell ref="D128:E128"/>
    <mergeCell ref="F128:G128"/>
    <mergeCell ref="H128:I128"/>
    <mergeCell ref="B129:C129"/>
    <mergeCell ref="D129:E129"/>
    <mergeCell ref="B133:C133"/>
    <mergeCell ref="D133:E133"/>
    <mergeCell ref="F133:G133"/>
    <mergeCell ref="H133:I133"/>
    <mergeCell ref="A41:A43"/>
    <mergeCell ref="B41:C41"/>
    <mergeCell ref="D41:E41"/>
    <mergeCell ref="F41:G41"/>
    <mergeCell ref="H41:I41"/>
    <mergeCell ref="H65:I65"/>
    <mergeCell ref="B65:C65"/>
    <mergeCell ref="D65:E65"/>
    <mergeCell ref="F65:G65"/>
    <mergeCell ref="A65:A67"/>
    <mergeCell ref="B66:C66"/>
    <mergeCell ref="D66:E66"/>
    <mergeCell ref="H66:I66"/>
    <mergeCell ref="B67:C67"/>
    <mergeCell ref="D67:E67"/>
    <mergeCell ref="F66:G66"/>
    <mergeCell ref="H67:I67"/>
    <mergeCell ref="H60:I60"/>
    <mergeCell ref="B64:C64"/>
    <mergeCell ref="D64:E64"/>
    <mergeCell ref="F64:G64"/>
    <mergeCell ref="H64:I64"/>
    <mergeCell ref="B63:C63"/>
    <mergeCell ref="D63:E63"/>
    <mergeCell ref="F184:G184"/>
    <mergeCell ref="H184:I184"/>
    <mergeCell ref="B185:C185"/>
    <mergeCell ref="D185:E185"/>
    <mergeCell ref="F185:G185"/>
    <mergeCell ref="H185:I185"/>
    <mergeCell ref="D182:E182"/>
    <mergeCell ref="H182:I182"/>
    <mergeCell ref="A183:A185"/>
    <mergeCell ref="B183:C183"/>
    <mergeCell ref="D183:E183"/>
    <mergeCell ref="F183:G183"/>
    <mergeCell ref="H183:I183"/>
    <mergeCell ref="B184:C184"/>
    <mergeCell ref="D184:E184"/>
    <mergeCell ref="B182:C182"/>
    <mergeCell ref="A180:A182"/>
    <mergeCell ref="B180:C180"/>
    <mergeCell ref="D180:E180"/>
    <mergeCell ref="F180:G180"/>
    <mergeCell ref="H180:I180"/>
    <mergeCell ref="F176:G176"/>
    <mergeCell ref="H176:I176"/>
    <mergeCell ref="F177:G177"/>
    <mergeCell ref="B175:C175"/>
    <mergeCell ref="F174:G174"/>
    <mergeCell ref="H174:I174"/>
    <mergeCell ref="F160:G160"/>
    <mergeCell ref="H160:I160"/>
    <mergeCell ref="B161:C161"/>
    <mergeCell ref="D161:E161"/>
    <mergeCell ref="F161:G161"/>
    <mergeCell ref="H161:I161"/>
    <mergeCell ref="B177:C177"/>
    <mergeCell ref="D177:E177"/>
    <mergeCell ref="H177:I177"/>
    <mergeCell ref="A162:B162"/>
    <mergeCell ref="C162:D162"/>
    <mergeCell ref="A163:B163"/>
    <mergeCell ref="C163:D163"/>
    <mergeCell ref="A164:B165"/>
    <mergeCell ref="C164:D164"/>
    <mergeCell ref="C165:D165"/>
    <mergeCell ref="H154:I154"/>
    <mergeCell ref="B152:C152"/>
    <mergeCell ref="D152:E152"/>
    <mergeCell ref="F152:G152"/>
    <mergeCell ref="H152:I152"/>
    <mergeCell ref="B158:C158"/>
    <mergeCell ref="D158:E158"/>
    <mergeCell ref="H158:I158"/>
    <mergeCell ref="A159:A161"/>
    <mergeCell ref="B159:C159"/>
    <mergeCell ref="D159:E159"/>
    <mergeCell ref="F159:G159"/>
    <mergeCell ref="H159:I159"/>
    <mergeCell ref="B160:C160"/>
    <mergeCell ref="D160:E160"/>
    <mergeCell ref="A156:A158"/>
    <mergeCell ref="B157:C157"/>
    <mergeCell ref="D157:E157"/>
    <mergeCell ref="F157:G157"/>
    <mergeCell ref="H157:I157"/>
    <mergeCell ref="B156:C156"/>
    <mergeCell ref="D156:E156"/>
    <mergeCell ref="F156:G156"/>
    <mergeCell ref="H156:I156"/>
    <mergeCell ref="B151:C151"/>
    <mergeCell ref="A149:A155"/>
    <mergeCell ref="B149:C149"/>
    <mergeCell ref="D149:E149"/>
    <mergeCell ref="F149:G149"/>
    <mergeCell ref="H149:I149"/>
    <mergeCell ref="B150:C150"/>
    <mergeCell ref="D150:E150"/>
    <mergeCell ref="F150:G150"/>
    <mergeCell ref="H150:I150"/>
    <mergeCell ref="F153:G153"/>
    <mergeCell ref="B155:C155"/>
    <mergeCell ref="D155:E155"/>
    <mergeCell ref="F155:G155"/>
    <mergeCell ref="H155:I155"/>
    <mergeCell ref="D151:E151"/>
    <mergeCell ref="F151:G151"/>
    <mergeCell ref="H151:I151"/>
    <mergeCell ref="B153:C153"/>
    <mergeCell ref="D153:E153"/>
    <mergeCell ref="H153:I153"/>
    <mergeCell ref="B154:C154"/>
    <mergeCell ref="D154:E154"/>
    <mergeCell ref="F154:G154"/>
    <mergeCell ref="F139:G139"/>
    <mergeCell ref="H139:I139"/>
    <mergeCell ref="B140:C140"/>
    <mergeCell ref="D140:E140"/>
    <mergeCell ref="F140:G140"/>
    <mergeCell ref="H140:I140"/>
    <mergeCell ref="D137:E137"/>
    <mergeCell ref="H137:I137"/>
    <mergeCell ref="A138:A140"/>
    <mergeCell ref="B138:C138"/>
    <mergeCell ref="D138:E138"/>
    <mergeCell ref="F138:G138"/>
    <mergeCell ref="H138:I138"/>
    <mergeCell ref="B139:C139"/>
    <mergeCell ref="D139:E139"/>
    <mergeCell ref="B137:C137"/>
    <mergeCell ref="F129:G129"/>
    <mergeCell ref="H129:I129"/>
    <mergeCell ref="F118:G118"/>
    <mergeCell ref="H118:I118"/>
    <mergeCell ref="B119:C119"/>
    <mergeCell ref="D119:E119"/>
    <mergeCell ref="F119:G119"/>
    <mergeCell ref="H119:I119"/>
    <mergeCell ref="B132:C132"/>
    <mergeCell ref="D132:E132"/>
    <mergeCell ref="H132:I132"/>
    <mergeCell ref="D130:E130"/>
    <mergeCell ref="F130:G130"/>
    <mergeCell ref="H130:I130"/>
    <mergeCell ref="B131:C131"/>
    <mergeCell ref="D131:E131"/>
    <mergeCell ref="F131:G131"/>
    <mergeCell ref="H131:I131"/>
    <mergeCell ref="F132:G132"/>
    <mergeCell ref="B130:C130"/>
    <mergeCell ref="A120:B120"/>
    <mergeCell ref="C120:D120"/>
    <mergeCell ref="A121:B121"/>
    <mergeCell ref="C121:D121"/>
    <mergeCell ref="H110:I110"/>
    <mergeCell ref="B116:C116"/>
    <mergeCell ref="D116:E116"/>
    <mergeCell ref="H116:I116"/>
    <mergeCell ref="A117:A119"/>
    <mergeCell ref="B117:C117"/>
    <mergeCell ref="D117:E117"/>
    <mergeCell ref="F117:G117"/>
    <mergeCell ref="H117:I117"/>
    <mergeCell ref="B118:C118"/>
    <mergeCell ref="D118:E118"/>
    <mergeCell ref="A114:A116"/>
    <mergeCell ref="B115:C115"/>
    <mergeCell ref="D115:E115"/>
    <mergeCell ref="F115:G115"/>
    <mergeCell ref="H115:I115"/>
    <mergeCell ref="B114:C114"/>
    <mergeCell ref="D114:E114"/>
    <mergeCell ref="F114:G114"/>
    <mergeCell ref="H114:I114"/>
    <mergeCell ref="F107:G107"/>
    <mergeCell ref="H107:I107"/>
    <mergeCell ref="B108:C108"/>
    <mergeCell ref="D108:E108"/>
    <mergeCell ref="F108:G108"/>
    <mergeCell ref="H108:I108"/>
    <mergeCell ref="F111:G111"/>
    <mergeCell ref="B113:C113"/>
    <mergeCell ref="D113:E113"/>
    <mergeCell ref="F113:G113"/>
    <mergeCell ref="H113:I113"/>
    <mergeCell ref="D109:E109"/>
    <mergeCell ref="F109:G109"/>
    <mergeCell ref="H109:I109"/>
    <mergeCell ref="B111:C111"/>
    <mergeCell ref="D111:E111"/>
    <mergeCell ref="H111:I111"/>
    <mergeCell ref="B112:C112"/>
    <mergeCell ref="D112:E112"/>
    <mergeCell ref="F112:G112"/>
    <mergeCell ref="H112:I112"/>
    <mergeCell ref="B110:C110"/>
    <mergeCell ref="D110:E110"/>
    <mergeCell ref="F110:G110"/>
    <mergeCell ref="D70:E70"/>
    <mergeCell ref="H70:I70"/>
    <mergeCell ref="B71:C71"/>
    <mergeCell ref="D71:E71"/>
    <mergeCell ref="F71:G71"/>
    <mergeCell ref="H71:I71"/>
    <mergeCell ref="A68:A71"/>
    <mergeCell ref="B68:C68"/>
    <mergeCell ref="D68:E68"/>
    <mergeCell ref="F68:G68"/>
    <mergeCell ref="H68:I68"/>
    <mergeCell ref="B69:C69"/>
    <mergeCell ref="D69:E69"/>
    <mergeCell ref="F69:G69"/>
    <mergeCell ref="H69:I69"/>
    <mergeCell ref="B70:C70"/>
    <mergeCell ref="F63:G63"/>
    <mergeCell ref="H63:I63"/>
    <mergeCell ref="F62:G62"/>
    <mergeCell ref="B47:C47"/>
    <mergeCell ref="D47:E47"/>
    <mergeCell ref="F47:G47"/>
    <mergeCell ref="H47:I47"/>
    <mergeCell ref="A58:A64"/>
    <mergeCell ref="B58:C58"/>
    <mergeCell ref="D58:E58"/>
    <mergeCell ref="F58:G58"/>
    <mergeCell ref="H58:I58"/>
    <mergeCell ref="B59:C59"/>
    <mergeCell ref="A44:A47"/>
    <mergeCell ref="B61:C61"/>
    <mergeCell ref="D61:E61"/>
    <mergeCell ref="F61:G61"/>
    <mergeCell ref="H61:I61"/>
    <mergeCell ref="B62:C62"/>
    <mergeCell ref="D62:E62"/>
    <mergeCell ref="H62:I62"/>
    <mergeCell ref="D59:E59"/>
    <mergeCell ref="F59:G59"/>
    <mergeCell ref="H59:I59"/>
    <mergeCell ref="B44:C44"/>
    <mergeCell ref="D44:E44"/>
    <mergeCell ref="F44:G44"/>
    <mergeCell ref="H44:I44"/>
    <mergeCell ref="B45:C45"/>
    <mergeCell ref="D45:E45"/>
    <mergeCell ref="B60:C60"/>
    <mergeCell ref="D60:E60"/>
    <mergeCell ref="F60:G60"/>
    <mergeCell ref="F45:G45"/>
    <mergeCell ref="H45:I45"/>
    <mergeCell ref="B46:C46"/>
    <mergeCell ref="D46:E46"/>
    <mergeCell ref="F46:G46"/>
    <mergeCell ref="H46:I46"/>
    <mergeCell ref="H48:I48"/>
    <mergeCell ref="H49:I49"/>
    <mergeCell ref="H50:I50"/>
    <mergeCell ref="H51:I51"/>
    <mergeCell ref="F53:G53"/>
    <mergeCell ref="H52:I52"/>
    <mergeCell ref="H53:I53"/>
    <mergeCell ref="B40:C40"/>
    <mergeCell ref="D40:E40"/>
    <mergeCell ref="F40:G40"/>
    <mergeCell ref="H40:I40"/>
    <mergeCell ref="B42:C42"/>
    <mergeCell ref="D42:E42"/>
    <mergeCell ref="H42:I42"/>
    <mergeCell ref="B43:C43"/>
    <mergeCell ref="H39:I39"/>
    <mergeCell ref="D43:E43"/>
    <mergeCell ref="F42:G42"/>
    <mergeCell ref="H43:I43"/>
    <mergeCell ref="F43:G43"/>
    <mergeCell ref="D37:E37"/>
    <mergeCell ref="F37:G37"/>
    <mergeCell ref="H37:I37"/>
    <mergeCell ref="D34:E34"/>
    <mergeCell ref="F34:G34"/>
    <mergeCell ref="H34:I34"/>
    <mergeCell ref="B35:C35"/>
    <mergeCell ref="D35:E35"/>
    <mergeCell ref="F35:G35"/>
    <mergeCell ref="H35:I35"/>
    <mergeCell ref="F6:G6"/>
    <mergeCell ref="H6:I6"/>
    <mergeCell ref="A32:A40"/>
    <mergeCell ref="B32:C32"/>
    <mergeCell ref="D32:E32"/>
    <mergeCell ref="F32:G32"/>
    <mergeCell ref="H32:I32"/>
    <mergeCell ref="B33:C33"/>
    <mergeCell ref="D33:E33"/>
    <mergeCell ref="F33:G33"/>
    <mergeCell ref="H33:I33"/>
    <mergeCell ref="B34:C34"/>
    <mergeCell ref="B38:C38"/>
    <mergeCell ref="D38:E38"/>
    <mergeCell ref="F38:G38"/>
    <mergeCell ref="H38:I38"/>
    <mergeCell ref="B39:C39"/>
    <mergeCell ref="D39:E39"/>
    <mergeCell ref="F39:G39"/>
    <mergeCell ref="B36:C36"/>
    <mergeCell ref="D36:E36"/>
    <mergeCell ref="F36:G36"/>
    <mergeCell ref="H36:I36"/>
    <mergeCell ref="B37:C37"/>
    <mergeCell ref="F14:G14"/>
    <mergeCell ref="H14:I14"/>
    <mergeCell ref="B15:C15"/>
    <mergeCell ref="D15:E15"/>
    <mergeCell ref="F15:G15"/>
    <mergeCell ref="H15:I15"/>
    <mergeCell ref="D12:E12"/>
    <mergeCell ref="F11:G11"/>
    <mergeCell ref="H12:I12"/>
    <mergeCell ref="A13:A15"/>
    <mergeCell ref="B13:C13"/>
    <mergeCell ref="D13:E13"/>
    <mergeCell ref="F13:G13"/>
    <mergeCell ref="H13:I13"/>
    <mergeCell ref="B14:C14"/>
    <mergeCell ref="D14:E14"/>
    <mergeCell ref="B9:C9"/>
    <mergeCell ref="D9:E9"/>
    <mergeCell ref="F9:G9"/>
    <mergeCell ref="H9:I9"/>
    <mergeCell ref="A10:A12"/>
    <mergeCell ref="B10:C10"/>
    <mergeCell ref="D10:E10"/>
    <mergeCell ref="F10:G10"/>
    <mergeCell ref="H11:I11"/>
    <mergeCell ref="B12:C12"/>
    <mergeCell ref="A3:A9"/>
    <mergeCell ref="B3:C3"/>
    <mergeCell ref="D3:E3"/>
    <mergeCell ref="F3:G3"/>
    <mergeCell ref="H3:I3"/>
    <mergeCell ref="B4:C4"/>
    <mergeCell ref="D4:E4"/>
    <mergeCell ref="F81:G81"/>
    <mergeCell ref="H81:I81"/>
    <mergeCell ref="B82:C82"/>
    <mergeCell ref="D82:E82"/>
    <mergeCell ref="F82:G82"/>
    <mergeCell ref="F4:G4"/>
    <mergeCell ref="H4:I4"/>
    <mergeCell ref="B5:C5"/>
    <mergeCell ref="B11:C11"/>
    <mergeCell ref="D11:E11"/>
    <mergeCell ref="H10:I10"/>
    <mergeCell ref="B7:C7"/>
    <mergeCell ref="D7:E7"/>
    <mergeCell ref="H7:I7"/>
    <mergeCell ref="B8:C8"/>
    <mergeCell ref="D8:E8"/>
    <mergeCell ref="F8:G8"/>
    <mergeCell ref="H8:I8"/>
    <mergeCell ref="F7:G7"/>
    <mergeCell ref="D5:E5"/>
    <mergeCell ref="F5:G5"/>
    <mergeCell ref="H5:I5"/>
    <mergeCell ref="B6:C6"/>
    <mergeCell ref="D6:E6"/>
    <mergeCell ref="H82:I82"/>
    <mergeCell ref="B83:C83"/>
    <mergeCell ref="D83:E83"/>
    <mergeCell ref="F83:G83"/>
    <mergeCell ref="H83:I83"/>
    <mergeCell ref="A80:A86"/>
    <mergeCell ref="B84:C84"/>
    <mergeCell ref="D84:E84"/>
    <mergeCell ref="F84:G84"/>
    <mergeCell ref="H84:I84"/>
    <mergeCell ref="B85:C85"/>
    <mergeCell ref="D85:E85"/>
    <mergeCell ref="F85:G85"/>
    <mergeCell ref="H85:I85"/>
    <mergeCell ref="B86:C86"/>
    <mergeCell ref="D86:E86"/>
    <mergeCell ref="F86:G86"/>
    <mergeCell ref="H86:I86"/>
    <mergeCell ref="B80:C80"/>
    <mergeCell ref="D80:E80"/>
    <mergeCell ref="F80:G80"/>
    <mergeCell ref="H80:I80"/>
    <mergeCell ref="B81:C81"/>
    <mergeCell ref="D81:E81"/>
    <mergeCell ref="H87:I87"/>
    <mergeCell ref="B88:C88"/>
    <mergeCell ref="D88:E88"/>
    <mergeCell ref="F88:G88"/>
    <mergeCell ref="H88:I88"/>
    <mergeCell ref="B89:C89"/>
    <mergeCell ref="D89:E89"/>
    <mergeCell ref="H89:I89"/>
    <mergeCell ref="A90:A93"/>
    <mergeCell ref="B90:C90"/>
    <mergeCell ref="D90:E90"/>
    <mergeCell ref="F90:G90"/>
    <mergeCell ref="H90:I90"/>
    <mergeCell ref="B91:C91"/>
    <mergeCell ref="D91:E91"/>
    <mergeCell ref="F91:G91"/>
    <mergeCell ref="H91:I91"/>
    <mergeCell ref="B92:C92"/>
    <mergeCell ref="D92:E92"/>
    <mergeCell ref="H92:I92"/>
    <mergeCell ref="B93:C93"/>
    <mergeCell ref="D93:E93"/>
    <mergeCell ref="F93:G93"/>
    <mergeCell ref="H93:I93"/>
    <mergeCell ref="A16:B16"/>
    <mergeCell ref="C16:D16"/>
    <mergeCell ref="A17:B17"/>
    <mergeCell ref="A18:B18"/>
    <mergeCell ref="A19:B19"/>
    <mergeCell ref="A20:B20"/>
    <mergeCell ref="A21:B21"/>
    <mergeCell ref="C17:D17"/>
    <mergeCell ref="C18:D18"/>
    <mergeCell ref="C19:D19"/>
    <mergeCell ref="C20:D20"/>
    <mergeCell ref="C21:D21"/>
    <mergeCell ref="F16:G16"/>
    <mergeCell ref="H16:I16"/>
    <mergeCell ref="F19:G19"/>
    <mergeCell ref="F20:G20"/>
    <mergeCell ref="F21:G21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F17:G18"/>
    <mergeCell ref="F92:G92"/>
    <mergeCell ref="A48:B48"/>
    <mergeCell ref="A49:B49"/>
    <mergeCell ref="A50:B50"/>
    <mergeCell ref="A51:B51"/>
    <mergeCell ref="A54:B54"/>
    <mergeCell ref="A53:B53"/>
    <mergeCell ref="D54:E54"/>
    <mergeCell ref="D55:E55"/>
    <mergeCell ref="A52:B52"/>
    <mergeCell ref="C48:D48"/>
    <mergeCell ref="C49:D49"/>
    <mergeCell ref="C50:D50"/>
    <mergeCell ref="C51:D51"/>
    <mergeCell ref="C52:D52"/>
    <mergeCell ref="C53:D53"/>
    <mergeCell ref="F48:G48"/>
    <mergeCell ref="F49:G50"/>
    <mergeCell ref="F51:G51"/>
    <mergeCell ref="F52:G52"/>
    <mergeCell ref="A87:A89"/>
    <mergeCell ref="B87:C87"/>
    <mergeCell ref="D87:E87"/>
    <mergeCell ref="F87:G87"/>
    <mergeCell ref="A76:D76"/>
    <mergeCell ref="A77:D77"/>
    <mergeCell ref="F75:I75"/>
    <mergeCell ref="A72:B72"/>
    <mergeCell ref="C72:D72"/>
    <mergeCell ref="A73:B73"/>
    <mergeCell ref="C73:D73"/>
    <mergeCell ref="A74:B74"/>
    <mergeCell ref="C74:D74"/>
    <mergeCell ref="A75:B75"/>
    <mergeCell ref="C75:D75"/>
    <mergeCell ref="F72:G72"/>
    <mergeCell ref="H72:I72"/>
    <mergeCell ref="F73:G74"/>
    <mergeCell ref="H73:I73"/>
    <mergeCell ref="H74:I74"/>
    <mergeCell ref="F76:G76"/>
    <mergeCell ref="H76:I76"/>
    <mergeCell ref="F77:G77"/>
    <mergeCell ref="H77:I77"/>
    <mergeCell ref="A97:B97"/>
    <mergeCell ref="C97:D97"/>
    <mergeCell ref="F97:I97"/>
    <mergeCell ref="F98:G98"/>
    <mergeCell ref="H98:I98"/>
    <mergeCell ref="F99:G99"/>
    <mergeCell ref="H99:I99"/>
    <mergeCell ref="A94:B94"/>
    <mergeCell ref="C94:D94"/>
    <mergeCell ref="F94:G94"/>
    <mergeCell ref="H94:I94"/>
    <mergeCell ref="A95:B95"/>
    <mergeCell ref="C95:D95"/>
    <mergeCell ref="A96:B96"/>
    <mergeCell ref="C96:D96"/>
    <mergeCell ref="F95:I95"/>
    <mergeCell ref="F96:I96"/>
    <mergeCell ref="A186:B186"/>
    <mergeCell ref="C186:D186"/>
    <mergeCell ref="A187:B187"/>
    <mergeCell ref="C187:D187"/>
    <mergeCell ref="A188:B189"/>
    <mergeCell ref="C188:D188"/>
    <mergeCell ref="C189:D189"/>
    <mergeCell ref="A98:B99"/>
    <mergeCell ref="C98:D98"/>
    <mergeCell ref="C99:D99"/>
    <mergeCell ref="A122:B123"/>
    <mergeCell ref="C122:D122"/>
    <mergeCell ref="C123:D123"/>
    <mergeCell ref="A141:B141"/>
    <mergeCell ref="C141:D141"/>
    <mergeCell ref="A142:B142"/>
    <mergeCell ref="C142:D142"/>
    <mergeCell ref="A143:B144"/>
    <mergeCell ref="C143:D143"/>
    <mergeCell ref="C144:D144"/>
    <mergeCell ref="B109:C109"/>
    <mergeCell ref="A107:A113"/>
    <mergeCell ref="B107:C107"/>
    <mergeCell ref="D107:E107"/>
  </mergeCells>
  <pageMargins left="0.25" right="0.25" top="0.75" bottom="0.75" header="0.3" footer="0.3"/>
  <pageSetup scale="87" orientation="landscape" horizontalDpi="360" verticalDpi="360" r:id="rId1"/>
  <rowBreaks count="7" manualBreakCount="7">
    <brk id="29" max="8" man="1"/>
    <brk id="55" max="8" man="1"/>
    <brk id="77" max="8" man="1"/>
    <brk id="100" max="8" man="1"/>
    <brk id="125" max="8" man="1"/>
    <brk id="146" max="8" man="1"/>
    <brk id="170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U46"/>
  <sheetViews>
    <sheetView view="pageBreakPreview" topLeftCell="A8" zoomScale="71" zoomScaleNormal="86" zoomScaleSheetLayoutView="71" workbookViewId="0">
      <selection activeCell="B39" sqref="B39"/>
    </sheetView>
  </sheetViews>
  <sheetFormatPr defaultRowHeight="14.5"/>
  <cols>
    <col min="1" max="1" width="22.26953125" customWidth="1"/>
    <col min="2" max="2" width="21.7265625" customWidth="1"/>
    <col min="3" max="3" width="10.81640625" customWidth="1"/>
    <col min="4" max="4" width="8.453125" customWidth="1"/>
    <col min="5" max="5" width="10" customWidth="1"/>
    <col min="6" max="6" width="10.7265625" customWidth="1"/>
    <col min="7" max="8" width="7.7265625" customWidth="1"/>
    <col min="9" max="9" width="9.7265625" customWidth="1"/>
    <col min="10" max="10" width="12.81640625" customWidth="1"/>
    <col min="11" max="11" width="9" customWidth="1"/>
    <col min="12" max="12" width="23.1796875" customWidth="1"/>
    <col min="13" max="13" width="8.26953125" customWidth="1"/>
    <col min="14" max="14" width="5.81640625" customWidth="1"/>
    <col min="15" max="15" width="8.26953125" customWidth="1"/>
    <col min="16" max="16" width="7.453125" customWidth="1"/>
    <col min="17" max="17" width="7.7265625" customWidth="1"/>
    <col min="18" max="18" width="7.453125" customWidth="1"/>
    <col min="19" max="19" width="6.453125" customWidth="1"/>
    <col min="20" max="20" width="4.26953125" customWidth="1"/>
    <col min="21" max="21" width="5.81640625" customWidth="1"/>
    <col min="22" max="22" width="7.81640625" customWidth="1"/>
    <col min="23" max="23" width="32.7265625" customWidth="1"/>
  </cols>
  <sheetData>
    <row r="1" spans="1:21" ht="24.75" customHeight="1">
      <c r="A1" t="s">
        <v>47</v>
      </c>
      <c r="C1" s="12" t="s">
        <v>53</v>
      </c>
      <c r="D1" s="13"/>
      <c r="E1" s="13"/>
      <c r="F1" s="13"/>
      <c r="M1" s="13" t="s">
        <v>52</v>
      </c>
      <c r="N1" s="13"/>
    </row>
    <row r="2" spans="1:21">
      <c r="C2" s="2"/>
      <c r="L2" t="s">
        <v>211</v>
      </c>
    </row>
    <row r="3" spans="1:21">
      <c r="A3">
        <v>1</v>
      </c>
      <c r="B3" s="64" t="s">
        <v>405</v>
      </c>
      <c r="C3" s="3" t="s">
        <v>55</v>
      </c>
      <c r="J3" t="s">
        <v>166</v>
      </c>
      <c r="L3" t="s">
        <v>195</v>
      </c>
      <c r="M3" s="3" t="s">
        <v>54</v>
      </c>
      <c r="N3" s="3"/>
      <c r="U3" t="s">
        <v>112</v>
      </c>
    </row>
    <row r="4" spans="1:21">
      <c r="A4">
        <v>2</v>
      </c>
      <c r="B4" s="64" t="s">
        <v>420</v>
      </c>
      <c r="C4" s="3" t="s">
        <v>57</v>
      </c>
      <c r="J4" t="s">
        <v>155</v>
      </c>
      <c r="L4" t="s">
        <v>195</v>
      </c>
      <c r="M4" s="3" t="s">
        <v>56</v>
      </c>
      <c r="N4" s="3"/>
      <c r="U4" t="s">
        <v>149</v>
      </c>
    </row>
    <row r="5" spans="1:21">
      <c r="A5">
        <v>3</v>
      </c>
      <c r="B5" s="64" t="s">
        <v>398</v>
      </c>
      <c r="C5" s="3" t="s">
        <v>59</v>
      </c>
      <c r="J5" t="s">
        <v>156</v>
      </c>
      <c r="L5" t="s">
        <v>195</v>
      </c>
      <c r="M5" s="3" t="s">
        <v>58</v>
      </c>
      <c r="N5" s="3"/>
      <c r="U5" t="s">
        <v>113</v>
      </c>
    </row>
    <row r="6" spans="1:21">
      <c r="A6">
        <v>4</v>
      </c>
      <c r="B6" s="64" t="s">
        <v>401</v>
      </c>
      <c r="C6" s="3" t="s">
        <v>61</v>
      </c>
      <c r="J6" t="s">
        <v>132</v>
      </c>
      <c r="L6" t="s">
        <v>195</v>
      </c>
      <c r="M6" s="3" t="s">
        <v>60</v>
      </c>
      <c r="N6" s="3"/>
      <c r="U6" t="s">
        <v>117</v>
      </c>
    </row>
    <row r="7" spans="1:21">
      <c r="A7">
        <v>5</v>
      </c>
      <c r="B7" s="64" t="s">
        <v>410</v>
      </c>
      <c r="C7" s="3" t="s">
        <v>63</v>
      </c>
      <c r="J7" t="s">
        <v>146</v>
      </c>
      <c r="L7" t="s">
        <v>195</v>
      </c>
      <c r="M7" s="3" t="s">
        <v>62</v>
      </c>
      <c r="N7" s="3"/>
      <c r="U7" t="s">
        <v>114</v>
      </c>
    </row>
    <row r="8" spans="1:21">
      <c r="A8">
        <v>6</v>
      </c>
      <c r="B8" s="64" t="s">
        <v>408</v>
      </c>
      <c r="C8" s="3" t="s">
        <v>65</v>
      </c>
      <c r="J8" s="3" t="s">
        <v>65</v>
      </c>
      <c r="L8" t="s">
        <v>195</v>
      </c>
      <c r="M8" s="3" t="s">
        <v>64</v>
      </c>
      <c r="N8" s="3"/>
      <c r="U8" t="s">
        <v>125</v>
      </c>
    </row>
    <row r="9" spans="1:21">
      <c r="A9">
        <v>7</v>
      </c>
      <c r="B9" s="64" t="s">
        <v>404</v>
      </c>
      <c r="C9" s="3" t="s">
        <v>67</v>
      </c>
      <c r="J9" t="s">
        <v>133</v>
      </c>
      <c r="L9" t="s">
        <v>195</v>
      </c>
      <c r="M9" s="3" t="s">
        <v>66</v>
      </c>
      <c r="N9" s="3"/>
      <c r="U9" t="s">
        <v>122</v>
      </c>
    </row>
    <row r="10" spans="1:21">
      <c r="A10">
        <v>8</v>
      </c>
      <c r="B10" s="64" t="s">
        <v>414</v>
      </c>
      <c r="C10" s="3" t="s">
        <v>69</v>
      </c>
      <c r="J10" s="3" t="s">
        <v>69</v>
      </c>
      <c r="L10" t="s">
        <v>6</v>
      </c>
      <c r="M10" s="3" t="s">
        <v>68</v>
      </c>
      <c r="N10" s="3"/>
      <c r="U10" t="s">
        <v>150</v>
      </c>
    </row>
    <row r="11" spans="1:21">
      <c r="A11">
        <v>9</v>
      </c>
      <c r="B11" s="64" t="s">
        <v>399</v>
      </c>
      <c r="C11" s="2" t="s">
        <v>71</v>
      </c>
      <c r="J11" s="2" t="s">
        <v>71</v>
      </c>
      <c r="L11" t="s">
        <v>6</v>
      </c>
      <c r="M11" s="3" t="s">
        <v>70</v>
      </c>
      <c r="N11" s="3"/>
      <c r="U11" t="s">
        <v>118</v>
      </c>
    </row>
    <row r="12" spans="1:21">
      <c r="A12">
        <v>10</v>
      </c>
      <c r="B12" s="64" t="s">
        <v>416</v>
      </c>
      <c r="C12" s="2" t="s">
        <v>73</v>
      </c>
      <c r="J12" s="2" t="s">
        <v>73</v>
      </c>
      <c r="L12" t="s">
        <v>6</v>
      </c>
      <c r="M12" s="3" t="s">
        <v>72</v>
      </c>
      <c r="N12" s="3"/>
      <c r="U12" t="s">
        <v>119</v>
      </c>
    </row>
    <row r="13" spans="1:21">
      <c r="A13">
        <v>11</v>
      </c>
      <c r="B13" s="64" t="s">
        <v>418</v>
      </c>
      <c r="C13" s="2" t="s">
        <v>75</v>
      </c>
      <c r="J13" s="2" t="s">
        <v>75</v>
      </c>
      <c r="L13" t="s">
        <v>6</v>
      </c>
      <c r="M13" s="3" t="s">
        <v>74</v>
      </c>
      <c r="N13" s="3"/>
      <c r="U13" t="s">
        <v>124</v>
      </c>
    </row>
    <row r="14" spans="1:21">
      <c r="A14">
        <v>12</v>
      </c>
      <c r="B14" s="64" t="s">
        <v>412</v>
      </c>
      <c r="C14" s="2" t="s">
        <v>77</v>
      </c>
      <c r="J14" s="2" t="s">
        <v>77</v>
      </c>
      <c r="L14" t="s">
        <v>6</v>
      </c>
      <c r="M14" s="3" t="s">
        <v>76</v>
      </c>
      <c r="N14" s="3"/>
      <c r="U14" t="s">
        <v>120</v>
      </c>
    </row>
    <row r="15" spans="1:21">
      <c r="A15">
        <v>13</v>
      </c>
      <c r="B15" s="64" t="s">
        <v>403</v>
      </c>
      <c r="C15" s="2" t="s">
        <v>79</v>
      </c>
      <c r="J15" s="2" t="s">
        <v>79</v>
      </c>
      <c r="L15" t="s">
        <v>6</v>
      </c>
      <c r="M15" s="3" t="s">
        <v>78</v>
      </c>
      <c r="N15" s="3"/>
      <c r="U15" t="s">
        <v>115</v>
      </c>
    </row>
    <row r="16" spans="1:21">
      <c r="A16">
        <v>14</v>
      </c>
      <c r="B16" s="64" t="s">
        <v>397</v>
      </c>
      <c r="C16" s="2" t="s">
        <v>81</v>
      </c>
      <c r="J16" s="2" t="s">
        <v>81</v>
      </c>
      <c r="L16" t="s">
        <v>6</v>
      </c>
      <c r="M16" s="3" t="s">
        <v>80</v>
      </c>
      <c r="N16" s="3"/>
      <c r="U16" t="s">
        <v>121</v>
      </c>
    </row>
    <row r="17" spans="1:21">
      <c r="A17">
        <v>15</v>
      </c>
      <c r="B17" s="64" t="s">
        <v>413</v>
      </c>
      <c r="C17" s="2" t="s">
        <v>83</v>
      </c>
      <c r="J17" s="2" t="s">
        <v>83</v>
      </c>
      <c r="L17" t="s">
        <v>6</v>
      </c>
      <c r="M17" s="3" t="s">
        <v>82</v>
      </c>
      <c r="N17" s="3"/>
      <c r="U17" t="s">
        <v>151</v>
      </c>
    </row>
    <row r="18" spans="1:21" ht="15.5">
      <c r="A18">
        <v>16</v>
      </c>
      <c r="B18" s="64" t="s">
        <v>407</v>
      </c>
      <c r="C18" s="2" t="s">
        <v>85</v>
      </c>
      <c r="J18" s="2" t="s">
        <v>85</v>
      </c>
      <c r="L18" t="s">
        <v>6</v>
      </c>
      <c r="M18" s="4" t="s">
        <v>84</v>
      </c>
      <c r="Q18" t="s">
        <v>111</v>
      </c>
      <c r="U18" s="4" t="s">
        <v>84</v>
      </c>
    </row>
    <row r="19" spans="1:21" ht="15.5">
      <c r="A19">
        <v>17</v>
      </c>
      <c r="B19" s="64" t="s">
        <v>411</v>
      </c>
      <c r="C19" s="2" t="s">
        <v>87</v>
      </c>
      <c r="J19" s="2" t="s">
        <v>87</v>
      </c>
      <c r="L19" t="s">
        <v>196</v>
      </c>
      <c r="M19" s="4" t="s">
        <v>86</v>
      </c>
      <c r="Q19" t="s">
        <v>111</v>
      </c>
      <c r="U19" t="s">
        <v>123</v>
      </c>
    </row>
    <row r="20" spans="1:21">
      <c r="A20">
        <v>18</v>
      </c>
      <c r="B20" s="64" t="s">
        <v>402</v>
      </c>
      <c r="C20" s="2" t="s">
        <v>88</v>
      </c>
      <c r="J20" s="2" t="s">
        <v>88</v>
      </c>
      <c r="L20" t="s">
        <v>7</v>
      </c>
    </row>
    <row r="21" spans="1:21">
      <c r="A21">
        <v>19</v>
      </c>
      <c r="B21" s="64" t="s">
        <v>421</v>
      </c>
      <c r="C21" s="2" t="s">
        <v>89</v>
      </c>
      <c r="J21" t="s">
        <v>129</v>
      </c>
      <c r="L21" t="s">
        <v>7</v>
      </c>
    </row>
    <row r="22" spans="1:21">
      <c r="A22">
        <v>20</v>
      </c>
      <c r="B22" s="64" t="s">
        <v>400</v>
      </c>
      <c r="C22" s="2" t="s">
        <v>90</v>
      </c>
      <c r="J22" t="s">
        <v>130</v>
      </c>
      <c r="L22" t="s">
        <v>7</v>
      </c>
    </row>
    <row r="23" spans="1:21">
      <c r="A23">
        <v>21</v>
      </c>
      <c r="B23" s="64" t="s">
        <v>422</v>
      </c>
      <c r="C23" s="2" t="s">
        <v>91</v>
      </c>
      <c r="J23" t="s">
        <v>140</v>
      </c>
      <c r="L23" t="s">
        <v>196</v>
      </c>
      <c r="U23" t="s">
        <v>51</v>
      </c>
    </row>
    <row r="24" spans="1:21">
      <c r="A24">
        <v>22</v>
      </c>
      <c r="B24" s="64" t="s">
        <v>417</v>
      </c>
      <c r="C24" s="2" t="s">
        <v>92</v>
      </c>
      <c r="J24" t="s">
        <v>141</v>
      </c>
      <c r="L24" t="s">
        <v>7</v>
      </c>
    </row>
    <row r="25" spans="1:21">
      <c r="A25">
        <v>23</v>
      </c>
      <c r="B25" s="64" t="s">
        <v>406</v>
      </c>
      <c r="C25" s="2" t="s">
        <v>93</v>
      </c>
      <c r="J25" t="s">
        <v>142</v>
      </c>
      <c r="L25" t="s">
        <v>7</v>
      </c>
    </row>
    <row r="26" spans="1:21" ht="17.5">
      <c r="A26">
        <v>24</v>
      </c>
      <c r="B26" s="64" t="s">
        <v>419</v>
      </c>
      <c r="C26" s="2" t="s">
        <v>94</v>
      </c>
      <c r="J26" t="s">
        <v>143</v>
      </c>
      <c r="L26" t="s">
        <v>131</v>
      </c>
    </row>
    <row r="27" spans="1:21">
      <c r="A27">
        <v>25</v>
      </c>
      <c r="B27" s="64" t="s">
        <v>409</v>
      </c>
      <c r="C27" s="2" t="s">
        <v>95</v>
      </c>
      <c r="J27" t="s">
        <v>144</v>
      </c>
      <c r="L27" t="s">
        <v>7</v>
      </c>
    </row>
    <row r="28" spans="1:21">
      <c r="A28">
        <v>26</v>
      </c>
      <c r="B28" s="64" t="s">
        <v>415</v>
      </c>
      <c r="C28" s="2" t="s">
        <v>96</v>
      </c>
      <c r="J28" t="s">
        <v>169</v>
      </c>
      <c r="L28" t="s">
        <v>9</v>
      </c>
    </row>
    <row r="29" spans="1:21">
      <c r="A29" t="s">
        <v>436</v>
      </c>
      <c r="B29" s="64" t="s">
        <v>432</v>
      </c>
      <c r="C29" s="2" t="s">
        <v>86</v>
      </c>
      <c r="J29" t="s">
        <v>123</v>
      </c>
      <c r="L29" t="s">
        <v>9</v>
      </c>
      <c r="N29" t="s">
        <v>51</v>
      </c>
    </row>
    <row r="30" spans="1:21">
      <c r="A30" t="s">
        <v>437</v>
      </c>
      <c r="B30" s="64" t="s">
        <v>433</v>
      </c>
      <c r="C30" s="2" t="s">
        <v>97</v>
      </c>
      <c r="J30" t="s">
        <v>145</v>
      </c>
      <c r="L30" t="s">
        <v>9</v>
      </c>
    </row>
    <row r="31" spans="1:21">
      <c r="A31" t="s">
        <v>440</v>
      </c>
      <c r="B31" s="64" t="s">
        <v>434</v>
      </c>
      <c r="C31" s="2" t="s">
        <v>98</v>
      </c>
      <c r="J31" s="2" t="s">
        <v>152</v>
      </c>
      <c r="L31" t="s">
        <v>9</v>
      </c>
    </row>
    <row r="32" spans="1:21">
      <c r="A32" t="s">
        <v>441</v>
      </c>
      <c r="B32" s="64" t="s">
        <v>439</v>
      </c>
      <c r="C32" s="2" t="s">
        <v>99</v>
      </c>
      <c r="J32" s="2" t="s">
        <v>153</v>
      </c>
      <c r="L32" t="s">
        <v>9</v>
      </c>
    </row>
    <row r="33" spans="1:12">
      <c r="A33" t="s">
        <v>442</v>
      </c>
      <c r="B33" s="64" t="s">
        <v>435</v>
      </c>
      <c r="C33" s="2" t="s">
        <v>100</v>
      </c>
      <c r="J33" s="2" t="s">
        <v>100</v>
      </c>
    </row>
    <row r="34" spans="1:12">
      <c r="A34">
        <v>32</v>
      </c>
      <c r="B34" s="64" t="s">
        <v>381</v>
      </c>
      <c r="C34" t="s">
        <v>101</v>
      </c>
      <c r="J34" s="2" t="s">
        <v>167</v>
      </c>
      <c r="L34" t="s">
        <v>10</v>
      </c>
    </row>
    <row r="35" spans="1:12">
      <c r="A35">
        <v>33</v>
      </c>
      <c r="B35" s="64" t="s">
        <v>387</v>
      </c>
      <c r="C35" s="5" t="s">
        <v>102</v>
      </c>
      <c r="J35" s="5" t="s">
        <v>102</v>
      </c>
      <c r="L35" t="s">
        <v>10</v>
      </c>
    </row>
    <row r="36" spans="1:12">
      <c r="A36">
        <v>34</v>
      </c>
      <c r="B36" s="64"/>
      <c r="C36" t="s">
        <v>103</v>
      </c>
      <c r="H36" t="s">
        <v>51</v>
      </c>
      <c r="J36" t="s">
        <v>103</v>
      </c>
      <c r="L36" t="s">
        <v>10</v>
      </c>
    </row>
    <row r="37" spans="1:12">
      <c r="A37">
        <v>35</v>
      </c>
      <c r="B37" s="64"/>
      <c r="C37" t="s">
        <v>147</v>
      </c>
      <c r="J37" t="s">
        <v>147</v>
      </c>
      <c r="L37" t="s">
        <v>104</v>
      </c>
    </row>
    <row r="38" spans="1:12">
      <c r="A38">
        <v>36</v>
      </c>
      <c r="B38" s="64"/>
      <c r="C38" s="2" t="s">
        <v>106</v>
      </c>
      <c r="J38" t="s">
        <v>126</v>
      </c>
      <c r="L38" t="s">
        <v>105</v>
      </c>
    </row>
    <row r="39" spans="1:12">
      <c r="A39">
        <v>37</v>
      </c>
      <c r="B39" s="64"/>
      <c r="C39" t="s">
        <v>107</v>
      </c>
      <c r="J39" t="s">
        <v>127</v>
      </c>
      <c r="L39" t="s">
        <v>105</v>
      </c>
    </row>
    <row r="40" spans="1:12">
      <c r="A40">
        <v>38</v>
      </c>
      <c r="B40" s="64"/>
      <c r="C40" t="s">
        <v>109</v>
      </c>
      <c r="J40" t="s">
        <v>109</v>
      </c>
      <c r="L40" t="s">
        <v>197</v>
      </c>
    </row>
    <row r="41" spans="1:12">
      <c r="A41">
        <v>39</v>
      </c>
      <c r="B41" s="64"/>
      <c r="C41" s="2" t="s">
        <v>110</v>
      </c>
      <c r="J41" t="s">
        <v>148</v>
      </c>
      <c r="L41" t="s">
        <v>108</v>
      </c>
    </row>
    <row r="42" spans="1:12">
      <c r="A42">
        <v>40</v>
      </c>
      <c r="B42" s="64"/>
      <c r="C42" s="2" t="s">
        <v>212</v>
      </c>
      <c r="L42" t="s">
        <v>198</v>
      </c>
    </row>
    <row r="43" spans="1:12">
      <c r="A43">
        <v>41</v>
      </c>
      <c r="B43" s="64"/>
    </row>
    <row r="44" spans="1:12">
      <c r="A44">
        <v>42</v>
      </c>
      <c r="B44" s="64"/>
    </row>
    <row r="45" spans="1:12">
      <c r="A45">
        <v>43</v>
      </c>
      <c r="B45" s="64"/>
    </row>
    <row r="46" spans="1:12">
      <c r="A46">
        <v>44</v>
      </c>
      <c r="B46" s="64"/>
    </row>
  </sheetData>
  <sortState xmlns:xlrd2="http://schemas.microsoft.com/office/spreadsheetml/2017/richdata2" ref="A3:B46">
    <sortCondition ref="B3"/>
  </sortState>
  <pageMargins left="0.25" right="0.25" top="0.75" bottom="0.75" header="0.3" footer="0.3"/>
  <pageSetup paperSize="9" scale="89" orientation="portrait" horizontalDpi="360" verticalDpi="360" r:id="rId1"/>
  <colBreaks count="3" manualBreakCount="3">
    <brk id="2" max="1048575" man="1"/>
    <brk id="12" max="50" man="1"/>
    <brk id="22" max="5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GL153"/>
  <sheetViews>
    <sheetView view="pageBreakPreview" zoomScale="95" zoomScaleNormal="100" zoomScaleSheetLayoutView="95" workbookViewId="0">
      <selection activeCell="DZ39" sqref="DZ39:EB39"/>
    </sheetView>
  </sheetViews>
  <sheetFormatPr defaultColWidth="9.1796875" defaultRowHeight="14"/>
  <cols>
    <col min="1" max="1" width="10.54296875" style="1" customWidth="1"/>
    <col min="2" max="2" width="9.1796875" style="1" customWidth="1"/>
    <col min="3" max="12" width="10.81640625" style="1" customWidth="1"/>
    <col min="13" max="13" width="10.54296875" style="1" customWidth="1"/>
    <col min="14" max="14" width="9.1796875" style="1"/>
    <col min="15" max="24" width="10.81640625" style="1" customWidth="1"/>
    <col min="25" max="25" width="10.26953125" style="1" customWidth="1"/>
    <col min="26" max="26" width="9.1796875" style="1"/>
    <col min="27" max="36" width="10.81640625" style="1" customWidth="1"/>
    <col min="37" max="37" width="10.26953125" style="1" customWidth="1"/>
    <col min="38" max="38" width="9.1796875" style="1"/>
    <col min="39" max="48" width="10.81640625" style="1" customWidth="1"/>
    <col min="49" max="49" width="11.1796875" style="1" customWidth="1"/>
    <col min="50" max="50" width="9.1796875" style="1"/>
    <col min="51" max="60" width="10.81640625" style="1" customWidth="1"/>
    <col min="61" max="61" width="11.453125" style="1" customWidth="1"/>
    <col min="62" max="62" width="9.1796875" style="1"/>
    <col min="63" max="72" width="10.81640625" style="1" customWidth="1"/>
    <col min="73" max="73" width="9.81640625" style="1" customWidth="1"/>
    <col min="74" max="74" width="9.1796875" style="1"/>
    <col min="75" max="84" width="10.81640625" style="1" customWidth="1"/>
    <col min="85" max="85" width="11.26953125" style="1" customWidth="1"/>
    <col min="86" max="86" width="9.1796875" style="1"/>
    <col min="87" max="96" width="10.81640625" style="1" customWidth="1"/>
    <col min="97" max="97" width="12.7265625" style="1" customWidth="1"/>
    <col min="98" max="98" width="9.1796875" style="1"/>
    <col min="99" max="108" width="10.81640625" style="1" customWidth="1"/>
    <col min="109" max="109" width="11" style="1" customWidth="1"/>
    <col min="110" max="110" width="9.1796875" style="1"/>
    <col min="111" max="116" width="10.81640625" style="1" customWidth="1"/>
    <col min="117" max="117" width="11" style="1" customWidth="1"/>
    <col min="118" max="120" width="10.81640625" style="1" customWidth="1"/>
    <col min="121" max="121" width="10.26953125" style="1" customWidth="1"/>
    <col min="122" max="123" width="9.1796875" style="1"/>
    <col min="124" max="132" width="11.1796875" style="1" customWidth="1"/>
    <col min="133" max="134" width="9.1796875" style="1"/>
    <col min="135" max="144" width="11" style="1" customWidth="1"/>
    <col min="145" max="146" width="0" style="1" hidden="1" customWidth="1"/>
    <col min="147" max="156" width="11" style="1" hidden="1" customWidth="1"/>
    <col min="157" max="158" width="0" style="1" hidden="1" customWidth="1"/>
    <col min="159" max="168" width="11" style="1" hidden="1" customWidth="1"/>
    <col min="169" max="170" width="0" style="1" hidden="1" customWidth="1"/>
    <col min="171" max="180" width="10.81640625" style="1" hidden="1" customWidth="1"/>
    <col min="181" max="182" width="9.1796875" style="1"/>
    <col min="183" max="192" width="11" style="1" customWidth="1"/>
    <col min="193" max="16384" width="9.1796875" style="1"/>
  </cols>
  <sheetData>
    <row r="1" spans="1:193">
      <c r="A1" s="258" t="s">
        <v>285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 t="s">
        <v>285</v>
      </c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 t="s">
        <v>285</v>
      </c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 t="s">
        <v>285</v>
      </c>
      <c r="AL1" s="258"/>
      <c r="AM1" s="258"/>
      <c r="AN1" s="258"/>
      <c r="AO1" s="258"/>
      <c r="AP1" s="258"/>
      <c r="AQ1" s="258"/>
      <c r="AR1" s="258"/>
      <c r="AS1" s="258"/>
      <c r="AT1" s="258"/>
      <c r="AU1" s="258"/>
      <c r="AV1" s="258"/>
      <c r="AW1" s="258" t="s">
        <v>51</v>
      </c>
      <c r="AX1" s="258"/>
      <c r="AY1" s="258"/>
      <c r="AZ1" s="258"/>
      <c r="BA1" s="258"/>
      <c r="BB1" s="258"/>
      <c r="BC1" s="258"/>
      <c r="BD1" s="258"/>
      <c r="BE1" s="258"/>
      <c r="BF1" s="258"/>
      <c r="BG1" s="258"/>
      <c r="BH1" s="258"/>
      <c r="BI1" s="258" t="s">
        <v>285</v>
      </c>
      <c r="BJ1" s="258"/>
      <c r="BK1" s="258"/>
      <c r="BL1" s="258"/>
      <c r="BM1" s="258"/>
      <c r="BN1" s="258"/>
      <c r="BO1" s="258"/>
      <c r="BP1" s="258"/>
      <c r="BQ1" s="258"/>
      <c r="BR1" s="258"/>
      <c r="BS1" s="258"/>
      <c r="BT1" s="258"/>
      <c r="BU1" s="258" t="s">
        <v>285</v>
      </c>
      <c r="BV1" s="258"/>
      <c r="BW1" s="258"/>
      <c r="BX1" s="258"/>
      <c r="BY1" s="258"/>
      <c r="BZ1" s="258"/>
      <c r="CA1" s="258"/>
      <c r="CB1" s="258"/>
      <c r="CC1" s="258"/>
      <c r="CD1" s="258"/>
      <c r="CE1" s="258"/>
      <c r="CF1" s="258"/>
      <c r="CG1" s="258" t="s">
        <v>285</v>
      </c>
      <c r="CH1" s="258"/>
      <c r="CI1" s="258"/>
      <c r="CJ1" s="258"/>
      <c r="CK1" s="258"/>
      <c r="CL1" s="258"/>
      <c r="CM1" s="258"/>
      <c r="CN1" s="258"/>
      <c r="CO1" s="258"/>
      <c r="CP1" s="258"/>
      <c r="CQ1" s="258"/>
      <c r="CR1" s="258"/>
      <c r="CS1" s="258" t="s">
        <v>285</v>
      </c>
      <c r="CT1" s="258"/>
      <c r="CU1" s="258"/>
      <c r="CV1" s="258"/>
      <c r="CW1" s="258"/>
      <c r="CX1" s="258"/>
      <c r="CY1" s="258"/>
      <c r="CZ1" s="258"/>
      <c r="DA1" s="258"/>
      <c r="DB1" s="258"/>
      <c r="DC1" s="258"/>
      <c r="DD1" s="258"/>
      <c r="DE1" s="258" t="s">
        <v>285</v>
      </c>
      <c r="DF1" s="258"/>
      <c r="DG1" s="258"/>
      <c r="DH1" s="258"/>
      <c r="DI1" s="258"/>
      <c r="DJ1" s="258"/>
      <c r="DK1" s="258"/>
      <c r="DL1" s="258"/>
      <c r="DM1" s="258"/>
      <c r="DN1" s="258"/>
      <c r="DO1" s="258"/>
      <c r="DP1" s="258"/>
      <c r="DQ1" s="258" t="s">
        <v>285</v>
      </c>
      <c r="DR1" s="258"/>
      <c r="DS1" s="258"/>
      <c r="DT1" s="258"/>
      <c r="DU1" s="258"/>
      <c r="DV1" s="258"/>
      <c r="DW1" s="258"/>
      <c r="DX1" s="258"/>
      <c r="DY1" s="258"/>
      <c r="DZ1" s="258"/>
      <c r="EA1" s="258"/>
      <c r="EB1" s="258"/>
      <c r="EC1" s="258" t="s">
        <v>285</v>
      </c>
      <c r="ED1" s="258"/>
      <c r="EE1" s="258"/>
      <c r="EF1" s="258"/>
      <c r="EG1" s="258"/>
      <c r="EH1" s="258"/>
      <c r="EI1" s="258"/>
      <c r="EJ1" s="258"/>
      <c r="EK1" s="258"/>
      <c r="EL1" s="258"/>
      <c r="EM1" s="258"/>
      <c r="EN1" s="258"/>
      <c r="EO1" s="258" t="s">
        <v>285</v>
      </c>
      <c r="EP1" s="258"/>
      <c r="EQ1" s="258"/>
      <c r="ER1" s="258"/>
      <c r="ES1" s="258"/>
      <c r="ET1" s="258"/>
      <c r="EU1" s="258"/>
      <c r="EV1" s="258"/>
      <c r="EW1" s="258"/>
      <c r="EX1" s="258"/>
      <c r="EY1" s="258"/>
      <c r="EZ1" s="258"/>
      <c r="FA1" s="258" t="s">
        <v>285</v>
      </c>
      <c r="FB1" s="258"/>
      <c r="FC1" s="258"/>
      <c r="FD1" s="258"/>
      <c r="FE1" s="258"/>
      <c r="FF1" s="258"/>
      <c r="FG1" s="258"/>
      <c r="FH1" s="258"/>
      <c r="FI1" s="258"/>
      <c r="FJ1" s="258"/>
      <c r="FK1" s="258"/>
      <c r="FL1" s="258"/>
      <c r="FM1" s="258" t="s">
        <v>285</v>
      </c>
      <c r="FN1" s="258"/>
      <c r="FO1" s="258"/>
      <c r="FP1" s="258"/>
      <c r="FQ1" s="258"/>
      <c r="FR1" s="258"/>
      <c r="FS1" s="258"/>
      <c r="FT1" s="258"/>
      <c r="FU1" s="258"/>
      <c r="FV1" s="258"/>
      <c r="FW1" s="258"/>
      <c r="FX1" s="258"/>
      <c r="FY1" s="258" t="s">
        <v>285</v>
      </c>
      <c r="FZ1" s="258"/>
      <c r="GA1" s="258"/>
      <c r="GB1" s="258"/>
      <c r="GC1" s="258"/>
      <c r="GD1" s="258"/>
      <c r="GE1" s="258"/>
      <c r="GF1" s="258"/>
      <c r="GG1" s="258"/>
      <c r="GH1" s="258"/>
      <c r="GI1" s="258"/>
      <c r="GJ1" s="258"/>
      <c r="GK1" s="1" t="s">
        <v>51</v>
      </c>
    </row>
    <row r="2" spans="1:193">
      <c r="A2" s="258" t="s">
        <v>1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 t="s">
        <v>1</v>
      </c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 t="s">
        <v>1</v>
      </c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 t="s">
        <v>1</v>
      </c>
      <c r="AL2" s="258"/>
      <c r="AM2" s="258"/>
      <c r="AN2" s="258"/>
      <c r="AO2" s="258"/>
      <c r="AP2" s="258"/>
      <c r="AQ2" s="258"/>
      <c r="AR2" s="258"/>
      <c r="AS2" s="258"/>
      <c r="AT2" s="258"/>
      <c r="AU2" s="258"/>
      <c r="AV2" s="258"/>
      <c r="AW2" s="258" t="s">
        <v>1</v>
      </c>
      <c r="AX2" s="258"/>
      <c r="AY2" s="258"/>
      <c r="AZ2" s="258"/>
      <c r="BA2" s="258"/>
      <c r="BB2" s="258"/>
      <c r="BC2" s="258"/>
      <c r="BD2" s="258"/>
      <c r="BE2" s="258"/>
      <c r="BF2" s="258"/>
      <c r="BG2" s="258"/>
      <c r="BH2" s="258"/>
      <c r="BI2" s="258" t="s">
        <v>1</v>
      </c>
      <c r="BJ2" s="258"/>
      <c r="BK2" s="258"/>
      <c r="BL2" s="258"/>
      <c r="BM2" s="258"/>
      <c r="BN2" s="258"/>
      <c r="BO2" s="258"/>
      <c r="BP2" s="258"/>
      <c r="BQ2" s="258"/>
      <c r="BR2" s="258"/>
      <c r="BS2" s="258"/>
      <c r="BT2" s="258"/>
      <c r="BU2" s="258" t="s">
        <v>1</v>
      </c>
      <c r="BV2" s="258"/>
      <c r="BW2" s="258"/>
      <c r="BX2" s="258"/>
      <c r="BY2" s="258"/>
      <c r="BZ2" s="258"/>
      <c r="CA2" s="258"/>
      <c r="CB2" s="258"/>
      <c r="CC2" s="258"/>
      <c r="CD2" s="258"/>
      <c r="CE2" s="258"/>
      <c r="CF2" s="258"/>
      <c r="CG2" s="258" t="s">
        <v>1</v>
      </c>
      <c r="CH2" s="258"/>
      <c r="CI2" s="258"/>
      <c r="CJ2" s="258"/>
      <c r="CK2" s="258"/>
      <c r="CL2" s="258"/>
      <c r="CM2" s="258"/>
      <c r="CN2" s="258"/>
      <c r="CO2" s="258"/>
      <c r="CP2" s="258"/>
      <c r="CQ2" s="258"/>
      <c r="CR2" s="258"/>
      <c r="CS2" s="258" t="s">
        <v>1</v>
      </c>
      <c r="CT2" s="258"/>
      <c r="CU2" s="258"/>
      <c r="CV2" s="258"/>
      <c r="CW2" s="258"/>
      <c r="CX2" s="258"/>
      <c r="CY2" s="258"/>
      <c r="CZ2" s="258"/>
      <c r="DA2" s="258"/>
      <c r="DB2" s="258"/>
      <c r="DC2" s="258"/>
      <c r="DD2" s="258"/>
      <c r="DE2" s="258" t="s">
        <v>1</v>
      </c>
      <c r="DF2" s="258"/>
      <c r="DG2" s="258"/>
      <c r="DH2" s="258"/>
      <c r="DI2" s="258"/>
      <c r="DJ2" s="258"/>
      <c r="DK2" s="258"/>
      <c r="DL2" s="258"/>
      <c r="DM2" s="258"/>
      <c r="DN2" s="258"/>
      <c r="DO2" s="258"/>
      <c r="DP2" s="258"/>
      <c r="DQ2" s="258" t="s">
        <v>1</v>
      </c>
      <c r="DR2" s="258"/>
      <c r="DS2" s="258"/>
      <c r="DT2" s="258"/>
      <c r="DU2" s="258"/>
      <c r="DV2" s="258"/>
      <c r="DW2" s="258"/>
      <c r="DX2" s="258"/>
      <c r="DY2" s="258"/>
      <c r="DZ2" s="258"/>
      <c r="EA2" s="258"/>
      <c r="EB2" s="258"/>
      <c r="EC2" s="258" t="s">
        <v>1</v>
      </c>
      <c r="ED2" s="258"/>
      <c r="EE2" s="258"/>
      <c r="EF2" s="258"/>
      <c r="EG2" s="258"/>
      <c r="EH2" s="258"/>
      <c r="EI2" s="258"/>
      <c r="EJ2" s="258"/>
      <c r="EK2" s="258"/>
      <c r="EL2" s="258"/>
      <c r="EM2" s="258"/>
      <c r="EN2" s="258"/>
      <c r="EO2" s="258" t="s">
        <v>1</v>
      </c>
      <c r="EP2" s="258"/>
      <c r="EQ2" s="258"/>
      <c r="ER2" s="258"/>
      <c r="ES2" s="258"/>
      <c r="ET2" s="258"/>
      <c r="EU2" s="258"/>
      <c r="EV2" s="258"/>
      <c r="EW2" s="258"/>
      <c r="EX2" s="258"/>
      <c r="EY2" s="258"/>
      <c r="EZ2" s="258"/>
      <c r="FA2" s="258" t="s">
        <v>1</v>
      </c>
      <c r="FB2" s="258"/>
      <c r="FC2" s="258"/>
      <c r="FD2" s="258"/>
      <c r="FE2" s="258"/>
      <c r="FF2" s="258"/>
      <c r="FG2" s="258"/>
      <c r="FH2" s="258"/>
      <c r="FI2" s="258"/>
      <c r="FJ2" s="258"/>
      <c r="FK2" s="258"/>
      <c r="FL2" s="258"/>
      <c r="FM2" s="258" t="s">
        <v>1</v>
      </c>
      <c r="FN2" s="258"/>
      <c r="FO2" s="258"/>
      <c r="FP2" s="258"/>
      <c r="FQ2" s="258"/>
      <c r="FR2" s="258"/>
      <c r="FS2" s="258"/>
      <c r="FT2" s="258"/>
      <c r="FU2" s="258"/>
      <c r="FV2" s="258"/>
      <c r="FW2" s="258"/>
      <c r="FX2" s="258"/>
      <c r="FY2" s="258" t="s">
        <v>1</v>
      </c>
      <c r="FZ2" s="258"/>
      <c r="GA2" s="258"/>
      <c r="GB2" s="258"/>
      <c r="GC2" s="258"/>
      <c r="GD2" s="258"/>
      <c r="GE2" s="258"/>
      <c r="GF2" s="258"/>
      <c r="GG2" s="258"/>
      <c r="GH2" s="258"/>
      <c r="GI2" s="258"/>
      <c r="GJ2" s="258"/>
    </row>
    <row r="3" spans="1:193">
      <c r="A3" s="258" t="s">
        <v>228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 t="s">
        <v>228</v>
      </c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 t="s">
        <v>228</v>
      </c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 t="s">
        <v>228</v>
      </c>
      <c r="AL3" s="258"/>
      <c r="AM3" s="258"/>
      <c r="AN3" s="258"/>
      <c r="AO3" s="258"/>
      <c r="AP3" s="258"/>
      <c r="AQ3" s="258"/>
      <c r="AR3" s="258"/>
      <c r="AS3" s="258"/>
      <c r="AT3" s="258"/>
      <c r="AU3" s="258"/>
      <c r="AV3" s="258"/>
      <c r="AW3" s="258"/>
      <c r="AX3" s="258"/>
      <c r="AY3" s="258"/>
      <c r="AZ3" s="258"/>
      <c r="BA3" s="258"/>
      <c r="BB3" s="258"/>
      <c r="BC3" s="258"/>
      <c r="BD3" s="258"/>
      <c r="BE3" s="258"/>
      <c r="BF3" s="258"/>
      <c r="BG3" s="258"/>
      <c r="BH3" s="258"/>
      <c r="BI3" s="258" t="s">
        <v>228</v>
      </c>
      <c r="BJ3" s="258"/>
      <c r="BK3" s="258"/>
      <c r="BL3" s="258"/>
      <c r="BM3" s="258"/>
      <c r="BN3" s="258"/>
      <c r="BO3" s="258"/>
      <c r="BP3" s="258"/>
      <c r="BQ3" s="258"/>
      <c r="BR3" s="258"/>
      <c r="BS3" s="258"/>
      <c r="BT3" s="258"/>
      <c r="BU3" s="258" t="s">
        <v>228</v>
      </c>
      <c r="BV3" s="258"/>
      <c r="BW3" s="258"/>
      <c r="BX3" s="258"/>
      <c r="BY3" s="258"/>
      <c r="BZ3" s="258"/>
      <c r="CA3" s="258"/>
      <c r="CB3" s="258"/>
      <c r="CC3" s="258"/>
      <c r="CD3" s="258"/>
      <c r="CE3" s="258"/>
      <c r="CF3" s="258"/>
      <c r="CG3" s="258" t="s">
        <v>228</v>
      </c>
      <c r="CH3" s="258"/>
      <c r="CI3" s="258"/>
      <c r="CJ3" s="258"/>
      <c r="CK3" s="258"/>
      <c r="CL3" s="258"/>
      <c r="CM3" s="258"/>
      <c r="CN3" s="258"/>
      <c r="CO3" s="258"/>
      <c r="CP3" s="258"/>
      <c r="CQ3" s="258"/>
      <c r="CR3" s="258"/>
      <c r="CS3" s="258" t="s">
        <v>228</v>
      </c>
      <c r="CT3" s="258"/>
      <c r="CU3" s="258"/>
      <c r="CV3" s="258"/>
      <c r="CW3" s="258"/>
      <c r="CX3" s="258"/>
      <c r="CY3" s="258"/>
      <c r="CZ3" s="258"/>
      <c r="DA3" s="258"/>
      <c r="DB3" s="258"/>
      <c r="DC3" s="258"/>
      <c r="DD3" s="258"/>
      <c r="DE3" s="258" t="s">
        <v>228</v>
      </c>
      <c r="DF3" s="258"/>
      <c r="DG3" s="258"/>
      <c r="DH3" s="258"/>
      <c r="DI3" s="258"/>
      <c r="DJ3" s="258"/>
      <c r="DK3" s="258"/>
      <c r="DL3" s="258"/>
      <c r="DM3" s="258"/>
      <c r="DN3" s="258"/>
      <c r="DO3" s="258"/>
      <c r="DP3" s="258"/>
      <c r="DQ3" s="258" t="s">
        <v>228</v>
      </c>
      <c r="DR3" s="258"/>
      <c r="DS3" s="258"/>
      <c r="DT3" s="258"/>
      <c r="DU3" s="258"/>
      <c r="DV3" s="258"/>
      <c r="DW3" s="258"/>
      <c r="DX3" s="258"/>
      <c r="DY3" s="258"/>
      <c r="DZ3" s="258"/>
      <c r="EA3" s="258"/>
      <c r="EB3" s="258"/>
      <c r="EC3" s="258" t="s">
        <v>228</v>
      </c>
      <c r="ED3" s="258"/>
      <c r="EE3" s="258"/>
      <c r="EF3" s="258"/>
      <c r="EG3" s="258"/>
      <c r="EH3" s="258"/>
      <c r="EI3" s="258"/>
      <c r="EJ3" s="258"/>
      <c r="EK3" s="258"/>
      <c r="EL3" s="258"/>
      <c r="EM3" s="258"/>
      <c r="EN3" s="258"/>
      <c r="EO3" s="258" t="s">
        <v>228</v>
      </c>
      <c r="EP3" s="258"/>
      <c r="EQ3" s="258"/>
      <c r="ER3" s="258"/>
      <c r="ES3" s="258"/>
      <c r="ET3" s="258"/>
      <c r="EU3" s="258"/>
      <c r="EV3" s="258"/>
      <c r="EW3" s="258"/>
      <c r="EX3" s="258"/>
      <c r="EY3" s="258"/>
      <c r="EZ3" s="258"/>
      <c r="FA3" s="258" t="s">
        <v>228</v>
      </c>
      <c r="FB3" s="258"/>
      <c r="FC3" s="258"/>
      <c r="FD3" s="258"/>
      <c r="FE3" s="258"/>
      <c r="FF3" s="258"/>
      <c r="FG3" s="258"/>
      <c r="FH3" s="258"/>
      <c r="FI3" s="258"/>
      <c r="FJ3" s="258"/>
      <c r="FK3" s="258"/>
      <c r="FL3" s="258"/>
      <c r="FM3" s="258" t="s">
        <v>228</v>
      </c>
      <c r="FN3" s="258"/>
      <c r="FO3" s="258"/>
      <c r="FP3" s="258"/>
      <c r="FQ3" s="258"/>
      <c r="FR3" s="258"/>
      <c r="FS3" s="258"/>
      <c r="FT3" s="258"/>
      <c r="FU3" s="258"/>
      <c r="FV3" s="258"/>
      <c r="FW3" s="258"/>
      <c r="FX3" s="258"/>
      <c r="FY3" s="258" t="s">
        <v>228</v>
      </c>
      <c r="FZ3" s="258"/>
      <c r="GA3" s="258"/>
      <c r="GB3" s="258"/>
      <c r="GC3" s="258"/>
      <c r="GD3" s="258"/>
      <c r="GE3" s="258"/>
      <c r="GF3" s="258"/>
      <c r="GG3" s="258"/>
      <c r="GH3" s="258"/>
      <c r="GI3" s="258"/>
      <c r="GJ3" s="258"/>
    </row>
    <row r="4" spans="1:193" ht="15.5">
      <c r="A4" s="284" t="s">
        <v>301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 t="s">
        <v>301</v>
      </c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 t="s">
        <v>301</v>
      </c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 t="s">
        <v>301</v>
      </c>
      <c r="AL4" s="284"/>
      <c r="AM4" s="284"/>
      <c r="AN4" s="284"/>
      <c r="AO4" s="284"/>
      <c r="AP4" s="284"/>
      <c r="AQ4" s="284"/>
      <c r="AR4" s="284"/>
      <c r="AS4" s="284"/>
      <c r="AT4" s="284"/>
      <c r="AU4" s="284"/>
      <c r="AV4" s="284"/>
      <c r="AW4" s="284" t="s">
        <v>301</v>
      </c>
      <c r="AX4" s="284"/>
      <c r="AY4" s="284"/>
      <c r="AZ4" s="284"/>
      <c r="BA4" s="284"/>
      <c r="BB4" s="284"/>
      <c r="BC4" s="284"/>
      <c r="BD4" s="284"/>
      <c r="BE4" s="284"/>
      <c r="BF4" s="284"/>
      <c r="BG4" s="284"/>
      <c r="BH4" s="284"/>
      <c r="BI4" s="284" t="s">
        <v>301</v>
      </c>
      <c r="BJ4" s="284"/>
      <c r="BK4" s="284"/>
      <c r="BL4" s="284"/>
      <c r="BM4" s="284"/>
      <c r="BN4" s="284"/>
      <c r="BO4" s="284"/>
      <c r="BP4" s="284"/>
      <c r="BQ4" s="284"/>
      <c r="BR4" s="284"/>
      <c r="BS4" s="284"/>
      <c r="BT4" s="284"/>
      <c r="BU4" s="284" t="s">
        <v>301</v>
      </c>
      <c r="BV4" s="284"/>
      <c r="BW4" s="284"/>
      <c r="BX4" s="284"/>
      <c r="BY4" s="284"/>
      <c r="BZ4" s="284"/>
      <c r="CA4" s="284"/>
      <c r="CB4" s="284"/>
      <c r="CC4" s="284"/>
      <c r="CD4" s="284"/>
      <c r="CE4" s="284"/>
      <c r="CF4" s="284"/>
      <c r="CG4" s="284" t="s">
        <v>301</v>
      </c>
      <c r="CH4" s="284"/>
      <c r="CI4" s="284"/>
      <c r="CJ4" s="284"/>
      <c r="CK4" s="284"/>
      <c r="CL4" s="284"/>
      <c r="CM4" s="284"/>
      <c r="CN4" s="284"/>
      <c r="CO4" s="284"/>
      <c r="CP4" s="284"/>
      <c r="CQ4" s="284"/>
      <c r="CR4" s="284"/>
      <c r="CS4" s="284" t="s">
        <v>301</v>
      </c>
      <c r="CT4" s="284"/>
      <c r="CU4" s="284"/>
      <c r="CV4" s="284"/>
      <c r="CW4" s="284"/>
      <c r="CX4" s="284"/>
      <c r="CY4" s="284"/>
      <c r="CZ4" s="284"/>
      <c r="DA4" s="284"/>
      <c r="DB4" s="284"/>
      <c r="DC4" s="284"/>
      <c r="DD4" s="284"/>
      <c r="DE4" s="284" t="s">
        <v>301</v>
      </c>
      <c r="DF4" s="284"/>
      <c r="DG4" s="284"/>
      <c r="DH4" s="284"/>
      <c r="DI4" s="284"/>
      <c r="DJ4" s="284"/>
      <c r="DK4" s="284"/>
      <c r="DL4" s="284"/>
      <c r="DM4" s="284"/>
      <c r="DN4" s="284"/>
      <c r="DO4" s="284"/>
      <c r="DP4" s="284"/>
      <c r="DQ4" s="284" t="s">
        <v>301</v>
      </c>
      <c r="DR4" s="284"/>
      <c r="DS4" s="284"/>
      <c r="DT4" s="284"/>
      <c r="DU4" s="284"/>
      <c r="DV4" s="284"/>
      <c r="DW4" s="284"/>
      <c r="DX4" s="284"/>
      <c r="DY4" s="284"/>
      <c r="DZ4" s="284"/>
      <c r="EA4" s="284"/>
      <c r="EB4" s="284"/>
      <c r="EC4" s="284" t="s">
        <v>301</v>
      </c>
      <c r="ED4" s="284"/>
      <c r="EE4" s="284"/>
      <c r="EF4" s="284"/>
      <c r="EG4" s="284"/>
      <c r="EH4" s="284"/>
      <c r="EI4" s="284"/>
      <c r="EJ4" s="284"/>
      <c r="EK4" s="284"/>
      <c r="EL4" s="284"/>
      <c r="EM4" s="284"/>
      <c r="EN4" s="284"/>
      <c r="EO4" s="284" t="s">
        <v>301</v>
      </c>
      <c r="EP4" s="284"/>
      <c r="EQ4" s="284"/>
      <c r="ER4" s="284"/>
      <c r="ES4" s="284"/>
      <c r="ET4" s="284"/>
      <c r="EU4" s="284"/>
      <c r="EV4" s="284"/>
      <c r="EW4" s="284"/>
      <c r="EX4" s="284"/>
      <c r="EY4" s="284"/>
      <c r="EZ4" s="284"/>
      <c r="FA4" s="284" t="s">
        <v>301</v>
      </c>
      <c r="FB4" s="284"/>
      <c r="FC4" s="284"/>
      <c r="FD4" s="284"/>
      <c r="FE4" s="284"/>
      <c r="FF4" s="284"/>
      <c r="FG4" s="284"/>
      <c r="FH4" s="284"/>
      <c r="FI4" s="284"/>
      <c r="FJ4" s="284"/>
      <c r="FK4" s="284"/>
      <c r="FL4" s="284"/>
      <c r="FM4" s="284" t="s">
        <v>301</v>
      </c>
      <c r="FN4" s="284"/>
      <c r="FO4" s="284"/>
      <c r="FP4" s="284"/>
      <c r="FQ4" s="284"/>
      <c r="FR4" s="284"/>
      <c r="FS4" s="284"/>
      <c r="FT4" s="284"/>
      <c r="FU4" s="284"/>
      <c r="FV4" s="284"/>
      <c r="FW4" s="284"/>
      <c r="FX4" s="284"/>
      <c r="FY4" s="284" t="s">
        <v>301</v>
      </c>
      <c r="FZ4" s="284"/>
      <c r="GA4" s="284"/>
      <c r="GB4" s="284"/>
      <c r="GC4" s="284"/>
      <c r="GD4" s="284"/>
      <c r="GE4" s="284"/>
      <c r="GF4" s="284"/>
      <c r="GG4" s="284"/>
      <c r="GH4" s="284"/>
      <c r="GI4" s="284"/>
      <c r="GJ4" s="284"/>
    </row>
    <row r="5" spans="1:193">
      <c r="A5" s="258" t="s">
        <v>286</v>
      </c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 t="s">
        <v>286</v>
      </c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 t="s">
        <v>286</v>
      </c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 t="s">
        <v>286</v>
      </c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258" t="s">
        <v>286</v>
      </c>
      <c r="AX5" s="258"/>
      <c r="AY5" s="258"/>
      <c r="AZ5" s="258"/>
      <c r="BA5" s="258"/>
      <c r="BB5" s="258"/>
      <c r="BC5" s="258"/>
      <c r="BD5" s="258"/>
      <c r="BE5" s="258"/>
      <c r="BF5" s="258"/>
      <c r="BG5" s="258"/>
      <c r="BH5" s="258"/>
      <c r="BI5" s="258" t="s">
        <v>286</v>
      </c>
      <c r="BJ5" s="258"/>
      <c r="BK5" s="258"/>
      <c r="BL5" s="258"/>
      <c r="BM5" s="258"/>
      <c r="BN5" s="258"/>
      <c r="BO5" s="258"/>
      <c r="BP5" s="258"/>
      <c r="BQ5" s="258"/>
      <c r="BR5" s="258"/>
      <c r="BS5" s="258"/>
      <c r="BT5" s="258"/>
      <c r="BU5" s="258" t="s">
        <v>286</v>
      </c>
      <c r="BV5" s="258"/>
      <c r="BW5" s="258"/>
      <c r="BX5" s="258"/>
      <c r="BY5" s="258"/>
      <c r="BZ5" s="258"/>
      <c r="CA5" s="258"/>
      <c r="CB5" s="258"/>
      <c r="CC5" s="258"/>
      <c r="CD5" s="258"/>
      <c r="CE5" s="258"/>
      <c r="CF5" s="258"/>
      <c r="CG5" s="258" t="s">
        <v>286</v>
      </c>
      <c r="CH5" s="258"/>
      <c r="CI5" s="258"/>
      <c r="CJ5" s="258"/>
      <c r="CK5" s="258"/>
      <c r="CL5" s="258"/>
      <c r="CM5" s="258"/>
      <c r="CN5" s="258"/>
      <c r="CO5" s="258"/>
      <c r="CP5" s="258"/>
      <c r="CQ5" s="258"/>
      <c r="CR5" s="258"/>
      <c r="CS5" s="258" t="s">
        <v>286</v>
      </c>
      <c r="CT5" s="258"/>
      <c r="CU5" s="258"/>
      <c r="CV5" s="258"/>
      <c r="CW5" s="258"/>
      <c r="CX5" s="258"/>
      <c r="CY5" s="258"/>
      <c r="CZ5" s="258"/>
      <c r="DA5" s="258"/>
      <c r="DB5" s="258"/>
      <c r="DC5" s="258"/>
      <c r="DD5" s="258"/>
      <c r="DE5" s="258" t="s">
        <v>286</v>
      </c>
      <c r="DF5" s="258"/>
      <c r="DG5" s="258"/>
      <c r="DH5" s="258"/>
      <c r="DI5" s="258"/>
      <c r="DJ5" s="258"/>
      <c r="DK5" s="258"/>
      <c r="DL5" s="258"/>
      <c r="DM5" s="258"/>
      <c r="DN5" s="258"/>
      <c r="DO5" s="258"/>
      <c r="DP5" s="258"/>
      <c r="DQ5" s="258" t="s">
        <v>286</v>
      </c>
      <c r="DR5" s="258"/>
      <c r="DS5" s="258"/>
      <c r="DT5" s="258"/>
      <c r="DU5" s="258"/>
      <c r="DV5" s="258"/>
      <c r="DW5" s="258"/>
      <c r="DX5" s="258"/>
      <c r="DY5" s="258"/>
      <c r="DZ5" s="258"/>
      <c r="EA5" s="258"/>
      <c r="EB5" s="258"/>
      <c r="EC5" s="258" t="s">
        <v>286</v>
      </c>
      <c r="ED5" s="258"/>
      <c r="EE5" s="258"/>
      <c r="EF5" s="258"/>
      <c r="EG5" s="258"/>
      <c r="EH5" s="258"/>
      <c r="EI5" s="258"/>
      <c r="EJ5" s="258"/>
      <c r="EK5" s="258"/>
      <c r="EL5" s="258"/>
      <c r="EM5" s="258"/>
      <c r="EN5" s="258"/>
      <c r="EO5" s="258" t="s">
        <v>286</v>
      </c>
      <c r="EP5" s="258"/>
      <c r="EQ5" s="258"/>
      <c r="ER5" s="258"/>
      <c r="ES5" s="258"/>
      <c r="ET5" s="258"/>
      <c r="EU5" s="258"/>
      <c r="EV5" s="258"/>
      <c r="EW5" s="258"/>
      <c r="EX5" s="258"/>
      <c r="EY5" s="258"/>
      <c r="EZ5" s="258"/>
      <c r="FA5" s="258" t="s">
        <v>286</v>
      </c>
      <c r="FB5" s="258"/>
      <c r="FC5" s="258"/>
      <c r="FD5" s="258"/>
      <c r="FE5" s="258"/>
      <c r="FF5" s="258"/>
      <c r="FG5" s="258"/>
      <c r="FH5" s="258"/>
      <c r="FI5" s="258"/>
      <c r="FJ5" s="258"/>
      <c r="FK5" s="258"/>
      <c r="FL5" s="258"/>
      <c r="FM5" s="258" t="s">
        <v>286</v>
      </c>
      <c r="FN5" s="258"/>
      <c r="FO5" s="258"/>
      <c r="FP5" s="258"/>
      <c r="FQ5" s="258"/>
      <c r="FR5" s="258"/>
      <c r="FS5" s="258"/>
      <c r="FT5" s="258"/>
      <c r="FU5" s="258"/>
      <c r="FV5" s="258"/>
      <c r="FW5" s="258"/>
      <c r="FX5" s="258"/>
      <c r="FY5" s="258" t="s">
        <v>286</v>
      </c>
      <c r="FZ5" s="258"/>
      <c r="GA5" s="258"/>
      <c r="GB5" s="258"/>
      <c r="GC5" s="258"/>
      <c r="GD5" s="258"/>
      <c r="GE5" s="258"/>
      <c r="GF5" s="258"/>
      <c r="GG5" s="258"/>
      <c r="GH5" s="258"/>
      <c r="GI5" s="258"/>
      <c r="GJ5" s="258"/>
    </row>
    <row r="6" spans="1:193" ht="9" customHeight="1">
      <c r="K6" s="1" t="s">
        <v>51</v>
      </c>
      <c r="N6" s="1" t="s">
        <v>51</v>
      </c>
      <c r="O6" s="1" t="s">
        <v>51</v>
      </c>
      <c r="P6" s="1" t="s">
        <v>51</v>
      </c>
      <c r="X6" s="1" t="s">
        <v>51</v>
      </c>
      <c r="AB6" s="1" t="s">
        <v>51</v>
      </c>
      <c r="AV6" s="1" t="s">
        <v>51</v>
      </c>
      <c r="AY6" s="1" t="s">
        <v>51</v>
      </c>
      <c r="BK6" s="1" t="s">
        <v>51</v>
      </c>
      <c r="BW6" s="1" t="s">
        <v>51</v>
      </c>
      <c r="CT6" s="1" t="s">
        <v>51</v>
      </c>
      <c r="DP6" s="1" t="s">
        <v>51</v>
      </c>
    </row>
    <row r="7" spans="1:193">
      <c r="A7" s="257" t="s">
        <v>307</v>
      </c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 t="s">
        <v>307</v>
      </c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 t="s">
        <v>307</v>
      </c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 t="s">
        <v>307</v>
      </c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 t="s">
        <v>307</v>
      </c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 t="s">
        <v>307</v>
      </c>
      <c r="BJ7" s="257"/>
      <c r="BK7" s="257"/>
      <c r="BL7" s="257"/>
      <c r="BM7" s="257"/>
      <c r="BN7" s="257"/>
      <c r="BO7" s="257"/>
      <c r="BP7" s="257"/>
      <c r="BQ7" s="257"/>
      <c r="BR7" s="257"/>
      <c r="BS7" s="257"/>
      <c r="BT7" s="257"/>
      <c r="BU7" s="257" t="s">
        <v>307</v>
      </c>
      <c r="BV7" s="257"/>
      <c r="BW7" s="257"/>
      <c r="BX7" s="257"/>
      <c r="BY7" s="257"/>
      <c r="BZ7" s="257"/>
      <c r="CA7" s="257"/>
      <c r="CB7" s="257"/>
      <c r="CC7" s="257"/>
      <c r="CD7" s="257"/>
      <c r="CE7" s="257"/>
      <c r="CF7" s="257"/>
      <c r="CG7" s="257" t="s">
        <v>307</v>
      </c>
      <c r="CH7" s="257"/>
      <c r="CI7" s="257"/>
      <c r="CJ7" s="257"/>
      <c r="CK7" s="257"/>
      <c r="CL7" s="257"/>
      <c r="CM7" s="257"/>
      <c r="CN7" s="257"/>
      <c r="CO7" s="257"/>
      <c r="CP7" s="257"/>
      <c r="CQ7" s="257"/>
      <c r="CR7" s="257"/>
      <c r="CS7" s="257" t="s">
        <v>307</v>
      </c>
      <c r="CT7" s="257"/>
      <c r="CU7" s="257"/>
      <c r="CV7" s="257"/>
      <c r="CW7" s="257"/>
      <c r="CX7" s="257"/>
      <c r="CY7" s="257"/>
      <c r="CZ7" s="257"/>
      <c r="DA7" s="257"/>
      <c r="DB7" s="257"/>
      <c r="DC7" s="257"/>
      <c r="DD7" s="257"/>
      <c r="DE7" s="257" t="s">
        <v>307</v>
      </c>
      <c r="DF7" s="257"/>
      <c r="DG7" s="257"/>
      <c r="DH7" s="257"/>
      <c r="DI7" s="257"/>
      <c r="DJ7" s="257"/>
      <c r="DK7" s="257"/>
      <c r="DL7" s="257"/>
      <c r="DM7" s="257"/>
      <c r="DN7" s="257"/>
      <c r="DO7" s="257"/>
      <c r="DP7" s="257"/>
      <c r="DQ7" s="7" t="s">
        <v>307</v>
      </c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257" t="s">
        <v>307</v>
      </c>
      <c r="ED7" s="257"/>
      <c r="EE7" s="257"/>
      <c r="EF7" s="257"/>
      <c r="EG7" s="257"/>
      <c r="EH7" s="257"/>
      <c r="EI7" s="257"/>
      <c r="EJ7" s="257"/>
      <c r="EK7" s="257"/>
      <c r="EL7" s="257"/>
      <c r="EM7" s="257"/>
      <c r="EN7" s="257"/>
      <c r="EO7" s="257" t="s">
        <v>307</v>
      </c>
      <c r="EP7" s="257"/>
      <c r="EQ7" s="257"/>
      <c r="ER7" s="257"/>
      <c r="ES7" s="257"/>
      <c r="ET7" s="257"/>
      <c r="EU7" s="257"/>
      <c r="EV7" s="257"/>
      <c r="EW7" s="257"/>
      <c r="EX7" s="257"/>
      <c r="EY7" s="257"/>
      <c r="EZ7" s="257"/>
      <c r="FA7" s="257" t="s">
        <v>307</v>
      </c>
      <c r="FB7" s="257"/>
      <c r="FC7" s="257"/>
      <c r="FD7" s="257"/>
      <c r="FE7" s="257"/>
      <c r="FF7" s="257"/>
      <c r="FG7" s="257"/>
      <c r="FH7" s="257"/>
      <c r="FI7" s="257"/>
      <c r="FJ7" s="257"/>
      <c r="FK7" s="257"/>
      <c r="FL7" s="257"/>
      <c r="FM7" s="257" t="s">
        <v>307</v>
      </c>
      <c r="FN7" s="257"/>
      <c r="FO7" s="257"/>
      <c r="FP7" s="257"/>
      <c r="FQ7" s="257"/>
      <c r="FR7" s="257"/>
      <c r="FS7" s="257"/>
      <c r="FT7" s="257"/>
      <c r="FU7" s="257"/>
      <c r="FV7" s="257"/>
      <c r="FW7" s="257"/>
      <c r="FX7" s="257"/>
      <c r="FY7" s="257" t="s">
        <v>307</v>
      </c>
      <c r="FZ7" s="257"/>
      <c r="GA7" s="257"/>
      <c r="GB7" s="257"/>
      <c r="GC7" s="257"/>
      <c r="GD7" s="257"/>
      <c r="GE7" s="257"/>
      <c r="GF7" s="257"/>
      <c r="GG7" s="257"/>
      <c r="GH7" s="257"/>
      <c r="GI7" s="257"/>
      <c r="GJ7" s="257"/>
    </row>
    <row r="8" spans="1:193">
      <c r="A8" s="1" t="s">
        <v>183</v>
      </c>
      <c r="B8" s="298" t="s">
        <v>449</v>
      </c>
      <c r="C8" s="298"/>
      <c r="D8" s="298"/>
      <c r="E8" s="298"/>
      <c r="F8" s="7"/>
      <c r="I8" s="7" t="s">
        <v>327</v>
      </c>
      <c r="M8" s="1" t="s">
        <v>183</v>
      </c>
      <c r="N8" s="293" t="s">
        <v>471</v>
      </c>
      <c r="O8" s="293"/>
      <c r="P8" s="293"/>
      <c r="Q8" s="293"/>
      <c r="U8" s="7" t="s">
        <v>287</v>
      </c>
      <c r="Y8" s="1" t="s">
        <v>183</v>
      </c>
      <c r="Z8" s="293" t="s">
        <v>468</v>
      </c>
      <c r="AA8" s="293"/>
      <c r="AB8" s="293"/>
      <c r="AC8" s="293"/>
      <c r="AG8" s="7" t="s">
        <v>288</v>
      </c>
      <c r="AK8" s="1" t="s">
        <v>183</v>
      </c>
      <c r="AL8" s="7" t="s">
        <v>450</v>
      </c>
      <c r="AS8" s="7" t="s">
        <v>289</v>
      </c>
      <c r="AW8" s="1" t="s">
        <v>183</v>
      </c>
      <c r="AX8" s="7" t="s">
        <v>472</v>
      </c>
      <c r="BE8" s="7" t="s">
        <v>290</v>
      </c>
      <c r="BI8" s="1" t="s">
        <v>183</v>
      </c>
      <c r="BJ8" s="7" t="s">
        <v>456</v>
      </c>
      <c r="BQ8" s="7" t="s">
        <v>378</v>
      </c>
      <c r="BU8" s="1" t="s">
        <v>183</v>
      </c>
      <c r="BV8" s="7" t="s">
        <v>458</v>
      </c>
      <c r="CC8" s="7" t="s">
        <v>379</v>
      </c>
      <c r="CG8" s="1" t="s">
        <v>183</v>
      </c>
      <c r="CH8" s="7" t="s">
        <v>460</v>
      </c>
      <c r="CO8" s="7" t="s">
        <v>368</v>
      </c>
      <c r="CS8" s="1" t="s">
        <v>183</v>
      </c>
      <c r="CT8" s="7" t="s">
        <v>462</v>
      </c>
      <c r="DA8" s="7" t="s">
        <v>291</v>
      </c>
      <c r="DE8" s="1" t="s">
        <v>183</v>
      </c>
      <c r="DF8" s="7" t="s">
        <v>464</v>
      </c>
      <c r="DM8" s="7" t="s">
        <v>304</v>
      </c>
      <c r="DQ8" s="1" t="s">
        <v>183</v>
      </c>
      <c r="DR8" s="7" t="s">
        <v>466</v>
      </c>
      <c r="DY8" s="7" t="s">
        <v>354</v>
      </c>
      <c r="EC8" s="1" t="s">
        <v>183</v>
      </c>
      <c r="ED8" s="7"/>
      <c r="EK8" s="7" t="s">
        <v>354</v>
      </c>
      <c r="EO8" s="1" t="s">
        <v>183</v>
      </c>
      <c r="EP8" s="7" t="s">
        <v>308</v>
      </c>
      <c r="EW8" s="1" t="s">
        <v>304</v>
      </c>
      <c r="FA8" s="1" t="s">
        <v>183</v>
      </c>
      <c r="FB8" s="7" t="s">
        <v>308</v>
      </c>
      <c r="FI8" s="1" t="s">
        <v>304</v>
      </c>
      <c r="FM8" s="1" t="s">
        <v>183</v>
      </c>
      <c r="FN8" s="7" t="s">
        <v>308</v>
      </c>
      <c r="FU8" s="1" t="s">
        <v>304</v>
      </c>
      <c r="FY8" s="1" t="s">
        <v>183</v>
      </c>
      <c r="FZ8" s="7"/>
      <c r="GG8" s="7" t="s">
        <v>325</v>
      </c>
    </row>
    <row r="9" spans="1:193">
      <c r="B9" s="1" t="s">
        <v>293</v>
      </c>
      <c r="I9" s="1" t="str">
        <f>'Gen CP'!A8</f>
        <v xml:space="preserve"> First Semester S.Y. 2024-2025</v>
      </c>
      <c r="N9" s="1" t="s">
        <v>293</v>
      </c>
      <c r="U9" s="1" t="str">
        <f>I9</f>
        <v xml:space="preserve"> First Semester S.Y. 2024-2025</v>
      </c>
      <c r="Z9" s="1" t="s">
        <v>292</v>
      </c>
      <c r="AG9" s="1" t="str">
        <f>U9</f>
        <v xml:space="preserve"> First Semester S.Y. 2024-2025</v>
      </c>
      <c r="AL9" s="1" t="s">
        <v>292</v>
      </c>
      <c r="AS9" s="1" t="str">
        <f>AG9</f>
        <v xml:space="preserve"> First Semester S.Y. 2024-2025</v>
      </c>
      <c r="AX9" s="1" t="s">
        <v>292</v>
      </c>
      <c r="BE9" s="1" t="str">
        <f>AS9</f>
        <v xml:space="preserve"> First Semester S.Y. 2024-2025</v>
      </c>
      <c r="BJ9" s="1" t="s">
        <v>292</v>
      </c>
      <c r="BQ9" s="1" t="str">
        <f>BE9</f>
        <v xml:space="preserve"> First Semester S.Y. 2024-2025</v>
      </c>
      <c r="BV9" s="1" t="s">
        <v>293</v>
      </c>
      <c r="CC9" s="1" t="str">
        <f>BQ9</f>
        <v xml:space="preserve"> First Semester S.Y. 2024-2025</v>
      </c>
      <c r="CH9" s="1" t="s">
        <v>292</v>
      </c>
      <c r="CO9" s="1" t="str">
        <f>CC9</f>
        <v xml:space="preserve"> First Semester S.Y. 2024-2025</v>
      </c>
      <c r="CT9" s="1" t="s">
        <v>292</v>
      </c>
      <c r="DA9" s="1" t="str">
        <f>CO9</f>
        <v xml:space="preserve"> First Semester S.Y. 2024-2025</v>
      </c>
      <c r="DF9" s="1" t="s">
        <v>292</v>
      </c>
      <c r="DI9" s="1" t="s">
        <v>51</v>
      </c>
      <c r="DM9" s="1" t="str">
        <f>DA9</f>
        <v xml:space="preserve"> First Semester S.Y. 2024-2025</v>
      </c>
      <c r="DR9" s="1" t="s">
        <v>293</v>
      </c>
      <c r="DU9" s="1" t="s">
        <v>51</v>
      </c>
      <c r="DY9" s="1" t="str">
        <f>DM9</f>
        <v xml:space="preserve"> First Semester S.Y. 2024-2025</v>
      </c>
      <c r="EG9" s="1" t="s">
        <v>51</v>
      </c>
      <c r="EK9" s="1" t="str">
        <f>DY9</f>
        <v xml:space="preserve"> First Semester S.Y. 2024-2025</v>
      </c>
      <c r="EP9" s="1" t="s">
        <v>292</v>
      </c>
      <c r="ES9" s="1" t="s">
        <v>51</v>
      </c>
      <c r="EW9" s="1" t="s">
        <v>302</v>
      </c>
      <c r="FB9" s="1" t="s">
        <v>292</v>
      </c>
      <c r="FE9" s="1" t="s">
        <v>51</v>
      </c>
      <c r="FI9" s="1" t="s">
        <v>302</v>
      </c>
      <c r="FN9" s="1" t="s">
        <v>292</v>
      </c>
      <c r="FQ9" s="1" t="s">
        <v>51</v>
      </c>
      <c r="FU9" s="1" t="s">
        <v>302</v>
      </c>
      <c r="FZ9" s="1" t="s">
        <v>293</v>
      </c>
      <c r="GG9" s="1" t="str">
        <f>EK9</f>
        <v xml:space="preserve"> First Semester S.Y. 2024-2025</v>
      </c>
    </row>
    <row r="10" spans="1:193" ht="9" customHeight="1"/>
    <row r="11" spans="1:193" ht="15" customHeight="1">
      <c r="A11" s="285" t="s">
        <v>4</v>
      </c>
      <c r="B11" s="287" t="s">
        <v>294</v>
      </c>
      <c r="C11" s="288" t="s">
        <v>295</v>
      </c>
      <c r="D11" s="288"/>
      <c r="E11" s="288" t="s">
        <v>296</v>
      </c>
      <c r="F11" s="288"/>
      <c r="G11" s="288" t="s">
        <v>297</v>
      </c>
      <c r="H11" s="288"/>
      <c r="I11" s="288" t="s">
        <v>298</v>
      </c>
      <c r="J11" s="288"/>
      <c r="K11" s="288" t="s">
        <v>299</v>
      </c>
      <c r="L11" s="288"/>
      <c r="M11" s="285" t="s">
        <v>4</v>
      </c>
      <c r="N11" s="287" t="s">
        <v>294</v>
      </c>
      <c r="O11" s="288" t="s">
        <v>295</v>
      </c>
      <c r="P11" s="288"/>
      <c r="Q11" s="288" t="s">
        <v>296</v>
      </c>
      <c r="R11" s="288"/>
      <c r="S11" s="288" t="s">
        <v>297</v>
      </c>
      <c r="T11" s="288"/>
      <c r="U11" s="288" t="s">
        <v>298</v>
      </c>
      <c r="V11" s="288"/>
      <c r="W11" s="288" t="s">
        <v>299</v>
      </c>
      <c r="X11" s="288"/>
      <c r="Y11" s="285" t="s">
        <v>4</v>
      </c>
      <c r="Z11" s="287" t="s">
        <v>294</v>
      </c>
      <c r="AA11" s="288" t="s">
        <v>295</v>
      </c>
      <c r="AB11" s="288"/>
      <c r="AC11" s="288" t="s">
        <v>296</v>
      </c>
      <c r="AD11" s="288"/>
      <c r="AE11" s="288" t="s">
        <v>297</v>
      </c>
      <c r="AF11" s="288"/>
      <c r="AG11" s="288" t="s">
        <v>298</v>
      </c>
      <c r="AH11" s="288"/>
      <c r="AI11" s="288" t="s">
        <v>299</v>
      </c>
      <c r="AJ11" s="288"/>
      <c r="AK11" s="285" t="s">
        <v>4</v>
      </c>
      <c r="AL11" s="287" t="s">
        <v>294</v>
      </c>
      <c r="AM11" s="288" t="s">
        <v>295</v>
      </c>
      <c r="AN11" s="288"/>
      <c r="AO11" s="288" t="s">
        <v>296</v>
      </c>
      <c r="AP11" s="288"/>
      <c r="AQ11" s="288" t="s">
        <v>297</v>
      </c>
      <c r="AR11" s="288"/>
      <c r="AS11" s="288" t="s">
        <v>298</v>
      </c>
      <c r="AT11" s="288"/>
      <c r="AU11" s="288" t="s">
        <v>299</v>
      </c>
      <c r="AV11" s="288"/>
      <c r="AW11" s="285" t="s">
        <v>4</v>
      </c>
      <c r="AX11" s="287" t="s">
        <v>294</v>
      </c>
      <c r="AY11" s="288" t="s">
        <v>295</v>
      </c>
      <c r="AZ11" s="288"/>
      <c r="BA11" s="288" t="s">
        <v>296</v>
      </c>
      <c r="BB11" s="288"/>
      <c r="BC11" s="288" t="s">
        <v>297</v>
      </c>
      <c r="BD11" s="288"/>
      <c r="BE11" s="288" t="s">
        <v>298</v>
      </c>
      <c r="BF11" s="288"/>
      <c r="BG11" s="288" t="s">
        <v>299</v>
      </c>
      <c r="BH11" s="288"/>
      <c r="BI11" s="285" t="s">
        <v>4</v>
      </c>
      <c r="BJ11" s="287" t="s">
        <v>294</v>
      </c>
      <c r="BK11" s="288" t="s">
        <v>295</v>
      </c>
      <c r="BL11" s="288"/>
      <c r="BM11" s="288" t="s">
        <v>296</v>
      </c>
      <c r="BN11" s="288"/>
      <c r="BO11" s="288" t="s">
        <v>297</v>
      </c>
      <c r="BP11" s="288"/>
      <c r="BQ11" s="288" t="s">
        <v>298</v>
      </c>
      <c r="BR11" s="288"/>
      <c r="BS11" s="288" t="s">
        <v>299</v>
      </c>
      <c r="BT11" s="288"/>
      <c r="BU11" s="285" t="s">
        <v>4</v>
      </c>
      <c r="BV11" s="287" t="s">
        <v>294</v>
      </c>
      <c r="BW11" s="288" t="s">
        <v>295</v>
      </c>
      <c r="BX11" s="288"/>
      <c r="BY11" s="288" t="s">
        <v>296</v>
      </c>
      <c r="BZ11" s="288"/>
      <c r="CA11" s="288" t="s">
        <v>297</v>
      </c>
      <c r="CB11" s="288"/>
      <c r="CC11" s="288" t="s">
        <v>298</v>
      </c>
      <c r="CD11" s="288"/>
      <c r="CE11" s="288" t="s">
        <v>299</v>
      </c>
      <c r="CF11" s="288"/>
      <c r="CG11" s="285" t="s">
        <v>4</v>
      </c>
      <c r="CH11" s="287" t="s">
        <v>294</v>
      </c>
      <c r="CI11" s="288" t="s">
        <v>295</v>
      </c>
      <c r="CJ11" s="288"/>
      <c r="CK11" s="288" t="s">
        <v>296</v>
      </c>
      <c r="CL11" s="288"/>
      <c r="CM11" s="288" t="s">
        <v>297</v>
      </c>
      <c r="CN11" s="288"/>
      <c r="CO11" s="288" t="s">
        <v>298</v>
      </c>
      <c r="CP11" s="288"/>
      <c r="CQ11" s="288" t="s">
        <v>299</v>
      </c>
      <c r="CR11" s="288"/>
      <c r="CS11" s="285" t="s">
        <v>4</v>
      </c>
      <c r="CT11" s="287" t="s">
        <v>294</v>
      </c>
      <c r="CU11" s="288" t="s">
        <v>295</v>
      </c>
      <c r="CV11" s="288"/>
      <c r="CW11" s="288" t="s">
        <v>296</v>
      </c>
      <c r="CX11" s="288"/>
      <c r="CY11" s="288" t="s">
        <v>297</v>
      </c>
      <c r="CZ11" s="288"/>
      <c r="DA11" s="288" t="s">
        <v>298</v>
      </c>
      <c r="DB11" s="288"/>
      <c r="DC11" s="288" t="s">
        <v>299</v>
      </c>
      <c r="DD11" s="288"/>
      <c r="DE11" s="285" t="s">
        <v>4</v>
      </c>
      <c r="DF11" s="287" t="s">
        <v>294</v>
      </c>
      <c r="DG11" s="288" t="s">
        <v>295</v>
      </c>
      <c r="DH11" s="288"/>
      <c r="DI11" s="288" t="s">
        <v>296</v>
      </c>
      <c r="DJ11" s="288"/>
      <c r="DK11" s="288" t="s">
        <v>297</v>
      </c>
      <c r="DL11" s="288"/>
      <c r="DM11" s="288" t="s">
        <v>298</v>
      </c>
      <c r="DN11" s="288"/>
      <c r="DO11" s="288" t="s">
        <v>299</v>
      </c>
      <c r="DP11" s="288"/>
      <c r="DQ11" s="101" t="s">
        <v>4</v>
      </c>
      <c r="DR11" s="102" t="s">
        <v>294</v>
      </c>
      <c r="DS11" s="103" t="s">
        <v>295</v>
      </c>
      <c r="DT11" s="104"/>
      <c r="DU11" s="103" t="s">
        <v>296</v>
      </c>
      <c r="DV11" s="104"/>
      <c r="DW11" s="103" t="s">
        <v>297</v>
      </c>
      <c r="DX11" s="104"/>
      <c r="DY11" s="103" t="s">
        <v>298</v>
      </c>
      <c r="DZ11" s="104"/>
      <c r="EA11" s="103" t="s">
        <v>299</v>
      </c>
      <c r="EB11" s="104"/>
      <c r="EC11" s="285" t="s">
        <v>4</v>
      </c>
      <c r="ED11" s="287" t="s">
        <v>294</v>
      </c>
      <c r="EE11" s="288" t="s">
        <v>295</v>
      </c>
      <c r="EF11" s="288"/>
      <c r="EG11" s="288" t="s">
        <v>296</v>
      </c>
      <c r="EH11" s="288"/>
      <c r="EI11" s="288" t="s">
        <v>297</v>
      </c>
      <c r="EJ11" s="288"/>
      <c r="EK11" s="288" t="s">
        <v>298</v>
      </c>
      <c r="EL11" s="288"/>
      <c r="EM11" s="288" t="s">
        <v>299</v>
      </c>
      <c r="EN11" s="288"/>
      <c r="EO11" s="285" t="s">
        <v>4</v>
      </c>
      <c r="EP11" s="287" t="s">
        <v>294</v>
      </c>
      <c r="EQ11" s="288" t="s">
        <v>295</v>
      </c>
      <c r="ER11" s="288"/>
      <c r="ES11" s="288" t="s">
        <v>296</v>
      </c>
      <c r="ET11" s="288"/>
      <c r="EU11" s="288" t="s">
        <v>297</v>
      </c>
      <c r="EV11" s="288"/>
      <c r="EW11" s="288" t="s">
        <v>298</v>
      </c>
      <c r="EX11" s="288"/>
      <c r="EY11" s="288" t="s">
        <v>299</v>
      </c>
      <c r="EZ11" s="288"/>
      <c r="FA11" s="285" t="s">
        <v>4</v>
      </c>
      <c r="FB11" s="287" t="s">
        <v>294</v>
      </c>
      <c r="FC11" s="288" t="s">
        <v>295</v>
      </c>
      <c r="FD11" s="288"/>
      <c r="FE11" s="288" t="s">
        <v>296</v>
      </c>
      <c r="FF11" s="288"/>
      <c r="FG11" s="288" t="s">
        <v>297</v>
      </c>
      <c r="FH11" s="288"/>
      <c r="FI11" s="288" t="s">
        <v>298</v>
      </c>
      <c r="FJ11" s="288"/>
      <c r="FK11" s="288" t="s">
        <v>299</v>
      </c>
      <c r="FL11" s="288"/>
      <c r="FM11" s="285" t="s">
        <v>4</v>
      </c>
      <c r="FN11" s="287" t="s">
        <v>294</v>
      </c>
      <c r="FO11" s="288" t="s">
        <v>295</v>
      </c>
      <c r="FP11" s="288"/>
      <c r="FQ11" s="288" t="s">
        <v>296</v>
      </c>
      <c r="FR11" s="288"/>
      <c r="FS11" s="288" t="s">
        <v>297</v>
      </c>
      <c r="FT11" s="288"/>
      <c r="FU11" s="288" t="s">
        <v>298</v>
      </c>
      <c r="FV11" s="288"/>
      <c r="FW11" s="288" t="s">
        <v>299</v>
      </c>
      <c r="FX11" s="288"/>
      <c r="FY11" s="285" t="s">
        <v>4</v>
      </c>
      <c r="FZ11" s="287" t="s">
        <v>294</v>
      </c>
      <c r="GA11" s="288" t="s">
        <v>295</v>
      </c>
      <c r="GB11" s="288"/>
      <c r="GC11" s="288" t="s">
        <v>296</v>
      </c>
      <c r="GD11" s="288"/>
      <c r="GE11" s="288" t="s">
        <v>297</v>
      </c>
      <c r="GF11" s="288"/>
      <c r="GG11" s="288" t="s">
        <v>298</v>
      </c>
      <c r="GH11" s="288"/>
      <c r="GI11" s="288" t="s">
        <v>299</v>
      </c>
      <c r="GJ11" s="288"/>
    </row>
    <row r="12" spans="1:193" ht="10.5" customHeight="1">
      <c r="A12" s="286"/>
      <c r="B12" s="287"/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6"/>
      <c r="N12" s="287"/>
      <c r="O12" s="288"/>
      <c r="P12" s="288"/>
      <c r="Q12" s="288"/>
      <c r="R12" s="288"/>
      <c r="S12" s="288"/>
      <c r="T12" s="288"/>
      <c r="U12" s="288"/>
      <c r="V12" s="288"/>
      <c r="W12" s="288"/>
      <c r="X12" s="288"/>
      <c r="Y12" s="286"/>
      <c r="Z12" s="287"/>
      <c r="AA12" s="288"/>
      <c r="AB12" s="288"/>
      <c r="AC12" s="288"/>
      <c r="AD12" s="288"/>
      <c r="AE12" s="288"/>
      <c r="AF12" s="288"/>
      <c r="AG12" s="288"/>
      <c r="AH12" s="288"/>
      <c r="AI12" s="288"/>
      <c r="AJ12" s="288"/>
      <c r="AK12" s="286"/>
      <c r="AL12" s="287"/>
      <c r="AM12" s="288"/>
      <c r="AN12" s="288"/>
      <c r="AO12" s="288"/>
      <c r="AP12" s="288"/>
      <c r="AQ12" s="288"/>
      <c r="AR12" s="288"/>
      <c r="AS12" s="288"/>
      <c r="AT12" s="288"/>
      <c r="AU12" s="288"/>
      <c r="AV12" s="288"/>
      <c r="AW12" s="286"/>
      <c r="AX12" s="287"/>
      <c r="AY12" s="288"/>
      <c r="AZ12" s="288"/>
      <c r="BA12" s="288"/>
      <c r="BB12" s="288"/>
      <c r="BC12" s="288"/>
      <c r="BD12" s="288"/>
      <c r="BE12" s="288"/>
      <c r="BF12" s="288"/>
      <c r="BG12" s="288"/>
      <c r="BH12" s="288"/>
      <c r="BI12" s="286"/>
      <c r="BJ12" s="287"/>
      <c r="BK12" s="288"/>
      <c r="BL12" s="288"/>
      <c r="BM12" s="288"/>
      <c r="BN12" s="288"/>
      <c r="BO12" s="288"/>
      <c r="BP12" s="288"/>
      <c r="BQ12" s="288"/>
      <c r="BR12" s="288"/>
      <c r="BS12" s="288"/>
      <c r="BT12" s="288"/>
      <c r="BU12" s="286"/>
      <c r="BV12" s="287"/>
      <c r="BW12" s="288"/>
      <c r="BX12" s="288"/>
      <c r="BY12" s="288"/>
      <c r="BZ12" s="288"/>
      <c r="CA12" s="288"/>
      <c r="CB12" s="288"/>
      <c r="CC12" s="288"/>
      <c r="CD12" s="288"/>
      <c r="CE12" s="288"/>
      <c r="CF12" s="288"/>
      <c r="CG12" s="286"/>
      <c r="CH12" s="287"/>
      <c r="CI12" s="288"/>
      <c r="CJ12" s="288"/>
      <c r="CK12" s="288"/>
      <c r="CL12" s="288"/>
      <c r="CM12" s="288"/>
      <c r="CN12" s="288"/>
      <c r="CO12" s="288"/>
      <c r="CP12" s="288"/>
      <c r="CQ12" s="288"/>
      <c r="CR12" s="288"/>
      <c r="CS12" s="286"/>
      <c r="CT12" s="287"/>
      <c r="CU12" s="288"/>
      <c r="CV12" s="288"/>
      <c r="CW12" s="288"/>
      <c r="CX12" s="288"/>
      <c r="CY12" s="288"/>
      <c r="CZ12" s="288"/>
      <c r="DA12" s="288"/>
      <c r="DB12" s="288"/>
      <c r="DC12" s="288"/>
      <c r="DD12" s="288"/>
      <c r="DE12" s="286"/>
      <c r="DF12" s="287"/>
      <c r="DG12" s="288"/>
      <c r="DH12" s="288"/>
      <c r="DI12" s="288"/>
      <c r="DJ12" s="288"/>
      <c r="DK12" s="288"/>
      <c r="DL12" s="288"/>
      <c r="DM12" s="288"/>
      <c r="DN12" s="288"/>
      <c r="DO12" s="288"/>
      <c r="DP12" s="288"/>
      <c r="DQ12" s="105"/>
      <c r="DR12" s="106"/>
      <c r="DS12" s="107"/>
      <c r="DT12" s="108"/>
      <c r="DU12" s="107"/>
      <c r="DV12" s="108"/>
      <c r="DW12" s="107"/>
      <c r="DX12" s="108"/>
      <c r="DY12" s="107"/>
      <c r="DZ12" s="108"/>
      <c r="EA12" s="107"/>
      <c r="EB12" s="108"/>
      <c r="EC12" s="286"/>
      <c r="ED12" s="287"/>
      <c r="EE12" s="288"/>
      <c r="EF12" s="288"/>
      <c r="EG12" s="288"/>
      <c r="EH12" s="288"/>
      <c r="EI12" s="288"/>
      <c r="EJ12" s="288"/>
      <c r="EK12" s="288"/>
      <c r="EL12" s="288"/>
      <c r="EM12" s="288"/>
      <c r="EN12" s="288"/>
      <c r="EO12" s="286"/>
      <c r="EP12" s="287"/>
      <c r="EQ12" s="288"/>
      <c r="ER12" s="288"/>
      <c r="ES12" s="288"/>
      <c r="ET12" s="288"/>
      <c r="EU12" s="288"/>
      <c r="EV12" s="288"/>
      <c r="EW12" s="288"/>
      <c r="EX12" s="288"/>
      <c r="EY12" s="288"/>
      <c r="EZ12" s="288"/>
      <c r="FA12" s="286"/>
      <c r="FB12" s="287"/>
      <c r="FC12" s="288"/>
      <c r="FD12" s="288"/>
      <c r="FE12" s="288"/>
      <c r="FF12" s="288"/>
      <c r="FG12" s="288"/>
      <c r="FH12" s="288"/>
      <c r="FI12" s="288"/>
      <c r="FJ12" s="288"/>
      <c r="FK12" s="288"/>
      <c r="FL12" s="288"/>
      <c r="FM12" s="286"/>
      <c r="FN12" s="287"/>
      <c r="FO12" s="288"/>
      <c r="FP12" s="288"/>
      <c r="FQ12" s="288"/>
      <c r="FR12" s="288"/>
      <c r="FS12" s="288"/>
      <c r="FT12" s="288"/>
      <c r="FU12" s="288"/>
      <c r="FV12" s="288"/>
      <c r="FW12" s="288"/>
      <c r="FX12" s="288"/>
      <c r="FY12" s="286"/>
      <c r="FZ12" s="287"/>
      <c r="GA12" s="288"/>
      <c r="GB12" s="288"/>
      <c r="GC12" s="288"/>
      <c r="GD12" s="288"/>
      <c r="GE12" s="288"/>
      <c r="GF12" s="288"/>
      <c r="GG12" s="288"/>
      <c r="GH12" s="288"/>
      <c r="GI12" s="288"/>
      <c r="GJ12" s="288"/>
    </row>
    <row r="13" spans="1:193">
      <c r="A13" s="109" t="s">
        <v>331</v>
      </c>
      <c r="B13" s="55"/>
      <c r="C13" s="264" t="s">
        <v>300</v>
      </c>
      <c r="D13" s="264"/>
      <c r="E13" s="264"/>
      <c r="F13" s="264"/>
      <c r="G13" s="264"/>
      <c r="H13" s="264"/>
      <c r="I13" s="264"/>
      <c r="J13" s="264"/>
      <c r="K13" s="264"/>
      <c r="L13" s="264"/>
      <c r="M13" s="109" t="s">
        <v>331</v>
      </c>
      <c r="N13" s="55"/>
      <c r="O13" s="264" t="s">
        <v>300</v>
      </c>
      <c r="P13" s="264"/>
      <c r="Q13" s="264"/>
      <c r="R13" s="264"/>
      <c r="S13" s="264"/>
      <c r="T13" s="264"/>
      <c r="U13" s="264"/>
      <c r="V13" s="264"/>
      <c r="W13" s="264"/>
      <c r="X13" s="264"/>
      <c r="Y13" s="109" t="s">
        <v>331</v>
      </c>
      <c r="Z13" s="55"/>
      <c r="AA13" s="264" t="s">
        <v>300</v>
      </c>
      <c r="AB13" s="264"/>
      <c r="AC13" s="264"/>
      <c r="AD13" s="264"/>
      <c r="AE13" s="264"/>
      <c r="AF13" s="264"/>
      <c r="AG13" s="264"/>
      <c r="AH13" s="264"/>
      <c r="AI13" s="264"/>
      <c r="AJ13" s="264"/>
      <c r="AK13" s="109" t="s">
        <v>331</v>
      </c>
      <c r="AL13" s="55"/>
      <c r="AM13" s="264" t="s">
        <v>300</v>
      </c>
      <c r="AN13" s="264"/>
      <c r="AO13" s="264"/>
      <c r="AP13" s="264"/>
      <c r="AQ13" s="264"/>
      <c r="AR13" s="264"/>
      <c r="AS13" s="264"/>
      <c r="AT13" s="264"/>
      <c r="AU13" s="264"/>
      <c r="AV13" s="264"/>
      <c r="AW13" s="109" t="s">
        <v>331</v>
      </c>
      <c r="AX13" s="55"/>
      <c r="AY13" s="264" t="s">
        <v>300</v>
      </c>
      <c r="AZ13" s="264"/>
      <c r="BA13" s="264"/>
      <c r="BB13" s="264"/>
      <c r="BC13" s="264"/>
      <c r="BD13" s="264"/>
      <c r="BE13" s="264"/>
      <c r="BF13" s="264"/>
      <c r="BG13" s="264"/>
      <c r="BH13" s="264"/>
      <c r="BI13" s="109" t="s">
        <v>331</v>
      </c>
      <c r="BJ13" s="55"/>
      <c r="BK13" s="264" t="s">
        <v>300</v>
      </c>
      <c r="BL13" s="264"/>
      <c r="BM13" s="264"/>
      <c r="BN13" s="264"/>
      <c r="BO13" s="264"/>
      <c r="BP13" s="264"/>
      <c r="BQ13" s="264"/>
      <c r="BR13" s="264"/>
      <c r="BS13" s="264"/>
      <c r="BT13" s="264"/>
      <c r="BU13" s="109" t="s">
        <v>331</v>
      </c>
      <c r="BV13" s="55"/>
      <c r="BW13" s="264" t="s">
        <v>300</v>
      </c>
      <c r="BX13" s="264"/>
      <c r="BY13" s="264"/>
      <c r="BZ13" s="264"/>
      <c r="CA13" s="264"/>
      <c r="CB13" s="264"/>
      <c r="CC13" s="264"/>
      <c r="CD13" s="264"/>
      <c r="CE13" s="264"/>
      <c r="CF13" s="264"/>
      <c r="CG13" s="109" t="s">
        <v>331</v>
      </c>
      <c r="CH13" s="55"/>
      <c r="CI13" s="264" t="s">
        <v>300</v>
      </c>
      <c r="CJ13" s="264"/>
      <c r="CK13" s="264"/>
      <c r="CL13" s="264"/>
      <c r="CM13" s="264"/>
      <c r="CN13" s="264"/>
      <c r="CO13" s="264"/>
      <c r="CP13" s="264"/>
      <c r="CQ13" s="264"/>
      <c r="CR13" s="264"/>
      <c r="CS13" s="109" t="s">
        <v>331</v>
      </c>
      <c r="CT13" s="55"/>
      <c r="CU13" s="264" t="s">
        <v>300</v>
      </c>
      <c r="CV13" s="264"/>
      <c r="CW13" s="264"/>
      <c r="CX13" s="264"/>
      <c r="CY13" s="264"/>
      <c r="CZ13" s="264"/>
      <c r="DA13" s="264"/>
      <c r="DB13" s="264"/>
      <c r="DC13" s="264"/>
      <c r="DD13" s="264"/>
      <c r="DE13" s="109" t="s">
        <v>331</v>
      </c>
      <c r="DF13" s="55"/>
      <c r="DG13" s="264" t="s">
        <v>300</v>
      </c>
      <c r="DH13" s="264"/>
      <c r="DI13" s="264"/>
      <c r="DJ13" s="264"/>
      <c r="DK13" s="264"/>
      <c r="DL13" s="264"/>
      <c r="DM13" s="264"/>
      <c r="DN13" s="264"/>
      <c r="DO13" s="264"/>
      <c r="DP13" s="264"/>
      <c r="DQ13" s="109" t="s">
        <v>331</v>
      </c>
      <c r="DR13" s="55"/>
      <c r="DS13" s="110" t="s">
        <v>300</v>
      </c>
      <c r="DT13" s="111"/>
      <c r="DU13" s="111"/>
      <c r="DV13" s="111"/>
      <c r="DW13" s="111"/>
      <c r="DX13" s="111"/>
      <c r="DY13" s="111"/>
      <c r="DZ13" s="111"/>
      <c r="EA13" s="111"/>
      <c r="EB13" s="112"/>
      <c r="EC13" s="109" t="s">
        <v>20</v>
      </c>
      <c r="ED13" s="55"/>
      <c r="EE13" s="264" t="s">
        <v>300</v>
      </c>
      <c r="EF13" s="264"/>
      <c r="EG13" s="264"/>
      <c r="EH13" s="264"/>
      <c r="EI13" s="264"/>
      <c r="EJ13" s="264"/>
      <c r="EK13" s="264"/>
      <c r="EL13" s="264"/>
      <c r="EM13" s="264"/>
      <c r="EN13" s="264"/>
      <c r="EO13" s="109" t="s">
        <v>20</v>
      </c>
      <c r="EP13" s="55"/>
      <c r="EQ13" s="264" t="s">
        <v>300</v>
      </c>
      <c r="ER13" s="264"/>
      <c r="ES13" s="264"/>
      <c r="ET13" s="264"/>
      <c r="EU13" s="264"/>
      <c r="EV13" s="264"/>
      <c r="EW13" s="264"/>
      <c r="EX13" s="264"/>
      <c r="EY13" s="264"/>
      <c r="EZ13" s="264"/>
      <c r="FA13" s="109" t="s">
        <v>20</v>
      </c>
      <c r="FB13" s="55"/>
      <c r="FC13" s="264" t="s">
        <v>300</v>
      </c>
      <c r="FD13" s="264"/>
      <c r="FE13" s="264"/>
      <c r="FF13" s="264"/>
      <c r="FG13" s="264"/>
      <c r="FH13" s="264"/>
      <c r="FI13" s="264"/>
      <c r="FJ13" s="264"/>
      <c r="FK13" s="264"/>
      <c r="FL13" s="264"/>
      <c r="FM13" s="109" t="s">
        <v>20</v>
      </c>
      <c r="FN13" s="55"/>
      <c r="FO13" s="264" t="s">
        <v>300</v>
      </c>
      <c r="FP13" s="264"/>
      <c r="FQ13" s="264"/>
      <c r="FR13" s="264"/>
      <c r="FS13" s="264"/>
      <c r="FT13" s="264"/>
      <c r="FU13" s="264"/>
      <c r="FV13" s="264"/>
      <c r="FW13" s="264"/>
      <c r="FX13" s="264"/>
      <c r="FY13" s="109" t="s">
        <v>20</v>
      </c>
      <c r="FZ13" s="55"/>
      <c r="GA13" s="264" t="s">
        <v>300</v>
      </c>
      <c r="GB13" s="264"/>
      <c r="GC13" s="264"/>
      <c r="GD13" s="264"/>
      <c r="GE13" s="264"/>
      <c r="GF13" s="264"/>
      <c r="GG13" s="264"/>
      <c r="GH13" s="264"/>
      <c r="GI13" s="264"/>
      <c r="GJ13" s="264"/>
    </row>
    <row r="14" spans="1:193" ht="15" customHeight="1">
      <c r="A14" s="282" t="s">
        <v>332</v>
      </c>
      <c r="B14" s="151"/>
      <c r="C14" s="243" t="s">
        <v>279</v>
      </c>
      <c r="D14" s="244"/>
      <c r="E14" s="243" t="str">
        <f>'Gen CP'!$B15</f>
        <v>Earth Science</v>
      </c>
      <c r="F14" s="244"/>
      <c r="G14" s="243" t="str">
        <f>'Gen CP'!$B15</f>
        <v>Earth Science</v>
      </c>
      <c r="H14" s="244"/>
      <c r="I14" s="243" t="str">
        <f>'Gen CP'!$B15</f>
        <v>Earth Science</v>
      </c>
      <c r="J14" s="244"/>
      <c r="K14" s="243" t="str">
        <f>'Gen CP'!$B15</f>
        <v>Earth Science</v>
      </c>
      <c r="L14" s="244"/>
      <c r="M14" s="282" t="s">
        <v>332</v>
      </c>
      <c r="N14" s="151"/>
      <c r="O14" s="243" t="s">
        <v>279</v>
      </c>
      <c r="P14" s="244"/>
      <c r="Q14" s="243" t="str">
        <f>'Gen CP'!$C15</f>
        <v>MIL</v>
      </c>
      <c r="R14" s="244"/>
      <c r="S14" s="243" t="str">
        <f>'Gen CP'!$C15</f>
        <v>MIL</v>
      </c>
      <c r="T14" s="244"/>
      <c r="U14" s="243" t="str">
        <f>'Gen CP'!$C15</f>
        <v>MIL</v>
      </c>
      <c r="V14" s="244"/>
      <c r="W14" s="243" t="str">
        <f>'Gen CP'!$C15</f>
        <v>MIL</v>
      </c>
      <c r="X14" s="244"/>
      <c r="Y14" s="282" t="s">
        <v>332</v>
      </c>
      <c r="Z14" s="151"/>
      <c r="AA14" s="243" t="s">
        <v>279</v>
      </c>
      <c r="AB14" s="244"/>
      <c r="AC14" s="243" t="str">
        <f>'Gen CP'!$D15</f>
        <v>Oral Com</v>
      </c>
      <c r="AD14" s="244"/>
      <c r="AE14" s="243" t="str">
        <f>'Gen CP'!$D15</f>
        <v>Oral Com</v>
      </c>
      <c r="AF14" s="244"/>
      <c r="AG14" s="243" t="str">
        <f>'Gen CP'!$D15</f>
        <v>Oral Com</v>
      </c>
      <c r="AH14" s="244"/>
      <c r="AI14" s="243" t="str">
        <f>'Gen CP'!$D15</f>
        <v>Oral Com</v>
      </c>
      <c r="AJ14" s="244"/>
      <c r="AK14" s="282" t="s">
        <v>332</v>
      </c>
      <c r="AL14" s="151"/>
      <c r="AM14" s="243" t="s">
        <v>279</v>
      </c>
      <c r="AN14" s="244"/>
      <c r="AO14" s="243" t="str">
        <f>'Gen CP'!$E15</f>
        <v>UCSP</v>
      </c>
      <c r="AP14" s="244"/>
      <c r="AQ14" s="243" t="str">
        <f>'Gen CP'!$E15</f>
        <v>UCSP</v>
      </c>
      <c r="AR14" s="244"/>
      <c r="AS14" s="243" t="str">
        <f>'Gen CP'!$E15</f>
        <v>UCSP</v>
      </c>
      <c r="AT14" s="244"/>
      <c r="AU14" s="243" t="str">
        <f>'Gen CP'!$E15</f>
        <v>UCSP</v>
      </c>
      <c r="AV14" s="244"/>
      <c r="AW14" s="282" t="s">
        <v>332</v>
      </c>
      <c r="AX14" s="151"/>
      <c r="AY14" s="243" t="s">
        <v>279</v>
      </c>
      <c r="AZ14" s="244"/>
      <c r="BA14" s="243" t="str">
        <f>'Gen CP'!$F15</f>
        <v>Kom Pan</v>
      </c>
      <c r="BB14" s="244"/>
      <c r="BC14" s="243" t="str">
        <f>'Gen CP'!$F15</f>
        <v>Kom Pan</v>
      </c>
      <c r="BD14" s="244"/>
      <c r="BE14" s="243" t="str">
        <f>'Gen CP'!$F15</f>
        <v>Kom Pan</v>
      </c>
      <c r="BF14" s="244"/>
      <c r="BG14" s="243" t="str">
        <f>'Gen CP'!$F15</f>
        <v>Kom Pan</v>
      </c>
      <c r="BH14" s="244"/>
      <c r="BI14" s="282" t="s">
        <v>332</v>
      </c>
      <c r="BJ14" s="151"/>
      <c r="BK14" s="243" t="s">
        <v>279</v>
      </c>
      <c r="BL14" s="244"/>
      <c r="BM14" s="243" t="str">
        <f>'Gen CP'!$G15</f>
        <v>UCSP</v>
      </c>
      <c r="BN14" s="244"/>
      <c r="BO14" s="243" t="str">
        <f>'Gen CP'!$G15</f>
        <v>UCSP</v>
      </c>
      <c r="BP14" s="244"/>
      <c r="BQ14" s="243" t="str">
        <f>'Gen CP'!$G15</f>
        <v>UCSP</v>
      </c>
      <c r="BR14" s="244"/>
      <c r="BS14" s="243" t="str">
        <f>'Gen CP'!$G15</f>
        <v>UCSP</v>
      </c>
      <c r="BT14" s="244"/>
      <c r="BU14" s="295" t="s">
        <v>332</v>
      </c>
      <c r="BV14" s="151"/>
      <c r="BW14" s="243" t="s">
        <v>279</v>
      </c>
      <c r="BX14" s="244"/>
      <c r="BY14" s="243" t="str">
        <f>'Gen CP'!$H15</f>
        <v>Agri-Crops NC II</v>
      </c>
      <c r="BZ14" s="244"/>
      <c r="CA14" s="243" t="str">
        <f>'Gen CP'!$H15</f>
        <v>Agri-Crops NC II</v>
      </c>
      <c r="CB14" s="244"/>
      <c r="CC14" s="243" t="str">
        <f>'Gen CP'!$H15</f>
        <v>Agri-Crops NC II</v>
      </c>
      <c r="CD14" s="244"/>
      <c r="CE14" s="243" t="str">
        <f>'Gen CP'!$H15</f>
        <v>Agri-Crops NC II</v>
      </c>
      <c r="CF14" s="244"/>
      <c r="CG14" s="282" t="s">
        <v>332</v>
      </c>
      <c r="CH14" s="151"/>
      <c r="CI14" s="243" t="s">
        <v>279</v>
      </c>
      <c r="CJ14" s="244"/>
      <c r="CK14" s="243" t="str">
        <f>'Gen CP'!$I15</f>
        <v>Earth &amp; Life</v>
      </c>
      <c r="CL14" s="244"/>
      <c r="CM14" s="243" t="str">
        <f>'Gen CP'!$I15</f>
        <v>Earth &amp; Life</v>
      </c>
      <c r="CN14" s="244"/>
      <c r="CO14" s="243" t="str">
        <f>'Gen CP'!$I15</f>
        <v>Earth &amp; Life</v>
      </c>
      <c r="CP14" s="244"/>
      <c r="CQ14" s="243" t="str">
        <f>'Gen CP'!$I15</f>
        <v>Earth &amp; Life</v>
      </c>
      <c r="CR14" s="244"/>
      <c r="CS14" s="282" t="s">
        <v>332</v>
      </c>
      <c r="CT14" s="151"/>
      <c r="CU14" s="243" t="s">
        <v>279</v>
      </c>
      <c r="CV14" s="244"/>
      <c r="CW14" s="243" t="str">
        <f>'Gen CP'!$J15</f>
        <v>Emp Tech</v>
      </c>
      <c r="CX14" s="244"/>
      <c r="CY14" s="243" t="str">
        <f>'Gen CP'!$J15</f>
        <v>Emp Tech</v>
      </c>
      <c r="CZ14" s="244"/>
      <c r="DA14" s="243" t="str">
        <f>'Gen CP'!$J15</f>
        <v>Emp Tech</v>
      </c>
      <c r="DB14" s="244"/>
      <c r="DC14" s="243" t="str">
        <f>'Gen CP'!$J15</f>
        <v>Emp Tech</v>
      </c>
      <c r="DD14" s="244"/>
      <c r="DE14" s="282" t="s">
        <v>332</v>
      </c>
      <c r="DF14" s="151"/>
      <c r="DG14" s="243" t="s">
        <v>279</v>
      </c>
      <c r="DH14" s="244"/>
      <c r="DI14" s="243" t="str">
        <f>'Gen CP'!$K15</f>
        <v>UCSP</v>
      </c>
      <c r="DJ14" s="244"/>
      <c r="DK14" s="243" t="str">
        <f>'Gen CP'!$K15</f>
        <v>UCSP</v>
      </c>
      <c r="DL14" s="244"/>
      <c r="DM14" s="243" t="str">
        <f>'Gen CP'!$K15</f>
        <v>UCSP</v>
      </c>
      <c r="DN14" s="244"/>
      <c r="DO14" s="243" t="str">
        <f>'Gen CP'!$K15</f>
        <v>UCSP</v>
      </c>
      <c r="DP14" s="244"/>
      <c r="DQ14" s="282" t="s">
        <v>332</v>
      </c>
      <c r="DR14" s="151"/>
      <c r="DS14" s="243" t="s">
        <v>279</v>
      </c>
      <c r="DT14" s="244"/>
      <c r="DU14" s="243" t="str">
        <f>'Gen CP'!$L15</f>
        <v>Food and Beverage</v>
      </c>
      <c r="DV14" s="244"/>
      <c r="DW14" s="243" t="str">
        <f>'Gen CP'!$L15</f>
        <v>Food and Beverage</v>
      </c>
      <c r="DX14" s="244"/>
      <c r="DY14" s="243" t="str">
        <f>'Gen CP'!$L15</f>
        <v>Food and Beverage</v>
      </c>
      <c r="DZ14" s="244"/>
      <c r="EA14" s="243" t="str">
        <f>'Gen CP'!$L15</f>
        <v>Food and Beverage</v>
      </c>
      <c r="EB14" s="244"/>
      <c r="EC14" s="274" t="s">
        <v>21</v>
      </c>
      <c r="ED14" s="151"/>
      <c r="EE14" s="243">
        <f>'Gen CP'!$M15</f>
        <v>0</v>
      </c>
      <c r="EF14" s="244"/>
      <c r="EG14" s="243">
        <f>'Gen CP'!$M15</f>
        <v>0</v>
      </c>
      <c r="EH14" s="244"/>
      <c r="EI14" s="243">
        <f>'Gen CP'!$M15</f>
        <v>0</v>
      </c>
      <c r="EJ14" s="244"/>
      <c r="EK14" s="243">
        <f>'Gen CP'!$M15</f>
        <v>0</v>
      </c>
      <c r="EL14" s="244"/>
      <c r="EM14" s="243">
        <f>'Gen CP'!$M15</f>
        <v>0</v>
      </c>
      <c r="EN14" s="244"/>
      <c r="EO14" s="274" t="s">
        <v>21</v>
      </c>
      <c r="EP14" s="151">
        <v>60</v>
      </c>
      <c r="EQ14" s="243"/>
      <c r="ER14" s="244"/>
      <c r="ES14" s="243"/>
      <c r="ET14" s="244"/>
      <c r="EU14" s="243"/>
      <c r="EV14" s="244"/>
      <c r="EW14" s="243"/>
      <c r="EX14" s="244"/>
      <c r="EY14" s="264"/>
      <c r="EZ14" s="264"/>
      <c r="FA14" s="274" t="s">
        <v>21</v>
      </c>
      <c r="FB14" s="151">
        <v>60</v>
      </c>
      <c r="FC14" s="243"/>
      <c r="FD14" s="244"/>
      <c r="FE14" s="243"/>
      <c r="FF14" s="244"/>
      <c r="FG14" s="243"/>
      <c r="FH14" s="244"/>
      <c r="FI14" s="243"/>
      <c r="FJ14" s="244"/>
      <c r="FK14" s="264"/>
      <c r="FL14" s="264"/>
      <c r="FM14" s="274" t="s">
        <v>21</v>
      </c>
      <c r="FN14" s="151">
        <v>60</v>
      </c>
      <c r="FO14" s="243"/>
      <c r="FP14" s="244"/>
      <c r="FQ14" s="243"/>
      <c r="FR14" s="244"/>
      <c r="FS14" s="243"/>
      <c r="FT14" s="244"/>
      <c r="FU14" s="243"/>
      <c r="FV14" s="244"/>
      <c r="FW14" s="264"/>
      <c r="FX14" s="264"/>
      <c r="FY14" s="274" t="s">
        <v>21</v>
      </c>
      <c r="FZ14" s="151" t="s">
        <v>51</v>
      </c>
      <c r="GA14" s="243">
        <f>'Gen CP'!$N15</f>
        <v>0</v>
      </c>
      <c r="GB14" s="244"/>
      <c r="GC14" s="243">
        <f>'Gen CP'!$N15</f>
        <v>0</v>
      </c>
      <c r="GD14" s="244"/>
      <c r="GE14" s="243">
        <f>'Gen CP'!$N15</f>
        <v>0</v>
      </c>
      <c r="GF14" s="244"/>
      <c r="GG14" s="243">
        <f>'Gen CP'!$N15</f>
        <v>0</v>
      </c>
      <c r="GH14" s="244"/>
      <c r="GI14" s="243">
        <f>'Gen CP'!$N15</f>
        <v>0</v>
      </c>
      <c r="GJ14" s="244"/>
    </row>
    <row r="15" spans="1:193">
      <c r="A15" s="283"/>
      <c r="B15" s="152"/>
      <c r="C15" s="243" t="str">
        <f>'Gen CP'!$B16</f>
        <v>Hierco M</v>
      </c>
      <c r="D15" s="244"/>
      <c r="E15" s="243" t="str">
        <f>'Gen CP'!$B16</f>
        <v>Hierco M</v>
      </c>
      <c r="F15" s="244"/>
      <c r="G15" s="243" t="str">
        <f>'Gen CP'!$B16</f>
        <v>Hierco M</v>
      </c>
      <c r="H15" s="244"/>
      <c r="I15" s="243" t="str">
        <f>'Gen CP'!$B16</f>
        <v>Hierco M</v>
      </c>
      <c r="J15" s="244"/>
      <c r="K15" s="243" t="str">
        <f>'Gen CP'!$B16</f>
        <v>Hierco M</v>
      </c>
      <c r="L15" s="244"/>
      <c r="M15" s="283"/>
      <c r="N15" s="152"/>
      <c r="O15" s="243" t="str">
        <f>'Gen CP'!$C16</f>
        <v>Coronel R</v>
      </c>
      <c r="P15" s="244"/>
      <c r="Q15" s="243" t="str">
        <f>'Gen CP'!$C16</f>
        <v>Coronel R</v>
      </c>
      <c r="R15" s="244"/>
      <c r="S15" s="243" t="str">
        <f>'Gen CP'!$C16</f>
        <v>Coronel R</v>
      </c>
      <c r="T15" s="244"/>
      <c r="U15" s="243" t="str">
        <f>'Gen CP'!$C16</f>
        <v>Coronel R</v>
      </c>
      <c r="V15" s="244"/>
      <c r="W15" s="243" t="str">
        <f>'Gen CP'!$C16</f>
        <v>Coronel R</v>
      </c>
      <c r="X15" s="244"/>
      <c r="Y15" s="283"/>
      <c r="Z15" s="152"/>
      <c r="AA15" s="243" t="str">
        <f>'Gen CP'!$D16</f>
        <v>Sagnip M</v>
      </c>
      <c r="AB15" s="244"/>
      <c r="AC15" s="243" t="str">
        <f>'Gen CP'!$D16</f>
        <v>Sagnip M</v>
      </c>
      <c r="AD15" s="244"/>
      <c r="AE15" s="243" t="str">
        <f>'Gen CP'!$D16</f>
        <v>Sagnip M</v>
      </c>
      <c r="AF15" s="244"/>
      <c r="AG15" s="243" t="str">
        <f>'Gen CP'!$D16</f>
        <v>Sagnip M</v>
      </c>
      <c r="AH15" s="244"/>
      <c r="AI15" s="243" t="str">
        <f>'Gen CP'!$D16</f>
        <v>Sagnip M</v>
      </c>
      <c r="AJ15" s="244"/>
      <c r="AK15" s="283"/>
      <c r="AL15" s="152"/>
      <c r="AM15" s="243" t="str">
        <f>'Gen CP'!$E16</f>
        <v>Estrella R</v>
      </c>
      <c r="AN15" s="244"/>
      <c r="AO15" s="243" t="str">
        <f>'Gen CP'!$E16</f>
        <v>Estrella R</v>
      </c>
      <c r="AP15" s="244"/>
      <c r="AQ15" s="243" t="str">
        <f>'Gen CP'!$E16</f>
        <v>Estrella R</v>
      </c>
      <c r="AR15" s="244"/>
      <c r="AS15" s="243" t="str">
        <f>'Gen CP'!$E16</f>
        <v>Estrella R</v>
      </c>
      <c r="AT15" s="244"/>
      <c r="AU15" s="243" t="str">
        <f>'Gen CP'!$E16</f>
        <v>Estrella R</v>
      </c>
      <c r="AV15" s="244"/>
      <c r="AW15" s="283"/>
      <c r="AX15" s="152"/>
      <c r="AY15" s="243" t="str">
        <f>'Gen CP'!$F16</f>
        <v>Aguilar EM</v>
      </c>
      <c r="AZ15" s="244"/>
      <c r="BA15" s="243" t="str">
        <f>'Gen CP'!$F16</f>
        <v>Aguilar EM</v>
      </c>
      <c r="BB15" s="244"/>
      <c r="BC15" s="243" t="str">
        <f>'Gen CP'!$F16</f>
        <v>Aguilar EM</v>
      </c>
      <c r="BD15" s="244"/>
      <c r="BE15" s="243" t="str">
        <f>'Gen CP'!$F16</f>
        <v>Aguilar EM</v>
      </c>
      <c r="BF15" s="244"/>
      <c r="BG15" s="243" t="str">
        <f>'Gen CP'!$F16</f>
        <v>Aguilar EM</v>
      </c>
      <c r="BH15" s="244"/>
      <c r="BI15" s="283"/>
      <c r="BJ15" s="152"/>
      <c r="BK15" s="243" t="str">
        <f>'Gen CP'!$G16</f>
        <v>Mamaid MC</v>
      </c>
      <c r="BL15" s="244"/>
      <c r="BM15" s="243" t="str">
        <f>'Gen CP'!$G16</f>
        <v>Mamaid MC</v>
      </c>
      <c r="BN15" s="244"/>
      <c r="BO15" s="243" t="str">
        <f>'Gen CP'!$G16</f>
        <v>Mamaid MC</v>
      </c>
      <c r="BP15" s="244"/>
      <c r="BQ15" s="243" t="str">
        <f>'Gen CP'!$G16</f>
        <v>Mamaid MC</v>
      </c>
      <c r="BR15" s="244"/>
      <c r="BS15" s="243" t="str">
        <f>'Gen CP'!$G16</f>
        <v>Mamaid MC</v>
      </c>
      <c r="BT15" s="244"/>
      <c r="BU15" s="295"/>
      <c r="BV15" s="152"/>
      <c r="BW15" s="243" t="str">
        <f>'Gen CP'!$H16</f>
        <v>Reyes D</v>
      </c>
      <c r="BX15" s="244"/>
      <c r="BY15" s="243" t="str">
        <f>'Gen CP'!$H16</f>
        <v>Reyes D</v>
      </c>
      <c r="BZ15" s="244"/>
      <c r="CA15" s="243" t="str">
        <f>'Gen CP'!$H16</f>
        <v>Reyes D</v>
      </c>
      <c r="CB15" s="244"/>
      <c r="CC15" s="243" t="str">
        <f>'Gen CP'!$H16</f>
        <v>Reyes D</v>
      </c>
      <c r="CD15" s="244"/>
      <c r="CE15" s="243" t="str">
        <f>'Gen CP'!$H16</f>
        <v>Reyes D</v>
      </c>
      <c r="CF15" s="244"/>
      <c r="CG15" s="283"/>
      <c r="CH15" s="152"/>
      <c r="CI15" s="243" t="str">
        <f>'Gen CP'!$I16</f>
        <v>Almazan AD</v>
      </c>
      <c r="CJ15" s="244"/>
      <c r="CK15" s="243" t="str">
        <f>'Gen CP'!$I16</f>
        <v>Almazan AD</v>
      </c>
      <c r="CL15" s="244"/>
      <c r="CM15" s="243" t="str">
        <f>'Gen CP'!$I16</f>
        <v>Almazan AD</v>
      </c>
      <c r="CN15" s="244"/>
      <c r="CO15" s="243" t="str">
        <f>'Gen CP'!$I16</f>
        <v>Almazan AD</v>
      </c>
      <c r="CP15" s="244"/>
      <c r="CQ15" s="243" t="str">
        <f>'Gen CP'!$I16</f>
        <v>Almazan AD</v>
      </c>
      <c r="CR15" s="244"/>
      <c r="CS15" s="283"/>
      <c r="CT15" s="152"/>
      <c r="CU15" s="243" t="str">
        <f>'Gen CP'!$J16</f>
        <v>Guerrero LG</v>
      </c>
      <c r="CV15" s="244"/>
      <c r="CW15" s="243" t="str">
        <f>'Gen CP'!$J16</f>
        <v>Guerrero LG</v>
      </c>
      <c r="CX15" s="244"/>
      <c r="CY15" s="243" t="str">
        <f>'Gen CP'!$J16</f>
        <v>Guerrero LG</v>
      </c>
      <c r="CZ15" s="244"/>
      <c r="DA15" s="243" t="str">
        <f>'Gen CP'!$J16</f>
        <v>Guerrero LG</v>
      </c>
      <c r="DB15" s="244"/>
      <c r="DC15" s="243" t="str">
        <f>'Gen CP'!$J16</f>
        <v>Guerrero LG</v>
      </c>
      <c r="DD15" s="244"/>
      <c r="DE15" s="283"/>
      <c r="DF15" s="152"/>
      <c r="DG15" s="243" t="str">
        <f>'Gen CP'!$K16</f>
        <v>Valdez R</v>
      </c>
      <c r="DH15" s="244"/>
      <c r="DI15" s="243" t="str">
        <f>'Gen CP'!$K16</f>
        <v>Valdez R</v>
      </c>
      <c r="DJ15" s="244"/>
      <c r="DK15" s="243" t="str">
        <f>'Gen CP'!$K16</f>
        <v>Valdez R</v>
      </c>
      <c r="DL15" s="244"/>
      <c r="DM15" s="243" t="str">
        <f>'Gen CP'!$K16</f>
        <v>Valdez R</v>
      </c>
      <c r="DN15" s="244"/>
      <c r="DO15" s="243" t="str">
        <f>'Gen CP'!$K16</f>
        <v>Valdez R</v>
      </c>
      <c r="DP15" s="244"/>
      <c r="DQ15" s="283"/>
      <c r="DR15" s="152"/>
      <c r="DS15" s="243" t="str">
        <f>'Gen CP'!$L16</f>
        <v>Maniquiz T</v>
      </c>
      <c r="DT15" s="244"/>
      <c r="DU15" s="243" t="str">
        <f>'Gen CP'!$L16</f>
        <v>Maniquiz T</v>
      </c>
      <c r="DV15" s="244"/>
      <c r="DW15" s="243" t="str">
        <f>'Gen CP'!$L16</f>
        <v>Maniquiz T</v>
      </c>
      <c r="DX15" s="244"/>
      <c r="DY15" s="243" t="str">
        <f>'Gen CP'!$L16</f>
        <v>Maniquiz T</v>
      </c>
      <c r="DZ15" s="244"/>
      <c r="EA15" s="243" t="str">
        <f>'Gen CP'!$L16</f>
        <v>Maniquiz T</v>
      </c>
      <c r="EB15" s="244"/>
      <c r="EC15" s="275"/>
      <c r="ED15" s="152"/>
      <c r="EE15" s="243">
        <f>'Gen CP'!$M16</f>
        <v>0</v>
      </c>
      <c r="EF15" s="244"/>
      <c r="EG15" s="243">
        <f>'Gen CP'!$M16</f>
        <v>0</v>
      </c>
      <c r="EH15" s="244"/>
      <c r="EI15" s="243">
        <f>'Gen CP'!$M16</f>
        <v>0</v>
      </c>
      <c r="EJ15" s="244"/>
      <c r="EK15" s="243">
        <f>'Gen CP'!$M16</f>
        <v>0</v>
      </c>
      <c r="EL15" s="244"/>
      <c r="EM15" s="243">
        <f>'Gen CP'!$M16</f>
        <v>0</v>
      </c>
      <c r="EN15" s="244"/>
      <c r="EO15" s="275"/>
      <c r="EP15" s="152"/>
      <c r="EQ15" s="243"/>
      <c r="ER15" s="244"/>
      <c r="ES15" s="243"/>
      <c r="ET15" s="244"/>
      <c r="EU15" s="243"/>
      <c r="EV15" s="244"/>
      <c r="EW15" s="243"/>
      <c r="EX15" s="244"/>
      <c r="EY15" s="264"/>
      <c r="EZ15" s="264"/>
      <c r="FA15" s="275"/>
      <c r="FB15" s="152"/>
      <c r="FC15" s="243"/>
      <c r="FD15" s="244"/>
      <c r="FE15" s="243"/>
      <c r="FF15" s="244"/>
      <c r="FG15" s="243"/>
      <c r="FH15" s="244"/>
      <c r="FI15" s="243"/>
      <c r="FJ15" s="244"/>
      <c r="FK15" s="264"/>
      <c r="FL15" s="264"/>
      <c r="FM15" s="275"/>
      <c r="FN15" s="152"/>
      <c r="FO15" s="243"/>
      <c r="FP15" s="244"/>
      <c r="FQ15" s="243"/>
      <c r="FR15" s="244"/>
      <c r="FS15" s="243"/>
      <c r="FT15" s="244"/>
      <c r="FU15" s="243"/>
      <c r="FV15" s="244"/>
      <c r="FW15" s="264"/>
      <c r="FX15" s="264"/>
      <c r="FY15" s="275"/>
      <c r="FZ15" s="152"/>
      <c r="GA15" s="243" t="str">
        <f>'Gen CP'!$N16</f>
        <v>Crisostomo R</v>
      </c>
      <c r="GB15" s="244"/>
      <c r="GC15" s="243" t="str">
        <f>'Gen CP'!$N16</f>
        <v>Crisostomo R</v>
      </c>
      <c r="GD15" s="244"/>
      <c r="GE15" s="243" t="str">
        <f>'Gen CP'!$N16</f>
        <v>Crisostomo R</v>
      </c>
      <c r="GF15" s="244"/>
      <c r="GG15" s="243" t="str">
        <f>'Gen CP'!$N16</f>
        <v>Crisostomo R</v>
      </c>
      <c r="GH15" s="244"/>
      <c r="GI15" s="243" t="str">
        <f>'Gen CP'!$N16</f>
        <v>Crisostomo R</v>
      </c>
      <c r="GJ15" s="244"/>
    </row>
    <row r="16" spans="1:193" ht="15" hidden="1" customHeight="1">
      <c r="A16" s="113"/>
      <c r="B16" s="114"/>
      <c r="C16" s="243"/>
      <c r="D16" s="244"/>
      <c r="E16" s="115"/>
      <c r="F16" s="116"/>
      <c r="G16" s="115"/>
      <c r="H16" s="116"/>
      <c r="I16" s="115"/>
      <c r="J16" s="116"/>
      <c r="K16" s="243"/>
      <c r="L16" s="244"/>
      <c r="M16" s="113"/>
      <c r="N16" s="114"/>
      <c r="O16" s="115"/>
      <c r="P16" s="116"/>
      <c r="Q16" s="115"/>
      <c r="R16" s="116"/>
      <c r="S16" s="115"/>
      <c r="T16" s="116"/>
      <c r="U16" s="115"/>
      <c r="V16" s="116"/>
      <c r="W16" s="264"/>
      <c r="X16" s="264"/>
      <c r="Y16" s="113"/>
      <c r="Z16" s="114"/>
      <c r="AA16" s="115"/>
      <c r="AB16" s="116"/>
      <c r="AC16" s="115"/>
      <c r="AD16" s="116"/>
      <c r="AE16" s="115"/>
      <c r="AF16" s="116"/>
      <c r="AG16" s="115"/>
      <c r="AH16" s="116"/>
      <c r="AI16" s="243"/>
      <c r="AJ16" s="244"/>
      <c r="AK16" s="113"/>
      <c r="AL16" s="114"/>
      <c r="AM16" s="115"/>
      <c r="AN16" s="116"/>
      <c r="AO16" s="243"/>
      <c r="AP16" s="244"/>
      <c r="AQ16" s="115"/>
      <c r="AR16" s="116"/>
      <c r="AS16" s="115"/>
      <c r="AT16" s="116"/>
      <c r="AU16" s="243"/>
      <c r="AV16" s="244"/>
      <c r="AW16" s="113"/>
      <c r="AX16" s="114"/>
      <c r="AY16" s="243"/>
      <c r="AZ16" s="244"/>
      <c r="BA16" s="115"/>
      <c r="BB16" s="116"/>
      <c r="BC16" s="115"/>
      <c r="BD16" s="116"/>
      <c r="BE16" s="115"/>
      <c r="BF16" s="116"/>
      <c r="BG16" s="243"/>
      <c r="BH16" s="244"/>
      <c r="BI16" s="113"/>
      <c r="BJ16" s="114"/>
      <c r="BK16" s="243"/>
      <c r="BL16" s="244"/>
      <c r="BM16" s="115"/>
      <c r="BN16" s="116"/>
      <c r="BO16" s="115"/>
      <c r="BP16" s="116"/>
      <c r="BQ16" s="115"/>
      <c r="BR16" s="116"/>
      <c r="BS16" s="243"/>
      <c r="BT16" s="244"/>
      <c r="BU16" s="118"/>
      <c r="BV16" s="114"/>
      <c r="BW16" s="243"/>
      <c r="BX16" s="244"/>
      <c r="BY16" s="115"/>
      <c r="BZ16" s="116"/>
      <c r="CA16" s="115"/>
      <c r="CB16" s="116"/>
      <c r="CC16" s="115"/>
      <c r="CD16" s="116"/>
      <c r="CE16" s="243"/>
      <c r="CF16" s="244"/>
      <c r="CG16" s="113"/>
      <c r="CH16" s="114"/>
      <c r="CI16" s="243"/>
      <c r="CJ16" s="244"/>
      <c r="CK16" s="115"/>
      <c r="CL16" s="116"/>
      <c r="CM16" s="115"/>
      <c r="CN16" s="116"/>
      <c r="CO16" s="115"/>
      <c r="CP16" s="116"/>
      <c r="CQ16" s="243"/>
      <c r="CR16" s="244"/>
      <c r="CS16" s="113"/>
      <c r="CT16" s="114"/>
      <c r="CU16" s="243"/>
      <c r="CV16" s="244"/>
      <c r="CW16" s="115"/>
      <c r="CX16" s="116"/>
      <c r="CY16" s="115"/>
      <c r="CZ16" s="116"/>
      <c r="DA16" s="115"/>
      <c r="DB16" s="116"/>
      <c r="DC16" s="243"/>
      <c r="DD16" s="244"/>
      <c r="DE16" s="113"/>
      <c r="DF16" s="114"/>
      <c r="DG16" s="243"/>
      <c r="DH16" s="244"/>
      <c r="DI16" s="115"/>
      <c r="DJ16" s="116"/>
      <c r="DK16" s="115"/>
      <c r="DL16" s="116"/>
      <c r="DM16" s="115"/>
      <c r="DN16" s="116"/>
      <c r="DO16" s="243"/>
      <c r="DP16" s="244"/>
      <c r="DQ16" s="113"/>
      <c r="DR16" s="114"/>
      <c r="DS16" s="243"/>
      <c r="DT16" s="244"/>
      <c r="DU16" s="115"/>
      <c r="DV16" s="116"/>
      <c r="DW16" s="115"/>
      <c r="DX16" s="116"/>
      <c r="DY16" s="115"/>
      <c r="DZ16" s="116"/>
      <c r="EA16" s="243"/>
      <c r="EB16" s="244"/>
      <c r="EC16" s="119"/>
      <c r="ED16" s="114"/>
      <c r="EE16" s="243"/>
      <c r="EF16" s="244"/>
      <c r="EG16" s="115"/>
      <c r="EH16" s="116"/>
      <c r="EI16" s="115"/>
      <c r="EJ16" s="116"/>
      <c r="EK16" s="115"/>
      <c r="EL16" s="116"/>
      <c r="EM16" s="243"/>
      <c r="EN16" s="244"/>
      <c r="EO16" s="119"/>
      <c r="EP16" s="114"/>
      <c r="EQ16" s="115"/>
      <c r="ER16" s="116"/>
      <c r="ES16" s="115"/>
      <c r="ET16" s="116"/>
      <c r="EU16" s="115"/>
      <c r="EV16" s="116"/>
      <c r="EW16" s="115"/>
      <c r="EX16" s="116"/>
      <c r="EY16" s="120"/>
      <c r="EZ16" s="120"/>
      <c r="FA16" s="119"/>
      <c r="FB16" s="114"/>
      <c r="FC16" s="115"/>
      <c r="FD16" s="116"/>
      <c r="FE16" s="115"/>
      <c r="FF16" s="116"/>
      <c r="FG16" s="115"/>
      <c r="FH16" s="116"/>
      <c r="FI16" s="115"/>
      <c r="FJ16" s="116"/>
      <c r="FK16" s="120"/>
      <c r="FL16" s="120"/>
      <c r="FM16" s="119"/>
      <c r="FN16" s="114"/>
      <c r="FO16" s="115"/>
      <c r="FP16" s="116"/>
      <c r="FQ16" s="115"/>
      <c r="FR16" s="116"/>
      <c r="FS16" s="115"/>
      <c r="FT16" s="116"/>
      <c r="FU16" s="115"/>
      <c r="FV16" s="116"/>
      <c r="FW16" s="120"/>
      <c r="FX16" s="120"/>
      <c r="FY16" s="119"/>
      <c r="FZ16" s="114"/>
      <c r="GA16" s="243"/>
      <c r="GB16" s="273"/>
      <c r="GC16" s="273"/>
      <c r="GD16" s="273"/>
      <c r="GE16" s="273"/>
      <c r="GF16" s="273"/>
      <c r="GG16" s="273"/>
      <c r="GH16" s="273"/>
      <c r="GI16" s="273"/>
      <c r="GJ16" s="244"/>
    </row>
    <row r="17" spans="1:192" ht="15" customHeight="1">
      <c r="A17" s="164" t="s">
        <v>345</v>
      </c>
      <c r="B17" s="137"/>
      <c r="C17" s="243" t="str">
        <f>'Gen CP'!$B17</f>
        <v>Pre-Calculus</v>
      </c>
      <c r="D17" s="244"/>
      <c r="E17" s="243" t="str">
        <f>'Gen CP'!$B17</f>
        <v>Pre-Calculus</v>
      </c>
      <c r="F17" s="244"/>
      <c r="G17" s="243" t="str">
        <f>'Gen CP'!$B17</f>
        <v>Pre-Calculus</v>
      </c>
      <c r="H17" s="244"/>
      <c r="I17" s="243" t="str">
        <f>'Gen CP'!$B17</f>
        <v>Pre-Calculus</v>
      </c>
      <c r="J17" s="244"/>
      <c r="K17" s="243" t="s">
        <v>69</v>
      </c>
      <c r="L17" s="244"/>
      <c r="M17" s="164" t="s">
        <v>345</v>
      </c>
      <c r="N17" s="137"/>
      <c r="O17" s="243" t="str">
        <f>'Gen CP'!$C17</f>
        <v>Kom Pan</v>
      </c>
      <c r="P17" s="244"/>
      <c r="Q17" s="243" t="str">
        <f>'Gen CP'!$C17</f>
        <v>Kom Pan</v>
      </c>
      <c r="R17" s="244"/>
      <c r="S17" s="243" t="str">
        <f>'Gen CP'!$C17</f>
        <v>Kom Pan</v>
      </c>
      <c r="T17" s="244"/>
      <c r="U17" s="243" t="str">
        <f>'Gen CP'!$C17</f>
        <v>Kom Pan</v>
      </c>
      <c r="V17" s="244"/>
      <c r="W17" s="243" t="str">
        <f>'Gen CP'!$C17</f>
        <v>Kom Pan</v>
      </c>
      <c r="X17" s="244"/>
      <c r="Y17" s="164" t="s">
        <v>345</v>
      </c>
      <c r="Z17" s="137"/>
      <c r="AA17" s="243" t="str">
        <f>'Gen CP'!$D17</f>
        <v>UCSP</v>
      </c>
      <c r="AB17" s="244"/>
      <c r="AC17" s="243" t="str">
        <f>'Gen CP'!$D17</f>
        <v>UCSP</v>
      </c>
      <c r="AD17" s="244"/>
      <c r="AE17" s="243" t="s">
        <v>375</v>
      </c>
      <c r="AF17" s="244"/>
      <c r="AG17" s="243" t="str">
        <f>'Gen CP'!$D17</f>
        <v>UCSP</v>
      </c>
      <c r="AH17" s="244"/>
      <c r="AI17" s="243" t="str">
        <f>'Gen CP'!$D17</f>
        <v>UCSP</v>
      </c>
      <c r="AJ17" s="244"/>
      <c r="AK17" s="164" t="s">
        <v>345</v>
      </c>
      <c r="AL17" s="137"/>
      <c r="AM17" s="243" t="str">
        <f>'Gen CP'!$E17</f>
        <v>Oral Com</v>
      </c>
      <c r="AN17" s="244"/>
      <c r="AO17" s="243" t="str">
        <f>'Gen CP'!$E17</f>
        <v>Oral Com</v>
      </c>
      <c r="AP17" s="244"/>
      <c r="AQ17" s="243" t="str">
        <f>'Gen CP'!$E17</f>
        <v>Oral Com</v>
      </c>
      <c r="AR17" s="244"/>
      <c r="AS17" s="243" t="str">
        <f>'Gen CP'!$E17</f>
        <v>Oral Com</v>
      </c>
      <c r="AT17" s="244"/>
      <c r="AU17" s="243" t="str">
        <f>'Gen CP'!$E17</f>
        <v>Oral Com</v>
      </c>
      <c r="AV17" s="244"/>
      <c r="AW17" s="164" t="s">
        <v>345</v>
      </c>
      <c r="AX17" s="137"/>
      <c r="AY17" s="243" t="str">
        <f>'Gen CP'!$F17</f>
        <v>21st Cen Lit</v>
      </c>
      <c r="AZ17" s="244"/>
      <c r="BA17" s="243" t="str">
        <f>'Gen CP'!$F17</f>
        <v>21st Cen Lit</v>
      </c>
      <c r="BB17" s="244"/>
      <c r="BC17" s="243" t="str">
        <f>'Gen CP'!$F17</f>
        <v>21st Cen Lit</v>
      </c>
      <c r="BD17" s="244"/>
      <c r="BE17" s="243" t="str">
        <f>'Gen CP'!$F17</f>
        <v>21st Cen Lit</v>
      </c>
      <c r="BF17" s="244"/>
      <c r="BG17" s="243" t="str">
        <f>'Gen CP'!$F17</f>
        <v>21st Cen Lit</v>
      </c>
      <c r="BH17" s="244"/>
      <c r="BI17" s="164" t="s">
        <v>345</v>
      </c>
      <c r="BJ17" s="137"/>
      <c r="BK17" s="259" t="str">
        <f>'Gen CP'!$G17</f>
        <v>Earth &amp; Life</v>
      </c>
      <c r="BL17" s="260"/>
      <c r="BM17" s="259" t="str">
        <f>'Gen CP'!$G17</f>
        <v>Earth &amp; Life</v>
      </c>
      <c r="BN17" s="260"/>
      <c r="BO17" s="259" t="str">
        <f>'Gen CP'!$G17</f>
        <v>Earth &amp; Life</v>
      </c>
      <c r="BP17" s="260"/>
      <c r="BQ17" s="259" t="str">
        <f>'Gen CP'!$G17</f>
        <v>Earth &amp; Life</v>
      </c>
      <c r="BR17" s="260"/>
      <c r="BS17" s="259" t="str">
        <f>'Gen CP'!$G17</f>
        <v>Earth &amp; Life</v>
      </c>
      <c r="BT17" s="260"/>
      <c r="BU17" s="164" t="s">
        <v>396</v>
      </c>
      <c r="BV17" s="137"/>
      <c r="BW17" s="243" t="str">
        <f>'Gen CP'!$H17</f>
        <v>Agri-Crops NC II</v>
      </c>
      <c r="BX17" s="244"/>
      <c r="BY17" s="243" t="str">
        <f>'Gen CP'!$H17</f>
        <v>Agri-Crops NC II</v>
      </c>
      <c r="BZ17" s="244"/>
      <c r="CA17" s="243" t="str">
        <f>'Gen CP'!$H17</f>
        <v>Agri-Crops NC II</v>
      </c>
      <c r="CB17" s="244"/>
      <c r="CC17" s="243" t="str">
        <f>'Gen CP'!$H17</f>
        <v>Agri-Crops NC II</v>
      </c>
      <c r="CD17" s="244"/>
      <c r="CE17" s="243" t="str">
        <f>'Gen CP'!$H17</f>
        <v>Agri-Crops NC II</v>
      </c>
      <c r="CF17" s="244"/>
      <c r="CG17" s="164" t="s">
        <v>346</v>
      </c>
      <c r="CH17" s="137"/>
      <c r="CI17" s="243" t="str">
        <f>'Gen CP'!$I17</f>
        <v>Oral Com</v>
      </c>
      <c r="CJ17" s="244"/>
      <c r="CK17" s="243" t="str">
        <f>'Gen CP'!$I17</f>
        <v>Oral Com</v>
      </c>
      <c r="CL17" s="244"/>
      <c r="CM17" s="243" t="str">
        <f>'Gen CP'!$I17</f>
        <v>Oral Com</v>
      </c>
      <c r="CN17" s="244"/>
      <c r="CO17" s="243" t="s">
        <v>375</v>
      </c>
      <c r="CP17" s="244"/>
      <c r="CQ17" s="243" t="str">
        <f>'Gen CP'!$I17</f>
        <v>Oral Com</v>
      </c>
      <c r="CR17" s="244"/>
      <c r="CS17" s="164" t="s">
        <v>345</v>
      </c>
      <c r="CT17" s="137"/>
      <c r="CU17" s="243" t="str">
        <f>'Gen CP'!$J17</f>
        <v>Gen Math</v>
      </c>
      <c r="CV17" s="244"/>
      <c r="CW17" s="243" t="str">
        <f>'Gen CP'!$J17</f>
        <v>Gen Math</v>
      </c>
      <c r="CX17" s="244"/>
      <c r="CY17" s="243" t="str">
        <f>'Gen CP'!$J17</f>
        <v>Gen Math</v>
      </c>
      <c r="CZ17" s="244"/>
      <c r="DA17" s="243" t="str">
        <f>'Gen CP'!$J17</f>
        <v>Gen Math</v>
      </c>
      <c r="DB17" s="244"/>
      <c r="DC17" s="243" t="str">
        <f>'Gen CP'!$J17</f>
        <v>Gen Math</v>
      </c>
      <c r="DD17" s="244"/>
      <c r="DE17" s="164" t="s">
        <v>345</v>
      </c>
      <c r="DF17" s="137"/>
      <c r="DG17" s="254" t="str">
        <f>'Gen CP'!$K17</f>
        <v>Earth &amp; Life</v>
      </c>
      <c r="DH17" s="255"/>
      <c r="DI17" s="254" t="str">
        <f>'Gen CP'!$K17</f>
        <v>Earth &amp; Life</v>
      </c>
      <c r="DJ17" s="255"/>
      <c r="DK17" s="243" t="str">
        <f>'Gen CP'!$K17</f>
        <v>Earth &amp; Life</v>
      </c>
      <c r="DL17" s="244"/>
      <c r="DM17" s="243" t="str">
        <f>'Gen CP'!$K17</f>
        <v>Earth &amp; Life</v>
      </c>
      <c r="DN17" s="244"/>
      <c r="DO17" s="243" t="str">
        <f>'Gen CP'!$K17</f>
        <v>Earth &amp; Life</v>
      </c>
      <c r="DP17" s="244"/>
      <c r="DQ17" s="164" t="s">
        <v>345</v>
      </c>
      <c r="DR17" s="137"/>
      <c r="DS17" s="243" t="str">
        <f>'Gen CP'!$L17</f>
        <v>Food and Beverage</v>
      </c>
      <c r="DT17" s="244"/>
      <c r="DU17" s="254" t="s">
        <v>375</v>
      </c>
      <c r="DV17" s="255"/>
      <c r="DW17" s="243" t="str">
        <f>'Gen CP'!$L17</f>
        <v>Food and Beverage</v>
      </c>
      <c r="DX17" s="244"/>
      <c r="DY17" s="243" t="str">
        <f>'Gen CP'!$L17</f>
        <v>Food and Beverage</v>
      </c>
      <c r="DZ17" s="244"/>
      <c r="EA17" s="243" t="str">
        <f>'Gen CP'!$L17</f>
        <v>Food and Beverage</v>
      </c>
      <c r="EB17" s="244"/>
      <c r="EC17" s="265" t="s">
        <v>22</v>
      </c>
      <c r="ED17" s="137"/>
      <c r="EE17" s="243">
        <f>'Gen CP'!$M17</f>
        <v>0</v>
      </c>
      <c r="EF17" s="244"/>
      <c r="EG17" s="243">
        <f>'Gen CP'!$M17</f>
        <v>0</v>
      </c>
      <c r="EH17" s="244"/>
      <c r="EI17" s="243">
        <f>'Gen CP'!$M17</f>
        <v>0</v>
      </c>
      <c r="EJ17" s="244"/>
      <c r="EK17" s="243">
        <f>'Gen CP'!$M17</f>
        <v>0</v>
      </c>
      <c r="EL17" s="244"/>
      <c r="EM17" s="243">
        <f>'Gen CP'!$M17</f>
        <v>0</v>
      </c>
      <c r="EN17" s="244"/>
      <c r="EO17" s="265" t="s">
        <v>22</v>
      </c>
      <c r="EP17" s="137">
        <v>60</v>
      </c>
      <c r="EQ17" s="243"/>
      <c r="ER17" s="244"/>
      <c r="ES17" s="243"/>
      <c r="ET17" s="244"/>
      <c r="EU17" s="243"/>
      <c r="EV17" s="244"/>
      <c r="EW17" s="243"/>
      <c r="EX17" s="244"/>
      <c r="EY17" s="264"/>
      <c r="EZ17" s="264"/>
      <c r="FA17" s="265" t="s">
        <v>22</v>
      </c>
      <c r="FB17" s="137">
        <v>60</v>
      </c>
      <c r="FC17" s="243"/>
      <c r="FD17" s="244"/>
      <c r="FE17" s="243"/>
      <c r="FF17" s="244"/>
      <c r="FG17" s="243"/>
      <c r="FH17" s="244"/>
      <c r="FI17" s="243"/>
      <c r="FJ17" s="244"/>
      <c r="FK17" s="264"/>
      <c r="FL17" s="264"/>
      <c r="FM17" s="265" t="s">
        <v>22</v>
      </c>
      <c r="FN17" s="137">
        <v>60</v>
      </c>
      <c r="FO17" s="243"/>
      <c r="FP17" s="244"/>
      <c r="FQ17" s="243"/>
      <c r="FR17" s="244"/>
      <c r="FS17" s="243"/>
      <c r="FT17" s="244"/>
      <c r="FU17" s="243"/>
      <c r="FV17" s="244"/>
      <c r="FW17" s="264"/>
      <c r="FX17" s="264"/>
      <c r="FY17" s="265" t="s">
        <v>22</v>
      </c>
      <c r="FZ17" s="137"/>
      <c r="GA17" s="243">
        <f>'Gen CP'!$N17</f>
        <v>0</v>
      </c>
      <c r="GB17" s="244"/>
      <c r="GC17" s="243">
        <f>'Gen CP'!$N17</f>
        <v>0</v>
      </c>
      <c r="GD17" s="244"/>
      <c r="GE17" s="243">
        <f>'Gen CP'!$N17</f>
        <v>0</v>
      </c>
      <c r="GF17" s="244"/>
      <c r="GG17" s="243">
        <f>'Gen CP'!$N17</f>
        <v>0</v>
      </c>
      <c r="GH17" s="244"/>
      <c r="GI17" s="243">
        <f>'Gen CP'!$N17</f>
        <v>0</v>
      </c>
      <c r="GJ17" s="244"/>
    </row>
    <row r="18" spans="1:192">
      <c r="A18" s="165"/>
      <c r="B18" s="137"/>
      <c r="C18" s="243" t="str">
        <f>'Gen CP'!$B18</f>
        <v>Lorenzana C</v>
      </c>
      <c r="D18" s="244"/>
      <c r="E18" s="243" t="str">
        <f>'Gen CP'!$B18</f>
        <v>Lorenzana C</v>
      </c>
      <c r="F18" s="244"/>
      <c r="G18" s="243" t="str">
        <f>'Gen CP'!$B18</f>
        <v>Lorenzana C</v>
      </c>
      <c r="H18" s="244"/>
      <c r="I18" s="243" t="str">
        <f>'Gen CP'!$B18</f>
        <v>Lorenzana C</v>
      </c>
      <c r="J18" s="244"/>
      <c r="K18" s="264" t="s">
        <v>38</v>
      </c>
      <c r="L18" s="264"/>
      <c r="M18" s="165"/>
      <c r="N18" s="137"/>
      <c r="O18" s="243" t="str">
        <f>'Gen CP'!$C18</f>
        <v>Aguilar EM</v>
      </c>
      <c r="P18" s="244"/>
      <c r="Q18" s="243" t="str">
        <f>'Gen CP'!$C18</f>
        <v>Aguilar EM</v>
      </c>
      <c r="R18" s="244"/>
      <c r="S18" s="243" t="str">
        <f>'Gen CP'!$C18</f>
        <v>Aguilar EM</v>
      </c>
      <c r="T18" s="244"/>
      <c r="U18" s="243" t="str">
        <f>'Gen CP'!$C18</f>
        <v>Aguilar EM</v>
      </c>
      <c r="V18" s="244"/>
      <c r="W18" s="243" t="str">
        <f>'Gen CP'!$C18</f>
        <v>Aguilar EM</v>
      </c>
      <c r="X18" s="244"/>
      <c r="Y18" s="165"/>
      <c r="Z18" s="137"/>
      <c r="AA18" s="243" t="str">
        <f>'Gen CP'!$D18</f>
        <v>Estrella R</v>
      </c>
      <c r="AB18" s="244"/>
      <c r="AC18" s="243" t="str">
        <f>'Gen CP'!$D18</f>
        <v>Estrella R</v>
      </c>
      <c r="AD18" s="244"/>
      <c r="AE18" s="243" t="s">
        <v>516</v>
      </c>
      <c r="AF18" s="244"/>
      <c r="AG18" s="243" t="str">
        <f>'Gen CP'!$D18</f>
        <v>Estrella R</v>
      </c>
      <c r="AH18" s="244"/>
      <c r="AI18" s="243" t="str">
        <f>'Gen CP'!$D18</f>
        <v>Estrella R</v>
      </c>
      <c r="AJ18" s="244"/>
      <c r="AK18" s="165"/>
      <c r="AL18" s="137"/>
      <c r="AM18" s="243" t="str">
        <f>'Gen CP'!$E18</f>
        <v>Sagnip M</v>
      </c>
      <c r="AN18" s="244"/>
      <c r="AO18" s="243" t="str">
        <f>'Gen CP'!$E18</f>
        <v>Sagnip M</v>
      </c>
      <c r="AP18" s="244"/>
      <c r="AQ18" s="243" t="str">
        <f>'Gen CP'!$E18</f>
        <v>Sagnip M</v>
      </c>
      <c r="AR18" s="244"/>
      <c r="AS18" s="243" t="str">
        <f>'Gen CP'!$E18</f>
        <v>Sagnip M</v>
      </c>
      <c r="AT18" s="244"/>
      <c r="AU18" s="243" t="str">
        <f>'Gen CP'!$E18</f>
        <v>Sagnip M</v>
      </c>
      <c r="AV18" s="244"/>
      <c r="AW18" s="165"/>
      <c r="AX18" s="137"/>
      <c r="AY18" s="243" t="str">
        <f>'Gen CP'!$F18</f>
        <v>Crisostomo R</v>
      </c>
      <c r="AZ18" s="244"/>
      <c r="BA18" s="243" t="str">
        <f>'Gen CP'!$F18</f>
        <v>Crisostomo R</v>
      </c>
      <c r="BB18" s="244"/>
      <c r="BC18" s="243" t="str">
        <f>'Gen CP'!$F18</f>
        <v>Crisostomo R</v>
      </c>
      <c r="BD18" s="244"/>
      <c r="BE18" s="243" t="str">
        <f>'Gen CP'!$F18</f>
        <v>Crisostomo R</v>
      </c>
      <c r="BF18" s="244"/>
      <c r="BG18" s="243" t="str">
        <f>'Gen CP'!$F18</f>
        <v>Crisostomo R</v>
      </c>
      <c r="BH18" s="244"/>
      <c r="BI18" s="165"/>
      <c r="BJ18" s="137"/>
      <c r="BK18" s="259" t="str">
        <f>'Gen CP'!$G18</f>
        <v>Almazan AD</v>
      </c>
      <c r="BL18" s="260"/>
      <c r="BM18" s="259" t="str">
        <f>'Gen CP'!$G18</f>
        <v>Almazan AD</v>
      </c>
      <c r="BN18" s="260"/>
      <c r="BO18" s="259" t="str">
        <f>'Gen CP'!$G18</f>
        <v>Almazan AD</v>
      </c>
      <c r="BP18" s="260"/>
      <c r="BQ18" s="259" t="str">
        <f>'Gen CP'!$G18</f>
        <v>Almazan AD</v>
      </c>
      <c r="BR18" s="260"/>
      <c r="BS18" s="259" t="str">
        <f>'Gen CP'!$G18</f>
        <v>Almazan AD</v>
      </c>
      <c r="BT18" s="260"/>
      <c r="BU18" s="165"/>
      <c r="BV18" s="137"/>
      <c r="BW18" s="243" t="str">
        <f>'Gen CP'!$H18</f>
        <v>Reyes D</v>
      </c>
      <c r="BX18" s="244"/>
      <c r="BY18" s="243" t="str">
        <f>'Gen CP'!$H18</f>
        <v>Reyes D</v>
      </c>
      <c r="BZ18" s="244"/>
      <c r="CA18" s="243" t="str">
        <f>'Gen CP'!$H18</f>
        <v>Reyes D</v>
      </c>
      <c r="CB18" s="244"/>
      <c r="CC18" s="243" t="str">
        <f>'Gen CP'!$H18</f>
        <v>Reyes D</v>
      </c>
      <c r="CD18" s="244"/>
      <c r="CE18" s="243" t="str">
        <f>'Gen CP'!$H18</f>
        <v>Reyes D</v>
      </c>
      <c r="CF18" s="244"/>
      <c r="CG18" s="165"/>
      <c r="CH18" s="137"/>
      <c r="CI18" s="243" t="str">
        <f>'Gen CP'!$I18</f>
        <v>Tamondong A</v>
      </c>
      <c r="CJ18" s="244"/>
      <c r="CK18" s="243" t="str">
        <f>'Gen CP'!$I18</f>
        <v>Tamondong A</v>
      </c>
      <c r="CL18" s="244"/>
      <c r="CM18" s="243" t="str">
        <f>'Gen CP'!$I18</f>
        <v>Tamondong A</v>
      </c>
      <c r="CN18" s="244"/>
      <c r="CO18" s="243" t="s">
        <v>412</v>
      </c>
      <c r="CP18" s="244"/>
      <c r="CQ18" s="243" t="str">
        <f>'Gen CP'!$I18</f>
        <v>Tamondong A</v>
      </c>
      <c r="CR18" s="244"/>
      <c r="CS18" s="165"/>
      <c r="CT18" s="137"/>
      <c r="CU18" s="243" t="str">
        <f>'Gen CP'!$J18</f>
        <v>Domingo V</v>
      </c>
      <c r="CV18" s="244"/>
      <c r="CW18" s="243" t="str">
        <f>'Gen CP'!$J18</f>
        <v>Domingo V</v>
      </c>
      <c r="CX18" s="244"/>
      <c r="CY18" s="243" t="str">
        <f>'Gen CP'!$J18</f>
        <v>Domingo V</v>
      </c>
      <c r="CZ18" s="244"/>
      <c r="DA18" s="243" t="str">
        <f>'Gen CP'!$J18</f>
        <v>Domingo V</v>
      </c>
      <c r="DB18" s="244"/>
      <c r="DC18" s="243" t="str">
        <f>'Gen CP'!$J18</f>
        <v>Domingo V</v>
      </c>
      <c r="DD18" s="244"/>
      <c r="DE18" s="165"/>
      <c r="DF18" s="137"/>
      <c r="DG18" s="254" t="str">
        <f>'Gen CP'!$K18</f>
        <v>Marcelo OJ</v>
      </c>
      <c r="DH18" s="255"/>
      <c r="DI18" s="254" t="str">
        <f>'Gen CP'!$K18</f>
        <v>Marcelo OJ</v>
      </c>
      <c r="DJ18" s="255"/>
      <c r="DK18" s="243" t="str">
        <f>'Gen CP'!$K18</f>
        <v>Marcelo OJ</v>
      </c>
      <c r="DL18" s="244"/>
      <c r="DM18" s="243" t="str">
        <f>'Gen CP'!$K18</f>
        <v>Marcelo OJ</v>
      </c>
      <c r="DN18" s="244"/>
      <c r="DO18" s="243" t="str">
        <f>'Gen CP'!$K18</f>
        <v>Marcelo OJ</v>
      </c>
      <c r="DP18" s="244"/>
      <c r="DQ18" s="165"/>
      <c r="DR18" s="137"/>
      <c r="DS18" s="243" t="str">
        <f>'Gen CP'!$L18</f>
        <v>Maniquiz T</v>
      </c>
      <c r="DT18" s="244"/>
      <c r="DU18" s="254" t="s">
        <v>412</v>
      </c>
      <c r="DV18" s="255"/>
      <c r="DW18" s="243" t="str">
        <f>'Gen CP'!$L18</f>
        <v>Maniquiz T</v>
      </c>
      <c r="DX18" s="244"/>
      <c r="DY18" s="243" t="str">
        <f>'Gen CP'!$L18</f>
        <v>Maniquiz T</v>
      </c>
      <c r="DZ18" s="244"/>
      <c r="EA18" s="243" t="str">
        <f>'Gen CP'!$L18</f>
        <v>Maniquiz T</v>
      </c>
      <c r="EB18" s="244"/>
      <c r="EC18" s="265"/>
      <c r="ED18" s="137"/>
      <c r="EE18" s="243">
        <f>'Gen CP'!$M18</f>
        <v>0</v>
      </c>
      <c r="EF18" s="244"/>
      <c r="EG18" s="243">
        <f>'Gen CP'!$M18</f>
        <v>0</v>
      </c>
      <c r="EH18" s="244"/>
      <c r="EI18" s="243">
        <f>'Gen CP'!$M18</f>
        <v>0</v>
      </c>
      <c r="EJ18" s="244"/>
      <c r="EK18" s="243">
        <f>'Gen CP'!$M18</f>
        <v>0</v>
      </c>
      <c r="EL18" s="244"/>
      <c r="EM18" s="243">
        <f>'Gen CP'!$M18</f>
        <v>0</v>
      </c>
      <c r="EN18" s="244"/>
      <c r="EO18" s="265"/>
      <c r="EP18" s="137"/>
      <c r="EQ18" s="243"/>
      <c r="ER18" s="244"/>
      <c r="ES18" s="243"/>
      <c r="ET18" s="244"/>
      <c r="EU18" s="243"/>
      <c r="EV18" s="244"/>
      <c r="EW18" s="243"/>
      <c r="EX18" s="244"/>
      <c r="EY18" s="264"/>
      <c r="EZ18" s="264"/>
      <c r="FA18" s="265"/>
      <c r="FB18" s="137"/>
      <c r="FC18" s="243"/>
      <c r="FD18" s="244"/>
      <c r="FE18" s="243"/>
      <c r="FF18" s="244"/>
      <c r="FG18" s="243"/>
      <c r="FH18" s="244"/>
      <c r="FI18" s="243"/>
      <c r="FJ18" s="244"/>
      <c r="FK18" s="264"/>
      <c r="FL18" s="264"/>
      <c r="FM18" s="265"/>
      <c r="FN18" s="137"/>
      <c r="FO18" s="243"/>
      <c r="FP18" s="244"/>
      <c r="FQ18" s="243"/>
      <c r="FR18" s="244"/>
      <c r="FS18" s="243"/>
      <c r="FT18" s="244"/>
      <c r="FU18" s="243"/>
      <c r="FV18" s="244"/>
      <c r="FW18" s="264"/>
      <c r="FX18" s="264"/>
      <c r="FY18" s="265"/>
      <c r="FZ18" s="137"/>
      <c r="GA18" s="243" t="str">
        <f>'Gen CP'!$N18</f>
        <v>Bartolome H</v>
      </c>
      <c r="GB18" s="244"/>
      <c r="GC18" s="243" t="str">
        <f>'Gen CP'!$N18</f>
        <v>Bartolome H</v>
      </c>
      <c r="GD18" s="244"/>
      <c r="GE18" s="243" t="str">
        <f>'Gen CP'!$N18</f>
        <v>Bartolome H</v>
      </c>
      <c r="GF18" s="244"/>
      <c r="GG18" s="243" t="str">
        <f>'Gen CP'!$N18</f>
        <v>Bartolome H</v>
      </c>
      <c r="GH18" s="244"/>
      <c r="GI18" s="243" t="str">
        <f>'Gen CP'!$N18</f>
        <v>Bartolome H</v>
      </c>
      <c r="GJ18" s="244"/>
    </row>
    <row r="19" spans="1:192">
      <c r="A19" s="117" t="s">
        <v>333</v>
      </c>
      <c r="B19" s="291" t="s">
        <v>179</v>
      </c>
      <c r="C19" s="291"/>
      <c r="D19" s="291"/>
      <c r="E19" s="291"/>
      <c r="F19" s="291"/>
      <c r="G19" s="291"/>
      <c r="H19" s="291"/>
      <c r="I19" s="291"/>
      <c r="J19" s="291"/>
      <c r="K19" s="291"/>
      <c r="L19" s="292"/>
      <c r="M19" s="117" t="s">
        <v>333</v>
      </c>
      <c r="N19" s="291" t="s">
        <v>179</v>
      </c>
      <c r="O19" s="291"/>
      <c r="P19" s="291"/>
      <c r="Q19" s="291"/>
      <c r="R19" s="291"/>
      <c r="S19" s="291"/>
      <c r="T19" s="291"/>
      <c r="U19" s="291"/>
      <c r="V19" s="291"/>
      <c r="W19" s="291"/>
      <c r="X19" s="292"/>
      <c r="Y19" s="117" t="s">
        <v>333</v>
      </c>
      <c r="Z19" s="291" t="s">
        <v>179</v>
      </c>
      <c r="AA19" s="291"/>
      <c r="AB19" s="291"/>
      <c r="AC19" s="291"/>
      <c r="AD19" s="291"/>
      <c r="AE19" s="291"/>
      <c r="AF19" s="291"/>
      <c r="AG19" s="291"/>
      <c r="AH19" s="291"/>
      <c r="AI19" s="291"/>
      <c r="AJ19" s="292"/>
      <c r="AK19" s="117" t="s">
        <v>333</v>
      </c>
      <c r="AL19" s="291" t="s">
        <v>179</v>
      </c>
      <c r="AM19" s="291"/>
      <c r="AN19" s="291"/>
      <c r="AO19" s="291"/>
      <c r="AP19" s="291"/>
      <c r="AQ19" s="291"/>
      <c r="AR19" s="291"/>
      <c r="AS19" s="291"/>
      <c r="AT19" s="291"/>
      <c r="AU19" s="291"/>
      <c r="AV19" s="292"/>
      <c r="AW19" s="117" t="s">
        <v>333</v>
      </c>
      <c r="AX19" s="291" t="s">
        <v>179</v>
      </c>
      <c r="AY19" s="291"/>
      <c r="AZ19" s="291"/>
      <c r="BA19" s="291"/>
      <c r="BB19" s="291"/>
      <c r="BC19" s="291"/>
      <c r="BD19" s="291"/>
      <c r="BE19" s="291"/>
      <c r="BF19" s="291"/>
      <c r="BG19" s="291"/>
      <c r="BH19" s="292"/>
      <c r="BI19" s="117" t="s">
        <v>333</v>
      </c>
      <c r="BJ19" s="291" t="s">
        <v>179</v>
      </c>
      <c r="BK19" s="291"/>
      <c r="BL19" s="291"/>
      <c r="BM19" s="291"/>
      <c r="BN19" s="291"/>
      <c r="BO19" s="291"/>
      <c r="BP19" s="291"/>
      <c r="BQ19" s="291"/>
      <c r="BR19" s="291"/>
      <c r="BS19" s="291"/>
      <c r="BT19" s="292"/>
      <c r="BU19" s="117" t="s">
        <v>333</v>
      </c>
      <c r="BV19" s="291" t="s">
        <v>179</v>
      </c>
      <c r="BW19" s="291"/>
      <c r="BX19" s="291"/>
      <c r="BY19" s="291"/>
      <c r="BZ19" s="291"/>
      <c r="CA19" s="291"/>
      <c r="CB19" s="291"/>
      <c r="CC19" s="291"/>
      <c r="CD19" s="291"/>
      <c r="CE19" s="291"/>
      <c r="CF19" s="292"/>
      <c r="CG19" s="117" t="s">
        <v>333</v>
      </c>
      <c r="CH19" s="291" t="s">
        <v>179</v>
      </c>
      <c r="CI19" s="291"/>
      <c r="CJ19" s="291"/>
      <c r="CK19" s="291"/>
      <c r="CL19" s="291"/>
      <c r="CM19" s="291"/>
      <c r="CN19" s="291"/>
      <c r="CO19" s="291"/>
      <c r="CP19" s="291"/>
      <c r="CQ19" s="291"/>
      <c r="CR19" s="292"/>
      <c r="CS19" s="117" t="s">
        <v>333</v>
      </c>
      <c r="CT19" s="291" t="s">
        <v>179</v>
      </c>
      <c r="CU19" s="291"/>
      <c r="CV19" s="291"/>
      <c r="CW19" s="291"/>
      <c r="CX19" s="291"/>
      <c r="CY19" s="291"/>
      <c r="CZ19" s="291"/>
      <c r="DA19" s="291"/>
      <c r="DB19" s="291"/>
      <c r="DC19" s="291"/>
      <c r="DD19" s="292"/>
      <c r="DE19" s="117" t="s">
        <v>333</v>
      </c>
      <c r="DF19" s="291" t="s">
        <v>179</v>
      </c>
      <c r="DG19" s="291"/>
      <c r="DH19" s="291"/>
      <c r="DI19" s="291"/>
      <c r="DJ19" s="291"/>
      <c r="DK19" s="291"/>
      <c r="DL19" s="291"/>
      <c r="DM19" s="291"/>
      <c r="DN19" s="291"/>
      <c r="DO19" s="291"/>
      <c r="DP19" s="292"/>
      <c r="DQ19" s="117" t="s">
        <v>333</v>
      </c>
      <c r="DR19" s="291" t="s">
        <v>179</v>
      </c>
      <c r="DS19" s="291"/>
      <c r="DT19" s="291"/>
      <c r="DU19" s="291"/>
      <c r="DV19" s="291"/>
      <c r="DW19" s="291"/>
      <c r="DX19" s="291"/>
      <c r="DY19" s="291"/>
      <c r="DZ19" s="291"/>
      <c r="EA19" s="291"/>
      <c r="EB19" s="292"/>
      <c r="EC19" s="117" t="s">
        <v>333</v>
      </c>
      <c r="ED19" s="291" t="s">
        <v>179</v>
      </c>
      <c r="EE19" s="291"/>
      <c r="EF19" s="291"/>
      <c r="EG19" s="291"/>
      <c r="EH19" s="291"/>
      <c r="EI19" s="291"/>
      <c r="EJ19" s="291"/>
      <c r="EK19" s="291"/>
      <c r="EL19" s="291"/>
      <c r="EM19" s="291"/>
      <c r="EN19" s="292"/>
      <c r="EO19" s="265" t="s">
        <v>179</v>
      </c>
      <c r="EP19" s="265"/>
      <c r="EQ19" s="265"/>
      <c r="ER19" s="265"/>
      <c r="ES19" s="265"/>
      <c r="ET19" s="265"/>
      <c r="EU19" s="265"/>
      <c r="EV19" s="265"/>
      <c r="EW19" s="265"/>
      <c r="EX19" s="265"/>
      <c r="EY19" s="265"/>
      <c r="EZ19" s="265"/>
      <c r="FA19" s="265" t="s">
        <v>179</v>
      </c>
      <c r="FB19" s="265"/>
      <c r="FC19" s="265"/>
      <c r="FD19" s="265"/>
      <c r="FE19" s="265"/>
      <c r="FF19" s="265"/>
      <c r="FG19" s="265"/>
      <c r="FH19" s="265"/>
      <c r="FI19" s="265"/>
      <c r="FJ19" s="265"/>
      <c r="FK19" s="265"/>
      <c r="FL19" s="265"/>
      <c r="FM19" s="265" t="s">
        <v>179</v>
      </c>
      <c r="FN19" s="265"/>
      <c r="FO19" s="265"/>
      <c r="FP19" s="265"/>
      <c r="FQ19" s="265"/>
      <c r="FR19" s="265"/>
      <c r="FS19" s="265"/>
      <c r="FT19" s="265"/>
      <c r="FU19" s="265"/>
      <c r="FV19" s="265"/>
      <c r="FW19" s="265"/>
      <c r="FX19" s="265"/>
      <c r="FY19" s="265" t="s">
        <v>179</v>
      </c>
      <c r="FZ19" s="265"/>
      <c r="GA19" s="265"/>
      <c r="GB19" s="265"/>
      <c r="GC19" s="265"/>
      <c r="GD19" s="265"/>
      <c r="GE19" s="265"/>
      <c r="GF19" s="265"/>
      <c r="GG19" s="265"/>
      <c r="GH19" s="265"/>
      <c r="GI19" s="265"/>
      <c r="GJ19" s="265"/>
    </row>
    <row r="20" spans="1:192" ht="15" customHeight="1">
      <c r="A20" s="294" t="s">
        <v>334</v>
      </c>
      <c r="B20" s="245"/>
      <c r="C20" s="264" t="str">
        <f>'Gen CP'!$B20</f>
        <v>Gen Math</v>
      </c>
      <c r="D20" s="264"/>
      <c r="E20" s="264" t="str">
        <f>'Gen CP'!$B20</f>
        <v>Gen Math</v>
      </c>
      <c r="F20" s="264"/>
      <c r="G20" s="264" t="str">
        <f>'Gen CP'!$B20</f>
        <v>Gen Math</v>
      </c>
      <c r="H20" s="264"/>
      <c r="I20" s="264" t="str">
        <f>'Gen CP'!$B20</f>
        <v>Gen Math</v>
      </c>
      <c r="J20" s="264"/>
      <c r="K20" s="264" t="s">
        <v>375</v>
      </c>
      <c r="L20" s="264"/>
      <c r="M20" s="294" t="s">
        <v>334</v>
      </c>
      <c r="N20" s="245"/>
      <c r="O20" s="243" t="str">
        <f>'Gen CP'!$C20</f>
        <v>21st Cen Lit</v>
      </c>
      <c r="P20" s="244"/>
      <c r="Q20" s="243" t="str">
        <f>'Gen CP'!$C20</f>
        <v>21st Cen Lit</v>
      </c>
      <c r="R20" s="244"/>
      <c r="S20" s="243" t="str">
        <f>'Gen CP'!$C20</f>
        <v>21st Cen Lit</v>
      </c>
      <c r="T20" s="244"/>
      <c r="U20" s="243" t="str">
        <f>'Gen CP'!$C20</f>
        <v>21st Cen Lit</v>
      </c>
      <c r="V20" s="244"/>
      <c r="W20" s="243" t="str">
        <f>'Gen CP'!$C20</f>
        <v>21st Cen Lit</v>
      </c>
      <c r="X20" s="244"/>
      <c r="Y20" s="137" t="s">
        <v>334</v>
      </c>
      <c r="Z20" s="245"/>
      <c r="AA20" s="243" t="str">
        <f>'Gen CP'!$D20</f>
        <v>Kom Pan</v>
      </c>
      <c r="AB20" s="244"/>
      <c r="AC20" s="246" t="s">
        <v>392</v>
      </c>
      <c r="AD20" s="247"/>
      <c r="AE20" s="243" t="str">
        <f>'Gen CP'!$D20</f>
        <v>Kom Pan</v>
      </c>
      <c r="AF20" s="244"/>
      <c r="AG20" s="243" t="str">
        <f>'Gen CP'!$D20</f>
        <v>Kom Pan</v>
      </c>
      <c r="AH20" s="244"/>
      <c r="AI20" s="243" t="str">
        <f>'Gen CP'!$D20</f>
        <v>Kom Pan</v>
      </c>
      <c r="AJ20" s="244"/>
      <c r="AK20" s="137" t="s">
        <v>334</v>
      </c>
      <c r="AL20" s="245"/>
      <c r="AM20" s="259" t="str">
        <f>'Gen CP'!$E20</f>
        <v>Earth &amp; Life</v>
      </c>
      <c r="AN20" s="260"/>
      <c r="AO20" s="259" t="str">
        <f>'Gen CP'!$E20</f>
        <v>Earth &amp; Life</v>
      </c>
      <c r="AP20" s="260"/>
      <c r="AQ20" s="262" t="s">
        <v>375</v>
      </c>
      <c r="AR20" s="263"/>
      <c r="AS20" s="259" t="str">
        <f>'Gen CP'!$E20</f>
        <v>Earth &amp; Life</v>
      </c>
      <c r="AT20" s="260"/>
      <c r="AU20" s="259" t="str">
        <f>'Gen CP'!$E20</f>
        <v>Earth &amp; Life</v>
      </c>
      <c r="AV20" s="260"/>
      <c r="AW20" s="137" t="s">
        <v>334</v>
      </c>
      <c r="AX20" s="245"/>
      <c r="AY20" s="243" t="str">
        <f>'Gen CP'!$F20</f>
        <v>Oral Com</v>
      </c>
      <c r="AZ20" s="244"/>
      <c r="BA20" s="243" t="str">
        <f>'Gen CP'!$F20</f>
        <v>Oral Com</v>
      </c>
      <c r="BB20" s="244"/>
      <c r="BC20" s="243" t="str">
        <f>'Gen CP'!$F20</f>
        <v>Oral Com</v>
      </c>
      <c r="BD20" s="244"/>
      <c r="BE20" s="243" t="str">
        <f>'Gen CP'!$F20</f>
        <v>Oral Com</v>
      </c>
      <c r="BF20" s="244"/>
      <c r="BG20" s="243" t="str">
        <f>'Gen CP'!$F20</f>
        <v>Oral Com</v>
      </c>
      <c r="BH20" s="244"/>
      <c r="BI20" s="137" t="s">
        <v>334</v>
      </c>
      <c r="BJ20" s="245"/>
      <c r="BK20" s="243" t="str">
        <f>'Gen CP'!$G20</f>
        <v>MIL</v>
      </c>
      <c r="BL20" s="244"/>
      <c r="BM20" s="243" t="str">
        <f>'Gen CP'!$G20</f>
        <v>MIL</v>
      </c>
      <c r="BN20" s="244"/>
      <c r="BO20" s="243" t="str">
        <f>'Gen CP'!$G20</f>
        <v>MIL</v>
      </c>
      <c r="BP20" s="244"/>
      <c r="BQ20" s="243" t="str">
        <f>'Gen CP'!$G20</f>
        <v>MIL</v>
      </c>
      <c r="BR20" s="244"/>
      <c r="BS20" s="243" t="str">
        <f>'Gen CP'!$G20</f>
        <v>MIL</v>
      </c>
      <c r="BT20" s="244"/>
      <c r="BU20" s="137" t="s">
        <v>334</v>
      </c>
      <c r="BV20" s="245"/>
      <c r="BW20" s="243" t="str">
        <f>'Gen CP'!$H20</f>
        <v>UCSP</v>
      </c>
      <c r="BX20" s="244"/>
      <c r="BY20" s="243" t="str">
        <f>'Gen CP'!$H20</f>
        <v>UCSP</v>
      </c>
      <c r="BZ20" s="244"/>
      <c r="CA20" s="243" t="str">
        <f>'Gen CP'!$H20</f>
        <v>UCSP</v>
      </c>
      <c r="CB20" s="244"/>
      <c r="CC20" s="243" t="str">
        <f>'Gen CP'!$H20</f>
        <v>UCSP</v>
      </c>
      <c r="CD20" s="244"/>
      <c r="CE20" s="243" t="str">
        <f>'Gen CP'!$H20</f>
        <v>UCSP</v>
      </c>
      <c r="CF20" s="244"/>
      <c r="CG20" s="137" t="s">
        <v>334</v>
      </c>
      <c r="CH20" s="245"/>
      <c r="CI20" s="243" t="str">
        <f>'Gen CP'!$I20</f>
        <v>SMAW NC I</v>
      </c>
      <c r="CJ20" s="244"/>
      <c r="CK20" s="243" t="str">
        <f>'Gen CP'!$I20</f>
        <v>SMAW NC I</v>
      </c>
      <c r="CL20" s="244"/>
      <c r="CM20" s="243" t="str">
        <f>'Gen CP'!$I20</f>
        <v>SMAW NC I</v>
      </c>
      <c r="CN20" s="244"/>
      <c r="CO20" s="243" t="str">
        <f>'Gen CP'!$I20</f>
        <v>SMAW NC I</v>
      </c>
      <c r="CP20" s="244"/>
      <c r="CQ20" s="243" t="str">
        <f>'Gen CP'!$I20</f>
        <v>SMAW NC I</v>
      </c>
      <c r="CR20" s="244"/>
      <c r="CS20" s="137" t="s">
        <v>334</v>
      </c>
      <c r="CT20" s="245"/>
      <c r="CU20" s="243" t="str">
        <f>'Gen CP'!$J20</f>
        <v>CSS</v>
      </c>
      <c r="CV20" s="244"/>
      <c r="CW20" s="243" t="str">
        <f>'Gen CP'!$J20</f>
        <v>CSS</v>
      </c>
      <c r="CX20" s="244"/>
      <c r="CY20" s="254" t="str">
        <f>'Gen CP'!$J20</f>
        <v>CSS</v>
      </c>
      <c r="CZ20" s="255"/>
      <c r="DA20" s="243" t="str">
        <f>'Gen CP'!$J20</f>
        <v>CSS</v>
      </c>
      <c r="DB20" s="244"/>
      <c r="DC20" s="243" t="str">
        <f>'Gen CP'!$J20</f>
        <v>CSS</v>
      </c>
      <c r="DD20" s="244"/>
      <c r="DE20" s="296" t="s">
        <v>393</v>
      </c>
      <c r="DF20" s="245"/>
      <c r="DG20" s="243" t="str">
        <f>'Gen CP'!$K20</f>
        <v>Gen Math</v>
      </c>
      <c r="DH20" s="244"/>
      <c r="DI20" s="243" t="str">
        <f>'Gen CP'!$K20</f>
        <v>Gen Math</v>
      </c>
      <c r="DJ20" s="244"/>
      <c r="DK20" s="243" t="str">
        <f>'Gen CP'!$K20</f>
        <v>Gen Math</v>
      </c>
      <c r="DL20" s="244"/>
      <c r="DM20" s="243" t="str">
        <f>'Gen CP'!$K20</f>
        <v>Gen Math</v>
      </c>
      <c r="DN20" s="244"/>
      <c r="DO20" s="243" t="str">
        <f>'Gen CP'!$K20</f>
        <v>Gen Math</v>
      </c>
      <c r="DP20" s="244"/>
      <c r="DQ20" s="137" t="s">
        <v>334</v>
      </c>
      <c r="DR20" s="245"/>
      <c r="DS20" s="243" t="str">
        <f>'Gen CP'!$L20</f>
        <v>Earth &amp; Life</v>
      </c>
      <c r="DT20" s="244"/>
      <c r="DU20" s="243" t="str">
        <f>'Gen CP'!$L20</f>
        <v>Earth &amp; Life</v>
      </c>
      <c r="DV20" s="244"/>
      <c r="DW20" s="243" t="str">
        <f>'Gen CP'!$L20</f>
        <v>Earth &amp; Life</v>
      </c>
      <c r="DX20" s="244"/>
      <c r="DY20" s="243" t="str">
        <f>'Gen CP'!$L20</f>
        <v>Earth &amp; Life</v>
      </c>
      <c r="DZ20" s="244"/>
      <c r="EA20" s="243" t="str">
        <f>'Gen CP'!$L20</f>
        <v>Earth &amp; Life</v>
      </c>
      <c r="EB20" s="244"/>
      <c r="EC20" s="265" t="s">
        <v>24</v>
      </c>
      <c r="ED20" s="245"/>
      <c r="EE20" s="243">
        <f>'Gen CP'!$M20</f>
        <v>0</v>
      </c>
      <c r="EF20" s="244"/>
      <c r="EG20" s="243">
        <f>'Gen CP'!$M20</f>
        <v>0</v>
      </c>
      <c r="EH20" s="244"/>
      <c r="EI20" s="243">
        <f>'Gen CP'!$M20</f>
        <v>0</v>
      </c>
      <c r="EJ20" s="244"/>
      <c r="EK20" s="243">
        <f>'Gen CP'!$M20</f>
        <v>0</v>
      </c>
      <c r="EL20" s="244"/>
      <c r="EM20" s="243">
        <f>'Gen CP'!$M20</f>
        <v>0</v>
      </c>
      <c r="EN20" s="244"/>
      <c r="EO20" s="265" t="s">
        <v>24</v>
      </c>
      <c r="EP20" s="245">
        <v>60</v>
      </c>
      <c r="EQ20" s="264"/>
      <c r="ER20" s="264"/>
      <c r="ES20" s="264"/>
      <c r="ET20" s="264"/>
      <c r="EU20" s="264"/>
      <c r="EV20" s="264"/>
      <c r="EW20" s="264"/>
      <c r="EX20" s="264"/>
      <c r="EY20" s="243"/>
      <c r="EZ20" s="244"/>
      <c r="FA20" s="265" t="s">
        <v>24</v>
      </c>
      <c r="FB20" s="245">
        <v>60</v>
      </c>
      <c r="FC20" s="264"/>
      <c r="FD20" s="264"/>
      <c r="FE20" s="264"/>
      <c r="FF20" s="264"/>
      <c r="FG20" s="264"/>
      <c r="FH20" s="264"/>
      <c r="FI20" s="264"/>
      <c r="FJ20" s="264"/>
      <c r="FK20" s="243"/>
      <c r="FL20" s="244"/>
      <c r="FM20" s="265" t="s">
        <v>24</v>
      </c>
      <c r="FN20" s="245">
        <v>60</v>
      </c>
      <c r="FO20" s="264"/>
      <c r="FP20" s="264"/>
      <c r="FQ20" s="264"/>
      <c r="FR20" s="264"/>
      <c r="FS20" s="264"/>
      <c r="FT20" s="264"/>
      <c r="FU20" s="264"/>
      <c r="FV20" s="264"/>
      <c r="FW20" s="243"/>
      <c r="FX20" s="244"/>
      <c r="FY20" s="265" t="s">
        <v>24</v>
      </c>
      <c r="FZ20" s="245"/>
      <c r="GA20" s="264"/>
      <c r="GB20" s="264"/>
      <c r="GC20" s="264"/>
      <c r="GD20" s="264"/>
      <c r="GE20" s="264"/>
      <c r="GF20" s="264"/>
      <c r="GG20" s="264"/>
      <c r="GH20" s="264"/>
      <c r="GI20" s="243"/>
      <c r="GJ20" s="244"/>
    </row>
    <row r="21" spans="1:192">
      <c r="A21" s="294"/>
      <c r="B21" s="245"/>
      <c r="C21" s="264" t="str">
        <f>'Gen CP'!$B21</f>
        <v>Lorenzana C</v>
      </c>
      <c r="D21" s="264"/>
      <c r="E21" s="264" t="str">
        <f>'Gen CP'!$B21</f>
        <v>Lorenzana C</v>
      </c>
      <c r="F21" s="264"/>
      <c r="G21" s="264" t="str">
        <f>'Gen CP'!$B21</f>
        <v>Lorenzana C</v>
      </c>
      <c r="H21" s="264"/>
      <c r="I21" s="264" t="str">
        <f>'Gen CP'!$B21</f>
        <v>Lorenzana C</v>
      </c>
      <c r="J21" s="264"/>
      <c r="K21" s="264" t="s">
        <v>516</v>
      </c>
      <c r="L21" s="264"/>
      <c r="M21" s="294"/>
      <c r="N21" s="245"/>
      <c r="O21" s="243" t="str">
        <f>'Gen CP'!$C21</f>
        <v>Crisostomo R</v>
      </c>
      <c r="P21" s="244"/>
      <c r="Q21" s="243" t="str">
        <f>'Gen CP'!$C21</f>
        <v>Crisostomo R</v>
      </c>
      <c r="R21" s="244"/>
      <c r="S21" s="243" t="str">
        <f>'Gen CP'!$C21</f>
        <v>Crisostomo R</v>
      </c>
      <c r="T21" s="244"/>
      <c r="U21" s="243" t="str">
        <f>'Gen CP'!$C21</f>
        <v>Crisostomo R</v>
      </c>
      <c r="V21" s="244"/>
      <c r="W21" s="243" t="str">
        <f>'Gen CP'!$C21</f>
        <v>Crisostomo R</v>
      </c>
      <c r="X21" s="244"/>
      <c r="Y21" s="137"/>
      <c r="Z21" s="245"/>
      <c r="AA21" s="243" t="str">
        <f>'Gen CP'!$D21</f>
        <v>Aguilar EM</v>
      </c>
      <c r="AB21" s="244"/>
      <c r="AC21" s="248"/>
      <c r="AD21" s="249"/>
      <c r="AE21" s="243" t="str">
        <f>'Gen CP'!$D21</f>
        <v>Aguilar EM</v>
      </c>
      <c r="AF21" s="244"/>
      <c r="AG21" s="243" t="str">
        <f>'Gen CP'!$D21</f>
        <v>Aguilar EM</v>
      </c>
      <c r="AH21" s="244"/>
      <c r="AI21" s="243" t="str">
        <f>'Gen CP'!$D21</f>
        <v>Aguilar EM</v>
      </c>
      <c r="AJ21" s="244"/>
      <c r="AK21" s="137"/>
      <c r="AL21" s="245"/>
      <c r="AM21" s="259" t="str">
        <f>'Gen CP'!$E21</f>
        <v>Almazan AD</v>
      </c>
      <c r="AN21" s="260"/>
      <c r="AO21" s="259" t="str">
        <f>'Gen CP'!$E21</f>
        <v>Almazan AD</v>
      </c>
      <c r="AP21" s="260"/>
      <c r="AQ21" s="262" t="s">
        <v>516</v>
      </c>
      <c r="AR21" s="263"/>
      <c r="AS21" s="259" t="str">
        <f>'Gen CP'!$E21</f>
        <v>Almazan AD</v>
      </c>
      <c r="AT21" s="260"/>
      <c r="AU21" s="259" t="str">
        <f>'Gen CP'!$E21</f>
        <v>Almazan AD</v>
      </c>
      <c r="AV21" s="260"/>
      <c r="AW21" s="137"/>
      <c r="AX21" s="245"/>
      <c r="AY21" s="243" t="str">
        <f>'Gen CP'!$F21</f>
        <v>Sagnip M</v>
      </c>
      <c r="AZ21" s="244"/>
      <c r="BA21" s="243" t="str">
        <f>'Gen CP'!$F21</f>
        <v>Sagnip M</v>
      </c>
      <c r="BB21" s="244"/>
      <c r="BC21" s="243" t="str">
        <f>'Gen CP'!$F21</f>
        <v>Sagnip M</v>
      </c>
      <c r="BD21" s="244"/>
      <c r="BE21" s="243" t="str">
        <f>'Gen CP'!$F21</f>
        <v>Sagnip M</v>
      </c>
      <c r="BF21" s="244"/>
      <c r="BG21" s="243" t="str">
        <f>'Gen CP'!$F21</f>
        <v>Sagnip M</v>
      </c>
      <c r="BH21" s="244"/>
      <c r="BI21" s="137"/>
      <c r="BJ21" s="245"/>
      <c r="BK21" s="243" t="str">
        <f>'Gen CP'!$G21</f>
        <v>Coronel R</v>
      </c>
      <c r="BL21" s="244"/>
      <c r="BM21" s="243" t="str">
        <f>'Gen CP'!$G21</f>
        <v>Coronel R</v>
      </c>
      <c r="BN21" s="244"/>
      <c r="BO21" s="243" t="str">
        <f>'Gen CP'!$G21</f>
        <v>Coronel R</v>
      </c>
      <c r="BP21" s="244"/>
      <c r="BQ21" s="243" t="str">
        <f>'Gen CP'!$G21</f>
        <v>Coronel R</v>
      </c>
      <c r="BR21" s="244"/>
      <c r="BS21" s="243" t="str">
        <f>'Gen CP'!$G21</f>
        <v>Coronel R</v>
      </c>
      <c r="BT21" s="244"/>
      <c r="BU21" s="137"/>
      <c r="BV21" s="245"/>
      <c r="BW21" s="243" t="str">
        <f>'Gen CP'!$H21</f>
        <v>Estrella R</v>
      </c>
      <c r="BX21" s="244"/>
      <c r="BY21" s="243" t="str">
        <f>'Gen CP'!$H21</f>
        <v>Estrella R</v>
      </c>
      <c r="BZ21" s="244"/>
      <c r="CA21" s="243" t="str">
        <f>'Gen CP'!$H21</f>
        <v>Estrella R</v>
      </c>
      <c r="CB21" s="244"/>
      <c r="CC21" s="243" t="str">
        <f>'Gen CP'!$H21</f>
        <v>Estrella R</v>
      </c>
      <c r="CD21" s="244"/>
      <c r="CE21" s="243" t="str">
        <f>'Gen CP'!$H21</f>
        <v>Estrella R</v>
      </c>
      <c r="CF21" s="244"/>
      <c r="CG21" s="137"/>
      <c r="CH21" s="245"/>
      <c r="CI21" s="243" t="str">
        <f>'Gen CP'!$I21</f>
        <v>Sarmiento F</v>
      </c>
      <c r="CJ21" s="244"/>
      <c r="CK21" s="243" t="str">
        <f>'Gen CP'!$I21</f>
        <v>Sarmiento F</v>
      </c>
      <c r="CL21" s="244"/>
      <c r="CM21" s="243" t="str">
        <f>'Gen CP'!$I21</f>
        <v>Sarmiento F</v>
      </c>
      <c r="CN21" s="244"/>
      <c r="CO21" s="243" t="str">
        <f>'Gen CP'!$I21</f>
        <v>Sarmiento F</v>
      </c>
      <c r="CP21" s="244"/>
      <c r="CQ21" s="243" t="str">
        <f>'Gen CP'!$I21</f>
        <v>Sarmiento F</v>
      </c>
      <c r="CR21" s="244"/>
      <c r="CS21" s="137"/>
      <c r="CT21" s="245"/>
      <c r="CU21" s="243" t="str">
        <f>'Gen CP'!$J21</f>
        <v>Mercado R</v>
      </c>
      <c r="CV21" s="244"/>
      <c r="CW21" s="243" t="str">
        <f>'Gen CP'!$J21</f>
        <v>Mercado R</v>
      </c>
      <c r="CX21" s="244"/>
      <c r="CY21" s="254" t="str">
        <f>'Gen CP'!$J21</f>
        <v>Mercado R</v>
      </c>
      <c r="CZ21" s="255"/>
      <c r="DA21" s="243" t="str">
        <f>'Gen CP'!$J21</f>
        <v>Mercado R</v>
      </c>
      <c r="DB21" s="244"/>
      <c r="DC21" s="243" t="str">
        <f>'Gen CP'!$J21</f>
        <v>Mercado R</v>
      </c>
      <c r="DD21" s="244"/>
      <c r="DE21" s="297"/>
      <c r="DF21" s="245"/>
      <c r="DG21" s="243" t="str">
        <f>'Gen CP'!$K21</f>
        <v>Domingo V</v>
      </c>
      <c r="DH21" s="244"/>
      <c r="DI21" s="243" t="str">
        <f>'Gen CP'!$K21</f>
        <v>Domingo V</v>
      </c>
      <c r="DJ21" s="244"/>
      <c r="DK21" s="243" t="str">
        <f>'Gen CP'!$K21</f>
        <v>Domingo V</v>
      </c>
      <c r="DL21" s="244"/>
      <c r="DM21" s="243" t="str">
        <f>'Gen CP'!$K21</f>
        <v>Domingo V</v>
      </c>
      <c r="DN21" s="244"/>
      <c r="DO21" s="243" t="str">
        <f>'Gen CP'!$K21</f>
        <v>Domingo V</v>
      </c>
      <c r="DP21" s="244"/>
      <c r="DQ21" s="137"/>
      <c r="DR21" s="245"/>
      <c r="DS21" s="243" t="str">
        <f>'Gen CP'!$L21</f>
        <v>Marcelo OJ</v>
      </c>
      <c r="DT21" s="244"/>
      <c r="DU21" s="243" t="str">
        <f>'Gen CP'!$L21</f>
        <v>Marcelo OJ</v>
      </c>
      <c r="DV21" s="244"/>
      <c r="DW21" s="243" t="str">
        <f>'Gen CP'!$L21</f>
        <v>Marcelo OJ</v>
      </c>
      <c r="DX21" s="244"/>
      <c r="DY21" s="243" t="str">
        <f>'Gen CP'!$L21</f>
        <v>Marcelo OJ</v>
      </c>
      <c r="DZ21" s="244"/>
      <c r="EA21" s="243" t="str">
        <f>'Gen CP'!$L21</f>
        <v>Marcelo OJ</v>
      </c>
      <c r="EB21" s="244"/>
      <c r="EC21" s="265"/>
      <c r="ED21" s="245"/>
      <c r="EE21" s="243">
        <f>'Gen CP'!$M21</f>
        <v>0</v>
      </c>
      <c r="EF21" s="244"/>
      <c r="EG21" s="243">
        <f>'Gen CP'!$M21</f>
        <v>0</v>
      </c>
      <c r="EH21" s="244"/>
      <c r="EI21" s="243">
        <f>'Gen CP'!$M21</f>
        <v>0</v>
      </c>
      <c r="EJ21" s="244"/>
      <c r="EK21" s="243">
        <f>'Gen CP'!$M21</f>
        <v>0</v>
      </c>
      <c r="EL21" s="244"/>
      <c r="EM21" s="243">
        <f>'Gen CP'!$M21</f>
        <v>0</v>
      </c>
      <c r="EN21" s="244"/>
      <c r="EO21" s="265"/>
      <c r="EP21" s="245"/>
      <c r="EQ21" s="264"/>
      <c r="ER21" s="264"/>
      <c r="ES21" s="264"/>
      <c r="ET21" s="264"/>
      <c r="EU21" s="264"/>
      <c r="EV21" s="264"/>
      <c r="EW21" s="264"/>
      <c r="EX21" s="264"/>
      <c r="EY21" s="264"/>
      <c r="EZ21" s="264"/>
      <c r="FA21" s="265"/>
      <c r="FB21" s="245"/>
      <c r="FC21" s="264"/>
      <c r="FD21" s="264"/>
      <c r="FE21" s="264"/>
      <c r="FF21" s="264"/>
      <c r="FG21" s="264"/>
      <c r="FH21" s="264"/>
      <c r="FI21" s="264"/>
      <c r="FJ21" s="264"/>
      <c r="FK21" s="264"/>
      <c r="FL21" s="264"/>
      <c r="FM21" s="265"/>
      <c r="FN21" s="245"/>
      <c r="FO21" s="264"/>
      <c r="FP21" s="264"/>
      <c r="FQ21" s="264"/>
      <c r="FR21" s="264"/>
      <c r="FS21" s="264"/>
      <c r="FT21" s="264"/>
      <c r="FU21" s="264"/>
      <c r="FV21" s="264"/>
      <c r="FW21" s="264"/>
      <c r="FX21" s="264"/>
      <c r="FY21" s="265"/>
      <c r="FZ21" s="245"/>
      <c r="GA21" s="264"/>
      <c r="GB21" s="264"/>
      <c r="GC21" s="264"/>
      <c r="GD21" s="264"/>
      <c r="GE21" s="264"/>
      <c r="GF21" s="264"/>
      <c r="GG21" s="264"/>
      <c r="GH21" s="264"/>
      <c r="GI21" s="264"/>
      <c r="GJ21" s="264"/>
    </row>
    <row r="22" spans="1:192">
      <c r="A22" s="164" t="s">
        <v>380</v>
      </c>
      <c r="B22" s="245"/>
      <c r="C22" s="264" t="str">
        <f>'Gen CP'!$B22</f>
        <v>UCSP</v>
      </c>
      <c r="D22" s="264"/>
      <c r="E22" s="264" t="str">
        <f>'Gen CP'!$B22</f>
        <v>UCSP</v>
      </c>
      <c r="F22" s="264"/>
      <c r="G22" s="264" t="str">
        <f>'Gen CP'!$B22</f>
        <v>UCSP</v>
      </c>
      <c r="H22" s="264"/>
      <c r="I22" s="264" t="str">
        <f>'Gen CP'!$B22</f>
        <v>UCSP</v>
      </c>
      <c r="J22" s="264"/>
      <c r="K22" s="264" t="str">
        <f>'Gen CP'!$B22</f>
        <v>UCSP</v>
      </c>
      <c r="L22" s="264"/>
      <c r="M22" s="164" t="s">
        <v>380</v>
      </c>
      <c r="N22" s="245"/>
      <c r="O22" s="243" t="str">
        <f>'Gen CP'!$C22</f>
        <v>Gen Math</v>
      </c>
      <c r="P22" s="244"/>
      <c r="Q22" s="243" t="str">
        <f>'Gen CP'!$C22</f>
        <v>Gen Math</v>
      </c>
      <c r="R22" s="244"/>
      <c r="S22" s="243" t="str">
        <f>'Gen CP'!$C22</f>
        <v>Gen Math</v>
      </c>
      <c r="T22" s="244"/>
      <c r="U22" s="243" t="str">
        <f>'Gen CP'!$C22</f>
        <v>Gen Math</v>
      </c>
      <c r="V22" s="244"/>
      <c r="W22" s="243" t="s">
        <v>375</v>
      </c>
      <c r="X22" s="244"/>
      <c r="Y22" s="164" t="s">
        <v>380</v>
      </c>
      <c r="Z22" s="245"/>
      <c r="AA22" s="243" t="str">
        <f>'Gen CP'!$D22</f>
        <v>21st Cen Lit</v>
      </c>
      <c r="AB22" s="244"/>
      <c r="AC22" s="243" t="str">
        <f>'Gen CP'!$D22</f>
        <v>21st Cen Lit</v>
      </c>
      <c r="AD22" s="244"/>
      <c r="AE22" s="243" t="str">
        <f>'Gen CP'!$D22</f>
        <v>21st Cen Lit</v>
      </c>
      <c r="AF22" s="244"/>
      <c r="AG22" s="243" t="str">
        <f>'Gen CP'!$D22</f>
        <v>21st Cen Lit</v>
      </c>
      <c r="AH22" s="244"/>
      <c r="AI22" s="243" t="str">
        <f>'Gen CP'!$D22</f>
        <v>21st Cen Lit</v>
      </c>
      <c r="AJ22" s="244"/>
      <c r="AK22" s="164" t="s">
        <v>380</v>
      </c>
      <c r="AL22" s="245"/>
      <c r="AM22" s="243" t="str">
        <f>'Gen CP'!$E22</f>
        <v>MIL</v>
      </c>
      <c r="AN22" s="244"/>
      <c r="AO22" s="254" t="str">
        <f>'Gen CP'!$E22</f>
        <v>MIL</v>
      </c>
      <c r="AP22" s="255"/>
      <c r="AQ22" s="254" t="str">
        <f>'Gen CP'!$E22</f>
        <v>MIL</v>
      </c>
      <c r="AR22" s="255"/>
      <c r="AS22" s="243" t="str">
        <f>'Gen CP'!$E22</f>
        <v>MIL</v>
      </c>
      <c r="AT22" s="244"/>
      <c r="AU22" s="243" t="str">
        <f>'Gen CP'!$E22</f>
        <v>MIL</v>
      </c>
      <c r="AV22" s="244"/>
      <c r="AW22" s="164" t="s">
        <v>380</v>
      </c>
      <c r="AX22" s="245"/>
      <c r="AY22" s="243" t="str">
        <f>'Gen CP'!$F22</f>
        <v>Gen Math</v>
      </c>
      <c r="AZ22" s="244"/>
      <c r="BA22" s="243" t="str">
        <f>'Gen CP'!$F22</f>
        <v>Gen Math</v>
      </c>
      <c r="BB22" s="244"/>
      <c r="BC22" s="243" t="s">
        <v>375</v>
      </c>
      <c r="BD22" s="244"/>
      <c r="BE22" s="243" t="str">
        <f>'Gen CP'!$F22</f>
        <v>Gen Math</v>
      </c>
      <c r="BF22" s="244"/>
      <c r="BG22" s="243" t="str">
        <f>'Gen CP'!$F22</f>
        <v>Gen Math</v>
      </c>
      <c r="BH22" s="244"/>
      <c r="BI22" s="164" t="s">
        <v>380</v>
      </c>
      <c r="BJ22" s="245"/>
      <c r="BK22" s="243" t="str">
        <f>'Gen CP'!$G22</f>
        <v>Emp Tech</v>
      </c>
      <c r="BL22" s="244"/>
      <c r="BM22" s="243" t="str">
        <f>'Gen CP'!$G22</f>
        <v>Emp Tech</v>
      </c>
      <c r="BN22" s="244"/>
      <c r="BO22" s="243" t="str">
        <f>'Gen CP'!$G22</f>
        <v>Emp Tech</v>
      </c>
      <c r="BP22" s="244"/>
      <c r="BQ22" s="243" t="str">
        <f>'Gen CP'!$G22</f>
        <v>Emp Tech</v>
      </c>
      <c r="BR22" s="244"/>
      <c r="BS22" s="243" t="str">
        <f>'Gen CP'!$G22</f>
        <v>Emp Tech</v>
      </c>
      <c r="BT22" s="244"/>
      <c r="BU22" s="137" t="s">
        <v>335</v>
      </c>
      <c r="BV22" s="245"/>
      <c r="BW22" s="259" t="str">
        <f>'Gen CP'!$H22</f>
        <v>Earth &amp; Life</v>
      </c>
      <c r="BX22" s="260"/>
      <c r="BY22" s="262" t="s">
        <v>375</v>
      </c>
      <c r="BZ22" s="263"/>
      <c r="CA22" s="259" t="str">
        <f>'Gen CP'!$H22</f>
        <v>Earth &amp; Life</v>
      </c>
      <c r="CB22" s="260"/>
      <c r="CC22" s="259" t="str">
        <f>'Gen CP'!$H22</f>
        <v>Earth &amp; Life</v>
      </c>
      <c r="CD22" s="260"/>
      <c r="CE22" s="259" t="str">
        <f>'Gen CP'!$H22</f>
        <v>Earth &amp; Life</v>
      </c>
      <c r="CF22" s="260"/>
      <c r="CG22" s="137" t="s">
        <v>335</v>
      </c>
      <c r="CH22" s="245"/>
      <c r="CI22" s="243" t="str">
        <f>'Gen CP'!$I22</f>
        <v>SMAW NC I</v>
      </c>
      <c r="CJ22" s="244"/>
      <c r="CK22" s="243" t="str">
        <f>'Gen CP'!$I22</f>
        <v>SMAW NC I</v>
      </c>
      <c r="CL22" s="244"/>
      <c r="CM22" s="243" t="str">
        <f>'Gen CP'!$I22</f>
        <v>SMAW NC I</v>
      </c>
      <c r="CN22" s="244"/>
      <c r="CO22" s="243" t="str">
        <f>'Gen CP'!$I22</f>
        <v>SMAW NC I</v>
      </c>
      <c r="CP22" s="244"/>
      <c r="CQ22" s="243" t="str">
        <f>'Gen CP'!$I22</f>
        <v>SMAW NC I</v>
      </c>
      <c r="CR22" s="244"/>
      <c r="CS22" s="296" t="s">
        <v>394</v>
      </c>
      <c r="CT22" s="245"/>
      <c r="CU22" s="243" t="str">
        <f>'Gen CP'!$J22</f>
        <v>CSS</v>
      </c>
      <c r="CV22" s="244"/>
      <c r="CW22" s="254" t="str">
        <f>'Gen CP'!$J22</f>
        <v>CSS</v>
      </c>
      <c r="CX22" s="255"/>
      <c r="CY22" s="254" t="str">
        <f>'Gen CP'!$J22</f>
        <v>CSS</v>
      </c>
      <c r="CZ22" s="255"/>
      <c r="DA22" s="243" t="str">
        <f>'Gen CP'!$J22</f>
        <v>CSS</v>
      </c>
      <c r="DB22" s="244"/>
      <c r="DC22" s="243" t="str">
        <f>'Gen CP'!$J22</f>
        <v>CSS</v>
      </c>
      <c r="DD22" s="244"/>
      <c r="DE22" s="137" t="s">
        <v>335</v>
      </c>
      <c r="DF22" s="245"/>
      <c r="DG22" s="243" t="str">
        <f>'Gen CP'!$K22</f>
        <v>Kom Pan</v>
      </c>
      <c r="DH22" s="244"/>
      <c r="DI22" s="243" t="str">
        <f>'Gen CP'!$K22</f>
        <v>Kom Pan</v>
      </c>
      <c r="DJ22" s="244"/>
      <c r="DK22" s="243" t="str">
        <f>'Gen CP'!$K22</f>
        <v>Kom Pan</v>
      </c>
      <c r="DL22" s="244"/>
      <c r="DM22" s="243" t="s">
        <v>375</v>
      </c>
      <c r="DN22" s="244"/>
      <c r="DO22" s="243" t="str">
        <f>'Gen CP'!$K22</f>
        <v>Kom Pan</v>
      </c>
      <c r="DP22" s="244"/>
      <c r="DQ22" s="137" t="s">
        <v>335</v>
      </c>
      <c r="DR22" s="245"/>
      <c r="DS22" s="243" t="str">
        <f>'Gen CP'!$L22</f>
        <v>Oral Com</v>
      </c>
      <c r="DT22" s="244"/>
      <c r="DU22" s="243" t="str">
        <f>'Gen CP'!$L22</f>
        <v>Oral Com</v>
      </c>
      <c r="DV22" s="244"/>
      <c r="DW22" s="243" t="str">
        <f>'Gen CP'!$L22</f>
        <v>Oral Com</v>
      </c>
      <c r="DX22" s="244"/>
      <c r="DY22" s="243" t="str">
        <f>'Gen CP'!$L22</f>
        <v>Oral Com</v>
      </c>
      <c r="DZ22" s="244"/>
      <c r="EA22" s="243" t="str">
        <f>'Gen CP'!$L22</f>
        <v>Oral Com</v>
      </c>
      <c r="EB22" s="244"/>
      <c r="EC22" s="265" t="s">
        <v>25</v>
      </c>
      <c r="ED22" s="245"/>
      <c r="EE22" s="243">
        <f>'Gen CP'!$M22</f>
        <v>0</v>
      </c>
      <c r="EF22" s="244"/>
      <c r="EG22" s="243">
        <f>'Gen CP'!$M22</f>
        <v>0</v>
      </c>
      <c r="EH22" s="244"/>
      <c r="EI22" s="243">
        <f>'Gen CP'!$M22</f>
        <v>0</v>
      </c>
      <c r="EJ22" s="244"/>
      <c r="EK22" s="243">
        <f>'Gen CP'!$M22</f>
        <v>0</v>
      </c>
      <c r="EL22" s="244"/>
      <c r="EM22" s="243">
        <f>'Gen CP'!$M22</f>
        <v>0</v>
      </c>
      <c r="EN22" s="244"/>
      <c r="EO22" s="265" t="s">
        <v>25</v>
      </c>
      <c r="EP22" s="245">
        <v>60</v>
      </c>
      <c r="EQ22" s="243"/>
      <c r="ER22" s="244"/>
      <c r="ES22" s="243"/>
      <c r="ET22" s="244"/>
      <c r="EU22" s="264"/>
      <c r="EV22" s="264"/>
      <c r="EW22" s="264"/>
      <c r="EX22" s="264"/>
      <c r="EY22" s="243"/>
      <c r="EZ22" s="244"/>
      <c r="FA22" s="265" t="s">
        <v>25</v>
      </c>
      <c r="FB22" s="245">
        <v>60</v>
      </c>
      <c r="FC22" s="243"/>
      <c r="FD22" s="244"/>
      <c r="FE22" s="243"/>
      <c r="FF22" s="244"/>
      <c r="FG22" s="264"/>
      <c r="FH22" s="264"/>
      <c r="FI22" s="264"/>
      <c r="FJ22" s="264"/>
      <c r="FK22" s="243"/>
      <c r="FL22" s="244"/>
      <c r="FM22" s="265" t="s">
        <v>25</v>
      </c>
      <c r="FN22" s="245">
        <v>60</v>
      </c>
      <c r="FO22" s="243"/>
      <c r="FP22" s="244"/>
      <c r="FQ22" s="243"/>
      <c r="FR22" s="244"/>
      <c r="FS22" s="264"/>
      <c r="FT22" s="264"/>
      <c r="FU22" s="264"/>
      <c r="FV22" s="264"/>
      <c r="FW22" s="243"/>
      <c r="FX22" s="244"/>
      <c r="FY22" s="265" t="s">
        <v>25</v>
      </c>
      <c r="FZ22" s="245"/>
      <c r="GA22" s="243"/>
      <c r="GB22" s="244"/>
      <c r="GC22" s="243"/>
      <c r="GD22" s="244"/>
      <c r="GE22" s="243"/>
      <c r="GF22" s="244"/>
      <c r="GG22" s="243"/>
      <c r="GH22" s="244"/>
      <c r="GI22" s="243"/>
      <c r="GJ22" s="244"/>
    </row>
    <row r="23" spans="1:192">
      <c r="A23" s="165"/>
      <c r="B23" s="245"/>
      <c r="C23" s="264" t="str">
        <f>'Gen CP'!$B23</f>
        <v>Estrella R</v>
      </c>
      <c r="D23" s="264"/>
      <c r="E23" s="264" t="str">
        <f>'Gen CP'!$B23</f>
        <v>Estrella R</v>
      </c>
      <c r="F23" s="264"/>
      <c r="G23" s="264" t="str">
        <f>'Gen CP'!$B23</f>
        <v>Estrella R</v>
      </c>
      <c r="H23" s="264"/>
      <c r="I23" s="264" t="str">
        <f>'Gen CP'!$B23</f>
        <v>Estrella R</v>
      </c>
      <c r="J23" s="264"/>
      <c r="K23" s="264" t="str">
        <f>'Gen CP'!$B23</f>
        <v>Estrella R</v>
      </c>
      <c r="L23" s="264"/>
      <c r="M23" s="165"/>
      <c r="N23" s="245"/>
      <c r="O23" s="243" t="str">
        <f>'Gen CP'!$C23</f>
        <v>Lorenzana C</v>
      </c>
      <c r="P23" s="244"/>
      <c r="Q23" s="243" t="str">
        <f>'Gen CP'!$C23</f>
        <v>Lorenzana C</v>
      </c>
      <c r="R23" s="244"/>
      <c r="S23" s="243" t="str">
        <f>'Gen CP'!$C23</f>
        <v>Lorenzana C</v>
      </c>
      <c r="T23" s="244"/>
      <c r="U23" s="243" t="str">
        <f>'Gen CP'!$C23</f>
        <v>Lorenzana C</v>
      </c>
      <c r="V23" s="244"/>
      <c r="W23" s="243" t="s">
        <v>412</v>
      </c>
      <c r="X23" s="244"/>
      <c r="Y23" s="165"/>
      <c r="Z23" s="245"/>
      <c r="AA23" s="243" t="str">
        <f>'Gen CP'!$D23</f>
        <v>Crisostomo R</v>
      </c>
      <c r="AB23" s="244"/>
      <c r="AC23" s="243" t="str">
        <f>'Gen CP'!$D23</f>
        <v>Crisostomo R</v>
      </c>
      <c r="AD23" s="244"/>
      <c r="AE23" s="243" t="str">
        <f>'Gen CP'!$D23</f>
        <v>Crisostomo R</v>
      </c>
      <c r="AF23" s="244"/>
      <c r="AG23" s="243" t="str">
        <f>'Gen CP'!$D23</f>
        <v>Crisostomo R</v>
      </c>
      <c r="AH23" s="244"/>
      <c r="AI23" s="243" t="str">
        <f>'Gen CP'!$D23</f>
        <v>Crisostomo R</v>
      </c>
      <c r="AJ23" s="244"/>
      <c r="AK23" s="165"/>
      <c r="AL23" s="245"/>
      <c r="AM23" s="243" t="str">
        <f>'Gen CP'!$E23</f>
        <v>Coronel R</v>
      </c>
      <c r="AN23" s="244"/>
      <c r="AO23" s="254" t="str">
        <f>'Gen CP'!$E23</f>
        <v>Coronel R</v>
      </c>
      <c r="AP23" s="255"/>
      <c r="AQ23" s="254" t="str">
        <f>'Gen CP'!$E23</f>
        <v>Coronel R</v>
      </c>
      <c r="AR23" s="255"/>
      <c r="AS23" s="243" t="str">
        <f>'Gen CP'!$E23</f>
        <v>Coronel R</v>
      </c>
      <c r="AT23" s="244"/>
      <c r="AU23" s="243" t="str">
        <f>'Gen CP'!$E23</f>
        <v>Coronel R</v>
      </c>
      <c r="AV23" s="244"/>
      <c r="AW23" s="165"/>
      <c r="AX23" s="245"/>
      <c r="AY23" s="243" t="str">
        <f>'Gen CP'!$F23</f>
        <v>Domingo V</v>
      </c>
      <c r="AZ23" s="244"/>
      <c r="BA23" s="243" t="str">
        <f>'Gen CP'!$F23</f>
        <v>Domingo V</v>
      </c>
      <c r="BB23" s="244"/>
      <c r="BC23" s="243" t="s">
        <v>412</v>
      </c>
      <c r="BD23" s="244"/>
      <c r="BE23" s="243" t="str">
        <f>'Gen CP'!$F23</f>
        <v>Domingo V</v>
      </c>
      <c r="BF23" s="244"/>
      <c r="BG23" s="243" t="str">
        <f>'Gen CP'!$F23</f>
        <v>Domingo V</v>
      </c>
      <c r="BH23" s="244"/>
      <c r="BI23" s="165"/>
      <c r="BJ23" s="245"/>
      <c r="BK23" s="243" t="str">
        <f>'Gen CP'!$G23</f>
        <v>Reyes D</v>
      </c>
      <c r="BL23" s="244"/>
      <c r="BM23" s="243" t="str">
        <f>'Gen CP'!$G23</f>
        <v>Reyes D</v>
      </c>
      <c r="BN23" s="244"/>
      <c r="BO23" s="243" t="str">
        <f>'Gen CP'!$G23</f>
        <v>Reyes D</v>
      </c>
      <c r="BP23" s="244"/>
      <c r="BQ23" s="243" t="str">
        <f>'Gen CP'!$G23</f>
        <v>Reyes D</v>
      </c>
      <c r="BR23" s="244"/>
      <c r="BS23" s="243" t="str">
        <f>'Gen CP'!$G23</f>
        <v>Reyes D</v>
      </c>
      <c r="BT23" s="244"/>
      <c r="BU23" s="137"/>
      <c r="BV23" s="245"/>
      <c r="BW23" s="259" t="str">
        <f>'Gen CP'!$H23</f>
        <v>Almazan AD</v>
      </c>
      <c r="BX23" s="260"/>
      <c r="BY23" s="262" t="s">
        <v>412</v>
      </c>
      <c r="BZ23" s="263"/>
      <c r="CA23" s="259" t="str">
        <f>'Gen CP'!$H23</f>
        <v>Almazan AD</v>
      </c>
      <c r="CB23" s="260"/>
      <c r="CC23" s="259" t="str">
        <f>'Gen CP'!$H23</f>
        <v>Almazan AD</v>
      </c>
      <c r="CD23" s="260"/>
      <c r="CE23" s="259" t="str">
        <f>'Gen CP'!$H23</f>
        <v>Almazan AD</v>
      </c>
      <c r="CF23" s="260"/>
      <c r="CG23" s="137"/>
      <c r="CH23" s="245"/>
      <c r="CI23" s="243" t="str">
        <f>'Gen CP'!$I23</f>
        <v>Sarmiento F</v>
      </c>
      <c r="CJ23" s="244"/>
      <c r="CK23" s="243" t="str">
        <f>'Gen CP'!$I23</f>
        <v>Sarmiento F</v>
      </c>
      <c r="CL23" s="244"/>
      <c r="CM23" s="243" t="str">
        <f>'Gen CP'!$I23</f>
        <v>Sarmiento F</v>
      </c>
      <c r="CN23" s="244"/>
      <c r="CO23" s="243" t="str">
        <f>'Gen CP'!$I23</f>
        <v>Sarmiento F</v>
      </c>
      <c r="CP23" s="244"/>
      <c r="CQ23" s="243" t="str">
        <f>'Gen CP'!$I23</f>
        <v>Sarmiento F</v>
      </c>
      <c r="CR23" s="244"/>
      <c r="CS23" s="297"/>
      <c r="CT23" s="245"/>
      <c r="CU23" s="243" t="str">
        <f>'Gen CP'!$J23</f>
        <v>Mercado R</v>
      </c>
      <c r="CV23" s="244"/>
      <c r="CW23" s="254" t="str">
        <f>'Gen CP'!$J23</f>
        <v>Mercado R</v>
      </c>
      <c r="CX23" s="255"/>
      <c r="CY23" s="254" t="str">
        <f>'Gen CP'!$J23</f>
        <v>Mercado R</v>
      </c>
      <c r="CZ23" s="255"/>
      <c r="DA23" s="243" t="str">
        <f>'Gen CP'!$J23</f>
        <v>Mercado R</v>
      </c>
      <c r="DB23" s="244"/>
      <c r="DC23" s="243" t="str">
        <f>'Gen CP'!$J23</f>
        <v>Mercado R</v>
      </c>
      <c r="DD23" s="244"/>
      <c r="DE23" s="137"/>
      <c r="DF23" s="245"/>
      <c r="DG23" s="243" t="str">
        <f>'Gen CP'!$K23</f>
        <v>Aguilar EM</v>
      </c>
      <c r="DH23" s="244"/>
      <c r="DI23" s="243" t="str">
        <f>'Gen CP'!$K23</f>
        <v>Aguilar EM</v>
      </c>
      <c r="DJ23" s="244"/>
      <c r="DK23" s="243" t="str">
        <f>'Gen CP'!$K23</f>
        <v>Aguilar EM</v>
      </c>
      <c r="DL23" s="244"/>
      <c r="DM23" s="243" t="s">
        <v>412</v>
      </c>
      <c r="DN23" s="244"/>
      <c r="DO23" s="243" t="str">
        <f>'Gen CP'!$K23</f>
        <v>Aguilar EM</v>
      </c>
      <c r="DP23" s="244"/>
      <c r="DQ23" s="137"/>
      <c r="DR23" s="245"/>
      <c r="DS23" s="243" t="str">
        <f>'Gen CP'!$L23</f>
        <v>Sagnip M</v>
      </c>
      <c r="DT23" s="244"/>
      <c r="DU23" s="243" t="str">
        <f>'Gen CP'!$L23</f>
        <v>Sagnip M</v>
      </c>
      <c r="DV23" s="244"/>
      <c r="DW23" s="243" t="str">
        <f>'Gen CP'!$L23</f>
        <v>Sagnip M</v>
      </c>
      <c r="DX23" s="244"/>
      <c r="DY23" s="243" t="str">
        <f>'Gen CP'!$L23</f>
        <v>Sagnip M</v>
      </c>
      <c r="DZ23" s="244"/>
      <c r="EA23" s="243" t="str">
        <f>'Gen CP'!$L23</f>
        <v>Sagnip M</v>
      </c>
      <c r="EB23" s="244"/>
      <c r="EC23" s="265"/>
      <c r="ED23" s="245"/>
      <c r="EE23" s="243">
        <f>'Gen CP'!$M23</f>
        <v>0</v>
      </c>
      <c r="EF23" s="244"/>
      <c r="EG23" s="243">
        <f>'Gen CP'!$M23</f>
        <v>0</v>
      </c>
      <c r="EH23" s="244"/>
      <c r="EI23" s="243">
        <f>'Gen CP'!$M23</f>
        <v>0</v>
      </c>
      <c r="EJ23" s="244"/>
      <c r="EK23" s="243">
        <f>'Gen CP'!$M23</f>
        <v>0</v>
      </c>
      <c r="EL23" s="244"/>
      <c r="EM23" s="243">
        <f>'Gen CP'!$M23</f>
        <v>0</v>
      </c>
      <c r="EN23" s="244"/>
      <c r="EO23" s="265"/>
      <c r="EP23" s="245"/>
      <c r="EQ23" s="264"/>
      <c r="ER23" s="264"/>
      <c r="ES23" s="264"/>
      <c r="ET23" s="264"/>
      <c r="EU23" s="264"/>
      <c r="EV23" s="264"/>
      <c r="EW23" s="264"/>
      <c r="EX23" s="264"/>
      <c r="EY23" s="264"/>
      <c r="EZ23" s="264"/>
      <c r="FA23" s="265"/>
      <c r="FB23" s="245"/>
      <c r="FC23" s="264"/>
      <c r="FD23" s="264"/>
      <c r="FE23" s="264"/>
      <c r="FF23" s="264"/>
      <c r="FG23" s="264"/>
      <c r="FH23" s="264"/>
      <c r="FI23" s="264"/>
      <c r="FJ23" s="264"/>
      <c r="FK23" s="264"/>
      <c r="FL23" s="264"/>
      <c r="FM23" s="265"/>
      <c r="FN23" s="245"/>
      <c r="FO23" s="264"/>
      <c r="FP23" s="264"/>
      <c r="FQ23" s="264"/>
      <c r="FR23" s="264"/>
      <c r="FS23" s="264"/>
      <c r="FT23" s="264"/>
      <c r="FU23" s="264"/>
      <c r="FV23" s="264"/>
      <c r="FW23" s="264"/>
      <c r="FX23" s="264"/>
      <c r="FY23" s="265"/>
      <c r="FZ23" s="245"/>
      <c r="GA23" s="264"/>
      <c r="GB23" s="264"/>
      <c r="GC23" s="264"/>
      <c r="GD23" s="264"/>
      <c r="GE23" s="264"/>
      <c r="GF23" s="264"/>
      <c r="GG23" s="264"/>
      <c r="GH23" s="264"/>
      <c r="GI23" s="264"/>
      <c r="GJ23" s="264"/>
    </row>
    <row r="24" spans="1:192">
      <c r="A24" s="151" t="s">
        <v>338</v>
      </c>
      <c r="B24" s="245"/>
      <c r="C24" s="264" t="str">
        <f>'Gen CP'!$B24</f>
        <v>Chemistry 1</v>
      </c>
      <c r="D24" s="264"/>
      <c r="E24" s="264" t="str">
        <f>'Gen CP'!$B24</f>
        <v>Chemistry 1</v>
      </c>
      <c r="F24" s="264"/>
      <c r="G24" s="264" t="str">
        <f>'Gen CP'!$B24</f>
        <v>Chemistry 1</v>
      </c>
      <c r="H24" s="264"/>
      <c r="I24" s="264" t="str">
        <f>'Gen CP'!$B24</f>
        <v>Chemistry 1</v>
      </c>
      <c r="J24" s="264"/>
      <c r="K24" s="264" t="str">
        <f>'Gen CP'!$B24</f>
        <v>Chemistry 1</v>
      </c>
      <c r="L24" s="264"/>
      <c r="M24" s="151" t="s">
        <v>338</v>
      </c>
      <c r="N24" s="245"/>
      <c r="O24" s="243" t="str">
        <f>'Gen CP'!$C24</f>
        <v>UCSP</v>
      </c>
      <c r="P24" s="244"/>
      <c r="Q24" s="243" t="str">
        <f>'Gen CP'!$C24</f>
        <v>UCSP</v>
      </c>
      <c r="R24" s="244"/>
      <c r="S24" s="243" t="str">
        <f>'Gen CP'!$C24</f>
        <v>UCSP</v>
      </c>
      <c r="T24" s="244"/>
      <c r="U24" s="243" t="str">
        <f>'Gen CP'!$C24</f>
        <v>UCSP</v>
      </c>
      <c r="V24" s="244"/>
      <c r="W24" s="243" t="str">
        <f>'Gen CP'!$C24</f>
        <v>UCSP</v>
      </c>
      <c r="X24" s="244"/>
      <c r="Y24" s="151" t="s">
        <v>338</v>
      </c>
      <c r="Z24" s="245"/>
      <c r="AA24" s="243" t="str">
        <f>'Gen CP'!$D24</f>
        <v>Emp Tech</v>
      </c>
      <c r="AB24" s="244"/>
      <c r="AC24" s="243" t="str">
        <f>'Gen CP'!$D24</f>
        <v>Emp Tech</v>
      </c>
      <c r="AD24" s="244"/>
      <c r="AE24" s="243" t="str">
        <f>'Gen CP'!$D24</f>
        <v>Emp Tech</v>
      </c>
      <c r="AF24" s="244"/>
      <c r="AG24" s="243" t="str">
        <f>'Gen CP'!$D24</f>
        <v>Emp Tech</v>
      </c>
      <c r="AH24" s="244"/>
      <c r="AI24" s="243" t="str">
        <f>'Gen CP'!$D24</f>
        <v>Emp Tech</v>
      </c>
      <c r="AJ24" s="244"/>
      <c r="AK24" s="151" t="s">
        <v>338</v>
      </c>
      <c r="AL24" s="245"/>
      <c r="AM24" s="243" t="str">
        <f>'Gen CP'!$E24</f>
        <v>21st Cen Lit</v>
      </c>
      <c r="AN24" s="244"/>
      <c r="AO24" s="243" t="str">
        <f>'Gen CP'!$E24</f>
        <v>21st Cen Lit</v>
      </c>
      <c r="AP24" s="244"/>
      <c r="AQ24" s="243" t="str">
        <f>'Gen CP'!$E24</f>
        <v>21st Cen Lit</v>
      </c>
      <c r="AR24" s="244"/>
      <c r="AS24" s="243" t="str">
        <f>'Gen CP'!$E24</f>
        <v>21st Cen Lit</v>
      </c>
      <c r="AT24" s="244"/>
      <c r="AU24" s="243" t="str">
        <f>'Gen CP'!$E24</f>
        <v>21st Cen Lit</v>
      </c>
      <c r="AV24" s="244"/>
      <c r="AW24" s="151" t="s">
        <v>338</v>
      </c>
      <c r="AX24" s="245"/>
      <c r="AY24" s="243" t="str">
        <f>'Gen CP'!$F24</f>
        <v>Earth &amp; Life</v>
      </c>
      <c r="AZ24" s="244"/>
      <c r="BA24" s="243" t="str">
        <f>'Gen CP'!$F24</f>
        <v>Earth &amp; Life</v>
      </c>
      <c r="BB24" s="244"/>
      <c r="BC24" s="243" t="str">
        <f>'Gen CP'!$F24</f>
        <v>Earth &amp; Life</v>
      </c>
      <c r="BD24" s="244"/>
      <c r="BE24" s="243" t="str">
        <f>'Gen CP'!$F24</f>
        <v>Earth &amp; Life</v>
      </c>
      <c r="BF24" s="244"/>
      <c r="BG24" s="243" t="str">
        <f>'Gen CP'!$F24</f>
        <v>Earth &amp; Life</v>
      </c>
      <c r="BH24" s="244"/>
      <c r="BI24" s="151" t="s">
        <v>338</v>
      </c>
      <c r="BJ24" s="245"/>
      <c r="BK24" s="254" t="str">
        <f>'Gen CP'!$G24</f>
        <v>Oral Com</v>
      </c>
      <c r="BL24" s="255"/>
      <c r="BM24" s="243" t="s">
        <v>375</v>
      </c>
      <c r="BN24" s="244"/>
      <c r="BO24" s="243" t="str">
        <f>'Gen CP'!$G24</f>
        <v>Oral Com</v>
      </c>
      <c r="BP24" s="244"/>
      <c r="BQ24" s="243" t="str">
        <f>'Gen CP'!$G24</f>
        <v>Oral Com</v>
      </c>
      <c r="BR24" s="244"/>
      <c r="BS24" s="243" t="str">
        <f>'Gen CP'!$G24</f>
        <v>Oral Com</v>
      </c>
      <c r="BT24" s="244"/>
      <c r="BU24" s="151" t="s">
        <v>338</v>
      </c>
      <c r="BV24" s="245"/>
      <c r="BW24" s="243" t="str">
        <f>'Gen CP'!$H24</f>
        <v>Gen Math</v>
      </c>
      <c r="BX24" s="244"/>
      <c r="BY24" s="243" t="str">
        <f>'Gen CP'!$H24</f>
        <v>Gen Math</v>
      </c>
      <c r="BZ24" s="244"/>
      <c r="CA24" s="243" t="str">
        <f>'Gen CP'!$H24</f>
        <v>Gen Math</v>
      </c>
      <c r="CB24" s="244"/>
      <c r="CC24" s="243" t="str">
        <f>'Gen CP'!$H24</f>
        <v>Gen Math</v>
      </c>
      <c r="CD24" s="244"/>
      <c r="CE24" s="243" t="str">
        <f>'Gen CP'!$H24</f>
        <v>Gen Math</v>
      </c>
      <c r="CF24" s="244"/>
      <c r="CG24" s="151" t="s">
        <v>338</v>
      </c>
      <c r="CH24" s="245" t="s">
        <v>51</v>
      </c>
      <c r="CI24" s="243" t="str">
        <f>'Gen CP'!$I24</f>
        <v>Kom Pan</v>
      </c>
      <c r="CJ24" s="244"/>
      <c r="CK24" s="243" t="str">
        <f>'Gen CP'!$I24</f>
        <v>Kom Pan</v>
      </c>
      <c r="CL24" s="244"/>
      <c r="CM24" s="243" t="str">
        <f>'Gen CP'!$I24</f>
        <v>Kom Pan</v>
      </c>
      <c r="CN24" s="244"/>
      <c r="CO24" s="243" t="str">
        <f>'Gen CP'!$I24</f>
        <v>Kom Pan</v>
      </c>
      <c r="CP24" s="244"/>
      <c r="CQ24" s="243" t="str">
        <f>'Gen CP'!$I24</f>
        <v>Kom Pan</v>
      </c>
      <c r="CR24" s="244"/>
      <c r="CS24" s="151" t="s">
        <v>338</v>
      </c>
      <c r="CT24" s="245"/>
      <c r="CU24" s="243" t="str">
        <f>'Gen CP'!$J24</f>
        <v>Oral Com</v>
      </c>
      <c r="CV24" s="244"/>
      <c r="CW24" s="243" t="str">
        <f>'Gen CP'!$J24</f>
        <v>Oral Com</v>
      </c>
      <c r="CX24" s="244"/>
      <c r="CY24" s="243" t="str">
        <f>'Gen CP'!$J24</f>
        <v>Oral Com</v>
      </c>
      <c r="CZ24" s="244"/>
      <c r="DA24" s="243" t="s">
        <v>375</v>
      </c>
      <c r="DB24" s="244"/>
      <c r="DC24" s="243" t="str">
        <f>'Gen CP'!$J24</f>
        <v>Oral Com</v>
      </c>
      <c r="DD24" s="244"/>
      <c r="DE24" s="151" t="s">
        <v>338</v>
      </c>
      <c r="DF24" s="245"/>
      <c r="DG24" s="243" t="str">
        <f>'Gen CP'!$K24</f>
        <v>Creative Writing</v>
      </c>
      <c r="DH24" s="244"/>
      <c r="DI24" s="243" t="str">
        <f>'Gen CP'!$K24</f>
        <v>Creative Writing</v>
      </c>
      <c r="DJ24" s="244"/>
      <c r="DK24" s="243" t="str">
        <f>'Gen CP'!$K24</f>
        <v>Creative Writing</v>
      </c>
      <c r="DL24" s="244"/>
      <c r="DM24" s="243" t="str">
        <f>'Gen CP'!$K24</f>
        <v>Creative Writing</v>
      </c>
      <c r="DN24" s="244"/>
      <c r="DO24" s="243" t="str">
        <f>'Gen CP'!$K24</f>
        <v>Creative Writing</v>
      </c>
      <c r="DP24" s="244"/>
      <c r="DQ24" s="151" t="s">
        <v>338</v>
      </c>
      <c r="DR24" s="245"/>
      <c r="DS24" s="243" t="str">
        <f>'Gen CP'!$L24</f>
        <v>Gen Math</v>
      </c>
      <c r="DT24" s="244"/>
      <c r="DU24" s="243" t="str">
        <f>'Gen CP'!$L24</f>
        <v>Gen Math</v>
      </c>
      <c r="DV24" s="244"/>
      <c r="DW24" s="243" t="str">
        <f>'Gen CP'!$L24</f>
        <v>Gen Math</v>
      </c>
      <c r="DX24" s="244"/>
      <c r="DY24" s="243" t="str">
        <f>'Gen CP'!$L24</f>
        <v>Gen Math</v>
      </c>
      <c r="DZ24" s="244"/>
      <c r="EA24" s="243" t="str">
        <f>'Gen CP'!$L24</f>
        <v>Gen Math</v>
      </c>
      <c r="EB24" s="244"/>
      <c r="EC24" s="265" t="s">
        <v>306</v>
      </c>
      <c r="ED24" s="245"/>
      <c r="EE24" s="243">
        <f>'Gen CP'!$M24</f>
        <v>0</v>
      </c>
      <c r="EF24" s="244"/>
      <c r="EG24" s="243">
        <f>'Gen CP'!$M24</f>
        <v>0</v>
      </c>
      <c r="EH24" s="244"/>
      <c r="EI24" s="243">
        <f>'Gen CP'!$M24</f>
        <v>0</v>
      </c>
      <c r="EJ24" s="244"/>
      <c r="EK24" s="243">
        <f>'Gen CP'!$M24</f>
        <v>0</v>
      </c>
      <c r="EL24" s="244"/>
      <c r="EM24" s="243">
        <f>'Gen CP'!$M24</f>
        <v>0</v>
      </c>
      <c r="EN24" s="244"/>
      <c r="EO24" s="265" t="s">
        <v>306</v>
      </c>
      <c r="EP24" s="245">
        <v>60</v>
      </c>
      <c r="EQ24" s="266"/>
      <c r="ER24" s="266"/>
      <c r="ES24" s="266"/>
      <c r="ET24" s="266"/>
      <c r="EU24" s="264"/>
      <c r="EV24" s="264"/>
      <c r="EW24" s="266"/>
      <c r="EX24" s="266"/>
      <c r="EY24" s="266"/>
      <c r="EZ24" s="266"/>
      <c r="FA24" s="265" t="s">
        <v>306</v>
      </c>
      <c r="FB24" s="245">
        <v>60</v>
      </c>
      <c r="FC24" s="266"/>
      <c r="FD24" s="266"/>
      <c r="FE24" s="266"/>
      <c r="FF24" s="266"/>
      <c r="FG24" s="264"/>
      <c r="FH24" s="264"/>
      <c r="FI24" s="266"/>
      <c r="FJ24" s="266"/>
      <c r="FK24" s="266"/>
      <c r="FL24" s="266"/>
      <c r="FM24" s="265" t="s">
        <v>306</v>
      </c>
      <c r="FN24" s="245">
        <v>60</v>
      </c>
      <c r="FO24" s="266"/>
      <c r="FP24" s="266"/>
      <c r="FQ24" s="266"/>
      <c r="FR24" s="266"/>
      <c r="FS24" s="264"/>
      <c r="FT24" s="264"/>
      <c r="FU24" s="266"/>
      <c r="FV24" s="266"/>
      <c r="FW24" s="266"/>
      <c r="FX24" s="266"/>
      <c r="FY24" s="265" t="s">
        <v>306</v>
      </c>
      <c r="FZ24" s="245"/>
      <c r="GA24" s="266"/>
      <c r="GB24" s="266"/>
      <c r="GC24" s="266"/>
      <c r="GD24" s="266"/>
      <c r="GE24" s="266"/>
      <c r="GF24" s="266"/>
      <c r="GG24" s="266"/>
      <c r="GH24" s="266"/>
      <c r="GI24" s="266"/>
      <c r="GJ24" s="266"/>
    </row>
    <row r="25" spans="1:192">
      <c r="A25" s="152"/>
      <c r="B25" s="245"/>
      <c r="C25" s="264" t="str">
        <f>'Gen CP'!$B25</f>
        <v>Orgil E</v>
      </c>
      <c r="D25" s="264"/>
      <c r="E25" s="264" t="str">
        <f>'Gen CP'!$B25</f>
        <v>Orgil E</v>
      </c>
      <c r="F25" s="264"/>
      <c r="G25" s="264" t="str">
        <f>'Gen CP'!$B25</f>
        <v>Orgil E</v>
      </c>
      <c r="H25" s="264"/>
      <c r="I25" s="264" t="str">
        <f>'Gen CP'!$B25</f>
        <v>Orgil E</v>
      </c>
      <c r="J25" s="264"/>
      <c r="K25" s="264" t="str">
        <f>'Gen CP'!$B25</f>
        <v>Orgil E</v>
      </c>
      <c r="L25" s="264"/>
      <c r="M25" s="152"/>
      <c r="N25" s="245"/>
      <c r="O25" s="243" t="str">
        <f>'Gen CP'!$C25</f>
        <v>Estrella R</v>
      </c>
      <c r="P25" s="244"/>
      <c r="Q25" s="243" t="str">
        <f>'Gen CP'!$C25</f>
        <v>Estrella R</v>
      </c>
      <c r="R25" s="244"/>
      <c r="S25" s="243" t="str">
        <f>'Gen CP'!$C25</f>
        <v>Estrella R</v>
      </c>
      <c r="T25" s="244"/>
      <c r="U25" s="243" t="str">
        <f>'Gen CP'!$C25</f>
        <v>Estrella R</v>
      </c>
      <c r="V25" s="244"/>
      <c r="W25" s="243" t="str">
        <f>'Gen CP'!$C25</f>
        <v>Estrella R</v>
      </c>
      <c r="X25" s="244"/>
      <c r="Y25" s="152"/>
      <c r="Z25" s="245"/>
      <c r="AA25" s="243" t="str">
        <f>'Gen CP'!$D25</f>
        <v>Reyes D</v>
      </c>
      <c r="AB25" s="244"/>
      <c r="AC25" s="243" t="str">
        <f>'Gen CP'!$D25</f>
        <v>Reyes D</v>
      </c>
      <c r="AD25" s="244"/>
      <c r="AE25" s="243" t="str">
        <f>'Gen CP'!$D25</f>
        <v>Reyes D</v>
      </c>
      <c r="AF25" s="244"/>
      <c r="AG25" s="243" t="str">
        <f>'Gen CP'!$D25</f>
        <v>Reyes D</v>
      </c>
      <c r="AH25" s="244"/>
      <c r="AI25" s="243" t="str">
        <f>'Gen CP'!$D25</f>
        <v>Reyes D</v>
      </c>
      <c r="AJ25" s="244"/>
      <c r="AK25" s="152"/>
      <c r="AL25" s="245"/>
      <c r="AM25" s="243" t="str">
        <f>'Gen CP'!$E25</f>
        <v>Crisostomo R</v>
      </c>
      <c r="AN25" s="244"/>
      <c r="AO25" s="243" t="str">
        <f>'Gen CP'!$E25</f>
        <v>Crisostomo R</v>
      </c>
      <c r="AP25" s="244"/>
      <c r="AQ25" s="243" t="str">
        <f>'Gen CP'!$E25</f>
        <v>Crisostomo R</v>
      </c>
      <c r="AR25" s="244"/>
      <c r="AS25" s="243" t="str">
        <f>'Gen CP'!$E25</f>
        <v>Crisostomo R</v>
      </c>
      <c r="AT25" s="244"/>
      <c r="AU25" s="243" t="str">
        <f>'Gen CP'!$E25</f>
        <v>Crisostomo R</v>
      </c>
      <c r="AV25" s="244"/>
      <c r="AW25" s="152"/>
      <c r="AX25" s="245"/>
      <c r="AY25" s="243" t="str">
        <f>'Gen CP'!$F25</f>
        <v>Marcelo OJ</v>
      </c>
      <c r="AZ25" s="244"/>
      <c r="BA25" s="243" t="str">
        <f>'Gen CP'!$F25</f>
        <v>Marcelo OJ</v>
      </c>
      <c r="BB25" s="244"/>
      <c r="BC25" s="243" t="str">
        <f>'Gen CP'!$F25</f>
        <v>Marcelo OJ</v>
      </c>
      <c r="BD25" s="244"/>
      <c r="BE25" s="243" t="str">
        <f>'Gen CP'!$F25</f>
        <v>Marcelo OJ</v>
      </c>
      <c r="BF25" s="244"/>
      <c r="BG25" s="243" t="str">
        <f>'Gen CP'!$F25</f>
        <v>Marcelo OJ</v>
      </c>
      <c r="BH25" s="244"/>
      <c r="BI25" s="152"/>
      <c r="BJ25" s="245"/>
      <c r="BK25" s="254" t="str">
        <f>'Gen CP'!$G25</f>
        <v>Sagnip M</v>
      </c>
      <c r="BL25" s="255"/>
      <c r="BM25" s="243" t="s">
        <v>412</v>
      </c>
      <c r="BN25" s="244"/>
      <c r="BO25" s="243" t="str">
        <f>'Gen CP'!$G25</f>
        <v>Sagnip M</v>
      </c>
      <c r="BP25" s="244"/>
      <c r="BQ25" s="243" t="str">
        <f>'Gen CP'!$G25</f>
        <v>Sagnip M</v>
      </c>
      <c r="BR25" s="244"/>
      <c r="BS25" s="243" t="str">
        <f>'Gen CP'!$G25</f>
        <v>Sagnip M</v>
      </c>
      <c r="BT25" s="244"/>
      <c r="BU25" s="152"/>
      <c r="BV25" s="245"/>
      <c r="BW25" s="243" t="str">
        <f>'Gen CP'!$H25</f>
        <v>Domingo V</v>
      </c>
      <c r="BX25" s="244"/>
      <c r="BY25" s="243" t="str">
        <f>'Gen CP'!$H25</f>
        <v>Domingo V</v>
      </c>
      <c r="BZ25" s="244"/>
      <c r="CA25" s="243" t="str">
        <f>'Gen CP'!$H25</f>
        <v>Domingo V</v>
      </c>
      <c r="CB25" s="244"/>
      <c r="CC25" s="243" t="str">
        <f>'Gen CP'!$H25</f>
        <v>Domingo V</v>
      </c>
      <c r="CD25" s="244"/>
      <c r="CE25" s="243" t="str">
        <f>'Gen CP'!$H25</f>
        <v>Domingo V</v>
      </c>
      <c r="CF25" s="244"/>
      <c r="CG25" s="152"/>
      <c r="CH25" s="245"/>
      <c r="CI25" s="243" t="str">
        <f>'Gen CP'!$I25</f>
        <v>Pascua I</v>
      </c>
      <c r="CJ25" s="244"/>
      <c r="CK25" s="243" t="str">
        <f>'Gen CP'!$I25</f>
        <v>Pascua I</v>
      </c>
      <c r="CL25" s="244"/>
      <c r="CM25" s="243" t="str">
        <f>'Gen CP'!$I25</f>
        <v>Pascua I</v>
      </c>
      <c r="CN25" s="244"/>
      <c r="CO25" s="243" t="str">
        <f>'Gen CP'!$I25</f>
        <v>Pascua I</v>
      </c>
      <c r="CP25" s="244"/>
      <c r="CQ25" s="243" t="str">
        <f>'Gen CP'!$I25</f>
        <v>Pascua I</v>
      </c>
      <c r="CR25" s="244"/>
      <c r="CS25" s="152"/>
      <c r="CT25" s="245"/>
      <c r="CU25" s="243" t="str">
        <f>'Gen CP'!$J25</f>
        <v>Coronel R</v>
      </c>
      <c r="CV25" s="244"/>
      <c r="CW25" s="243" t="str">
        <f>'Gen CP'!$J25</f>
        <v>Coronel R</v>
      </c>
      <c r="CX25" s="244"/>
      <c r="CY25" s="243" t="str">
        <f>'Gen CP'!$J25</f>
        <v>Coronel R</v>
      </c>
      <c r="CZ25" s="244"/>
      <c r="DA25" s="243" t="s">
        <v>412</v>
      </c>
      <c r="DB25" s="244"/>
      <c r="DC25" s="243" t="str">
        <f>'Gen CP'!$J25</f>
        <v>Coronel R</v>
      </c>
      <c r="DD25" s="244"/>
      <c r="DE25" s="152"/>
      <c r="DF25" s="245"/>
      <c r="DG25" s="243" t="str">
        <f>'Gen CP'!$K25</f>
        <v>Sarmiento F</v>
      </c>
      <c r="DH25" s="244"/>
      <c r="DI25" s="243" t="str">
        <f>'Gen CP'!$K25</f>
        <v>Sarmiento F</v>
      </c>
      <c r="DJ25" s="244"/>
      <c r="DK25" s="243" t="str">
        <f>'Gen CP'!$K25</f>
        <v>Sarmiento F</v>
      </c>
      <c r="DL25" s="244"/>
      <c r="DM25" s="243" t="str">
        <f>'Gen CP'!$K25</f>
        <v>Sarmiento F</v>
      </c>
      <c r="DN25" s="244"/>
      <c r="DO25" s="243" t="str">
        <f>'Gen CP'!$K25</f>
        <v>Sarmiento F</v>
      </c>
      <c r="DP25" s="244"/>
      <c r="DQ25" s="152"/>
      <c r="DR25" s="245"/>
      <c r="DS25" s="243" t="str">
        <f>'Gen CP'!$L25</f>
        <v>Lorenzana C</v>
      </c>
      <c r="DT25" s="244"/>
      <c r="DU25" s="243" t="str">
        <f>'Gen CP'!$L25</f>
        <v>Lorenzana C</v>
      </c>
      <c r="DV25" s="244"/>
      <c r="DW25" s="243" t="str">
        <f>'Gen CP'!$L25</f>
        <v>Lorenzana C</v>
      </c>
      <c r="DX25" s="244"/>
      <c r="DY25" s="243" t="str">
        <f>'Gen CP'!$L25</f>
        <v>Lorenzana C</v>
      </c>
      <c r="DZ25" s="244"/>
      <c r="EA25" s="243" t="str">
        <f>'Gen CP'!$L25</f>
        <v>Lorenzana C</v>
      </c>
      <c r="EB25" s="244"/>
      <c r="EC25" s="265"/>
      <c r="ED25" s="245"/>
      <c r="EE25" s="243">
        <f>'Gen CP'!$M25</f>
        <v>0</v>
      </c>
      <c r="EF25" s="244"/>
      <c r="EG25" s="243">
        <f>'Gen CP'!$M25</f>
        <v>0</v>
      </c>
      <c r="EH25" s="244"/>
      <c r="EI25" s="243">
        <f>'Gen CP'!$M25</f>
        <v>0</v>
      </c>
      <c r="EJ25" s="244"/>
      <c r="EK25" s="243">
        <f>'Gen CP'!$M25</f>
        <v>0</v>
      </c>
      <c r="EL25" s="244"/>
      <c r="EM25" s="243">
        <f>'Gen CP'!$M25</f>
        <v>0</v>
      </c>
      <c r="EN25" s="244"/>
      <c r="EO25" s="265"/>
      <c r="EP25" s="245"/>
      <c r="EQ25" s="264"/>
      <c r="ER25" s="264"/>
      <c r="ES25" s="264"/>
      <c r="ET25" s="264"/>
      <c r="EU25" s="264"/>
      <c r="EV25" s="264"/>
      <c r="EW25" s="264"/>
      <c r="EX25" s="264"/>
      <c r="EY25" s="264"/>
      <c r="EZ25" s="264"/>
      <c r="FA25" s="265"/>
      <c r="FB25" s="245"/>
      <c r="FC25" s="264"/>
      <c r="FD25" s="264"/>
      <c r="FE25" s="264"/>
      <c r="FF25" s="264"/>
      <c r="FG25" s="264"/>
      <c r="FH25" s="264"/>
      <c r="FI25" s="264"/>
      <c r="FJ25" s="264"/>
      <c r="FK25" s="264"/>
      <c r="FL25" s="264"/>
      <c r="FM25" s="265"/>
      <c r="FN25" s="245"/>
      <c r="FO25" s="264"/>
      <c r="FP25" s="264"/>
      <c r="FQ25" s="264"/>
      <c r="FR25" s="264"/>
      <c r="FS25" s="264"/>
      <c r="FT25" s="264"/>
      <c r="FU25" s="264"/>
      <c r="FV25" s="264"/>
      <c r="FW25" s="264"/>
      <c r="FX25" s="264"/>
      <c r="FY25" s="265"/>
      <c r="FZ25" s="245"/>
      <c r="GA25" s="264"/>
      <c r="GB25" s="264"/>
      <c r="GC25" s="264"/>
      <c r="GD25" s="264"/>
      <c r="GE25" s="264"/>
      <c r="GF25" s="264"/>
      <c r="GG25" s="264"/>
      <c r="GH25" s="264"/>
      <c r="GI25" s="264"/>
      <c r="GJ25" s="264"/>
    </row>
    <row r="26" spans="1:192">
      <c r="A26" s="117" t="s">
        <v>26</v>
      </c>
      <c r="B26" s="251" t="s">
        <v>305</v>
      </c>
      <c r="C26" s="252"/>
      <c r="D26" s="252"/>
      <c r="E26" s="252"/>
      <c r="F26" s="252"/>
      <c r="G26" s="252"/>
      <c r="H26" s="252"/>
      <c r="I26" s="252"/>
      <c r="J26" s="252"/>
      <c r="K26" s="252"/>
      <c r="L26" s="253"/>
      <c r="M26" s="117" t="s">
        <v>26</v>
      </c>
      <c r="N26" s="251" t="s">
        <v>305</v>
      </c>
      <c r="O26" s="252"/>
      <c r="P26" s="252"/>
      <c r="Q26" s="252"/>
      <c r="R26" s="252"/>
      <c r="S26" s="252"/>
      <c r="T26" s="252"/>
      <c r="U26" s="252"/>
      <c r="V26" s="252"/>
      <c r="W26" s="252"/>
      <c r="X26" s="253"/>
      <c r="Y26" s="117" t="s">
        <v>26</v>
      </c>
      <c r="Z26" s="251" t="s">
        <v>305</v>
      </c>
      <c r="AA26" s="252"/>
      <c r="AB26" s="252"/>
      <c r="AC26" s="252"/>
      <c r="AD26" s="252"/>
      <c r="AE26" s="252"/>
      <c r="AF26" s="252"/>
      <c r="AG26" s="252"/>
      <c r="AH26" s="252"/>
      <c r="AI26" s="252"/>
      <c r="AJ26" s="253"/>
      <c r="AK26" s="117" t="s">
        <v>26</v>
      </c>
      <c r="AL26" s="251" t="s">
        <v>305</v>
      </c>
      <c r="AM26" s="252"/>
      <c r="AN26" s="252"/>
      <c r="AO26" s="252"/>
      <c r="AP26" s="252"/>
      <c r="AQ26" s="252"/>
      <c r="AR26" s="252"/>
      <c r="AS26" s="252"/>
      <c r="AT26" s="252"/>
      <c r="AU26" s="252"/>
      <c r="AV26" s="253"/>
      <c r="AW26" s="117" t="s">
        <v>26</v>
      </c>
      <c r="AX26" s="251" t="s">
        <v>305</v>
      </c>
      <c r="AY26" s="252"/>
      <c r="AZ26" s="252"/>
      <c r="BA26" s="252"/>
      <c r="BB26" s="252"/>
      <c r="BC26" s="252"/>
      <c r="BD26" s="252"/>
      <c r="BE26" s="252"/>
      <c r="BF26" s="252"/>
      <c r="BG26" s="252"/>
      <c r="BH26" s="253"/>
      <c r="BI26" s="117" t="s">
        <v>26</v>
      </c>
      <c r="BJ26" s="251" t="s">
        <v>305</v>
      </c>
      <c r="BK26" s="252"/>
      <c r="BL26" s="252"/>
      <c r="BM26" s="252"/>
      <c r="BN26" s="252"/>
      <c r="BO26" s="252"/>
      <c r="BP26" s="252"/>
      <c r="BQ26" s="252"/>
      <c r="BR26" s="252"/>
      <c r="BS26" s="252"/>
      <c r="BT26" s="253"/>
      <c r="BU26" s="117" t="s">
        <v>26</v>
      </c>
      <c r="BV26" s="251" t="s">
        <v>305</v>
      </c>
      <c r="BW26" s="252"/>
      <c r="BX26" s="252"/>
      <c r="BY26" s="252"/>
      <c r="BZ26" s="252"/>
      <c r="CA26" s="252"/>
      <c r="CB26" s="252"/>
      <c r="CC26" s="252"/>
      <c r="CD26" s="252"/>
      <c r="CE26" s="252"/>
      <c r="CF26" s="253"/>
      <c r="CG26" s="117" t="s">
        <v>26</v>
      </c>
      <c r="CH26" s="251" t="s">
        <v>305</v>
      </c>
      <c r="CI26" s="252"/>
      <c r="CJ26" s="252"/>
      <c r="CK26" s="252"/>
      <c r="CL26" s="252"/>
      <c r="CM26" s="252"/>
      <c r="CN26" s="252"/>
      <c r="CO26" s="252"/>
      <c r="CP26" s="252"/>
      <c r="CQ26" s="252"/>
      <c r="CR26" s="253"/>
      <c r="CS26" s="117" t="s">
        <v>26</v>
      </c>
      <c r="CT26" s="251" t="s">
        <v>305</v>
      </c>
      <c r="CU26" s="252"/>
      <c r="CV26" s="252"/>
      <c r="CW26" s="252"/>
      <c r="CX26" s="252"/>
      <c r="CY26" s="252"/>
      <c r="CZ26" s="252"/>
      <c r="DA26" s="252"/>
      <c r="DB26" s="252"/>
      <c r="DC26" s="252"/>
      <c r="DD26" s="253"/>
      <c r="DE26" s="117" t="s">
        <v>26</v>
      </c>
      <c r="DF26" s="251" t="s">
        <v>305</v>
      </c>
      <c r="DG26" s="252"/>
      <c r="DH26" s="252"/>
      <c r="DI26" s="252"/>
      <c r="DJ26" s="252"/>
      <c r="DK26" s="252"/>
      <c r="DL26" s="252"/>
      <c r="DM26" s="252"/>
      <c r="DN26" s="252"/>
      <c r="DO26" s="252"/>
      <c r="DP26" s="253"/>
      <c r="DQ26" s="117" t="s">
        <v>26</v>
      </c>
      <c r="DR26" s="251" t="s">
        <v>305</v>
      </c>
      <c r="DS26" s="252"/>
      <c r="DT26" s="252"/>
      <c r="DU26" s="252"/>
      <c r="DV26" s="252"/>
      <c r="DW26" s="252"/>
      <c r="DX26" s="252"/>
      <c r="DY26" s="252"/>
      <c r="DZ26" s="252"/>
      <c r="EA26" s="252"/>
      <c r="EB26" s="253"/>
      <c r="EC26" s="117" t="s">
        <v>26</v>
      </c>
      <c r="ED26" s="251" t="s">
        <v>305</v>
      </c>
      <c r="EE26" s="252"/>
      <c r="EF26" s="252"/>
      <c r="EG26" s="252"/>
      <c r="EH26" s="252"/>
      <c r="EI26" s="252"/>
      <c r="EJ26" s="252"/>
      <c r="EK26" s="252"/>
      <c r="EL26" s="252"/>
      <c r="EM26" s="252"/>
      <c r="EN26" s="253"/>
      <c r="EO26" s="117"/>
      <c r="EP26" s="121"/>
      <c r="EQ26" s="120"/>
      <c r="ER26" s="120"/>
      <c r="ES26" s="120"/>
      <c r="ET26" s="120"/>
      <c r="EU26" s="115"/>
      <c r="EV26" s="116"/>
      <c r="EW26" s="120"/>
      <c r="EX26" s="120"/>
      <c r="EY26" s="120"/>
      <c r="EZ26" s="120"/>
      <c r="FA26" s="117"/>
      <c r="FB26" s="121"/>
      <c r="FC26" s="120"/>
      <c r="FD26" s="120"/>
      <c r="FE26" s="120"/>
      <c r="FF26" s="120"/>
      <c r="FG26" s="115"/>
      <c r="FH26" s="116"/>
      <c r="FI26" s="120"/>
      <c r="FJ26" s="120"/>
      <c r="FK26" s="120"/>
      <c r="FL26" s="120"/>
      <c r="FM26" s="117"/>
      <c r="FN26" s="121"/>
      <c r="FO26" s="120"/>
      <c r="FP26" s="120"/>
      <c r="FQ26" s="120"/>
      <c r="FR26" s="120"/>
      <c r="FS26" s="115"/>
      <c r="FT26" s="116"/>
      <c r="FU26" s="120"/>
      <c r="FV26" s="120"/>
      <c r="FW26" s="120"/>
      <c r="FX26" s="120"/>
      <c r="FY26" s="117"/>
      <c r="FZ26" s="121"/>
      <c r="GA26" s="243"/>
      <c r="GB26" s="273"/>
      <c r="GC26" s="273"/>
      <c r="GD26" s="273"/>
      <c r="GE26" s="273"/>
      <c r="GF26" s="273"/>
      <c r="GG26" s="273"/>
      <c r="GH26" s="273"/>
      <c r="GI26" s="273"/>
      <c r="GJ26" s="244"/>
    </row>
    <row r="27" spans="1:192" ht="15" customHeight="1">
      <c r="A27" s="164" t="s">
        <v>342</v>
      </c>
      <c r="B27" s="245"/>
      <c r="C27" s="264" t="str">
        <f>'Gen CP'!$B27</f>
        <v>Kom Pan</v>
      </c>
      <c r="D27" s="264"/>
      <c r="E27" s="264" t="str">
        <f>'Gen CP'!$B27</f>
        <v>Kom Pan</v>
      </c>
      <c r="F27" s="264"/>
      <c r="G27" s="264" t="str">
        <f>'Gen CP'!$B27</f>
        <v>Kom Pan</v>
      </c>
      <c r="H27" s="264"/>
      <c r="I27" s="264" t="str">
        <f>'Gen CP'!$B27</f>
        <v>Kom Pan</v>
      </c>
      <c r="J27" s="264"/>
      <c r="K27" s="264" t="str">
        <f>'Gen CP'!$B27</f>
        <v>Kom Pan</v>
      </c>
      <c r="L27" s="264"/>
      <c r="M27" s="164" t="s">
        <v>342</v>
      </c>
      <c r="N27" s="245" t="s">
        <v>51</v>
      </c>
      <c r="O27" s="243" t="str">
        <f>'Gen CP'!$C27</f>
        <v>Earth &amp; Life</v>
      </c>
      <c r="P27" s="244"/>
      <c r="Q27" s="243" t="str">
        <f>'Gen CP'!$C27</f>
        <v>Earth &amp; Life</v>
      </c>
      <c r="R27" s="244"/>
      <c r="S27" s="243" t="str">
        <f>'Gen CP'!$C27</f>
        <v>Earth &amp; Life</v>
      </c>
      <c r="T27" s="244"/>
      <c r="U27" s="243" t="str">
        <f>'Gen CP'!$C27</f>
        <v>Earth &amp; Life</v>
      </c>
      <c r="V27" s="244"/>
      <c r="W27" s="243" t="str">
        <f>'Gen CP'!$C27</f>
        <v>Earth &amp; Life</v>
      </c>
      <c r="X27" s="244"/>
      <c r="Y27" s="164" t="s">
        <v>342</v>
      </c>
      <c r="Z27" s="245"/>
      <c r="AA27" s="243" t="str">
        <f>'Gen CP'!$D27</f>
        <v>MIL</v>
      </c>
      <c r="AB27" s="244"/>
      <c r="AC27" s="243" t="str">
        <f>'Gen CP'!$D27</f>
        <v>MIL</v>
      </c>
      <c r="AD27" s="244"/>
      <c r="AE27" s="243" t="str">
        <f>'Gen CP'!$D27</f>
        <v>MIL</v>
      </c>
      <c r="AF27" s="244"/>
      <c r="AG27" s="243" t="str">
        <f>'Gen CP'!$D27</f>
        <v>MIL</v>
      </c>
      <c r="AH27" s="244"/>
      <c r="AI27" s="243" t="str">
        <f>'Gen CP'!$D27</f>
        <v>MIL</v>
      </c>
      <c r="AJ27" s="244"/>
      <c r="AK27" s="164" t="s">
        <v>342</v>
      </c>
      <c r="AL27" s="245"/>
      <c r="AM27" s="254" t="str">
        <f>'Gen CP'!$E27</f>
        <v>Emp Tech</v>
      </c>
      <c r="AN27" s="255"/>
      <c r="AO27" s="254" t="str">
        <f>'Gen CP'!$E27</f>
        <v>Emp Tech</v>
      </c>
      <c r="AP27" s="255"/>
      <c r="AQ27" s="254" t="str">
        <f>'Gen CP'!$E27</f>
        <v>Emp Tech</v>
      </c>
      <c r="AR27" s="255"/>
      <c r="AS27" s="254" t="str">
        <f>'Gen CP'!$E27</f>
        <v>Emp Tech</v>
      </c>
      <c r="AT27" s="255"/>
      <c r="AU27" s="254" t="str">
        <f>'Gen CP'!$E27</f>
        <v>Emp Tech</v>
      </c>
      <c r="AV27" s="255"/>
      <c r="AW27" s="164" t="s">
        <v>342</v>
      </c>
      <c r="AX27" s="245"/>
      <c r="AY27" s="243" t="str">
        <f>'Gen CP'!$F27</f>
        <v>Emp Tech</v>
      </c>
      <c r="AZ27" s="244"/>
      <c r="BA27" s="243" t="str">
        <f>'Gen CP'!$F27</f>
        <v>Emp Tech</v>
      </c>
      <c r="BB27" s="244"/>
      <c r="BC27" s="243" t="str">
        <f>'Gen CP'!$F27</f>
        <v>Emp Tech</v>
      </c>
      <c r="BD27" s="244"/>
      <c r="BE27" s="243" t="str">
        <f>'Gen CP'!$F27</f>
        <v>Emp Tech</v>
      </c>
      <c r="BF27" s="244"/>
      <c r="BG27" s="243" t="str">
        <f>'Gen CP'!$F27</f>
        <v>Emp Tech</v>
      </c>
      <c r="BH27" s="244"/>
      <c r="BI27" s="164" t="s">
        <v>342</v>
      </c>
      <c r="BJ27" s="245"/>
      <c r="BK27" s="243" t="str">
        <f>'Gen CP'!$G27</f>
        <v>Gen Math</v>
      </c>
      <c r="BL27" s="244"/>
      <c r="BM27" s="243" t="str">
        <f>'Gen CP'!$G27</f>
        <v>Gen Math</v>
      </c>
      <c r="BN27" s="244"/>
      <c r="BO27" s="243" t="str">
        <f>'Gen CP'!$G27</f>
        <v>Gen Math</v>
      </c>
      <c r="BP27" s="244"/>
      <c r="BQ27" s="243" t="str">
        <f>'Gen CP'!$G27</f>
        <v>Gen Math</v>
      </c>
      <c r="BR27" s="244"/>
      <c r="BS27" s="243" t="str">
        <f>'Gen CP'!$G27</f>
        <v>Gen Math</v>
      </c>
      <c r="BT27" s="244"/>
      <c r="BU27" s="164" t="s">
        <v>342</v>
      </c>
      <c r="BV27" s="245"/>
      <c r="BW27" s="254" t="str">
        <f>'Gen CP'!$H27</f>
        <v>Oral Com</v>
      </c>
      <c r="BX27" s="255"/>
      <c r="BY27" s="243" t="str">
        <f>'Gen CP'!$H27</f>
        <v>Oral Com</v>
      </c>
      <c r="BZ27" s="244"/>
      <c r="CA27" s="243" t="str">
        <f>'Gen CP'!$H27</f>
        <v>Oral Com</v>
      </c>
      <c r="CB27" s="244"/>
      <c r="CC27" s="243" t="str">
        <f>'Gen CP'!$H27</f>
        <v>Oral Com</v>
      </c>
      <c r="CD27" s="244"/>
      <c r="CE27" s="243" t="str">
        <f>'Gen CP'!$H27</f>
        <v>Oral Com</v>
      </c>
      <c r="CF27" s="244"/>
      <c r="CG27" s="164" t="s">
        <v>342</v>
      </c>
      <c r="CH27" s="245"/>
      <c r="CI27" s="246" t="str">
        <f>'Gen CP'!$I27</f>
        <v>Emp Tech</v>
      </c>
      <c r="CJ27" s="247"/>
      <c r="CK27" s="246" t="str">
        <f>'Gen CP'!$I27</f>
        <v>Emp Tech</v>
      </c>
      <c r="CL27" s="247"/>
      <c r="CM27" s="246" t="str">
        <f>'Gen CP'!$I27</f>
        <v>Emp Tech</v>
      </c>
      <c r="CN27" s="247"/>
      <c r="CO27" s="246" t="str">
        <f>'Gen CP'!$I27</f>
        <v>Emp Tech</v>
      </c>
      <c r="CP27" s="247"/>
      <c r="CQ27" s="246" t="str">
        <f>'Gen CP'!$I27</f>
        <v>Emp Tech</v>
      </c>
      <c r="CR27" s="247"/>
      <c r="CS27" s="164" t="s">
        <v>342</v>
      </c>
      <c r="CT27" s="245"/>
      <c r="CU27" s="259" t="str">
        <f>'Gen CP'!$J27</f>
        <v>Earth &amp; Life</v>
      </c>
      <c r="CV27" s="260"/>
      <c r="CW27" s="259" t="str">
        <f>'Gen CP'!$J27</f>
        <v>Earth &amp; Life</v>
      </c>
      <c r="CX27" s="260"/>
      <c r="CY27" s="259" t="str">
        <f>'Gen CP'!$J27</f>
        <v>Earth &amp; Life</v>
      </c>
      <c r="CZ27" s="260"/>
      <c r="DA27" s="259" t="str">
        <f>'Gen CP'!$J27</f>
        <v>Earth &amp; Life</v>
      </c>
      <c r="DB27" s="260"/>
      <c r="DC27" s="259" t="str">
        <f>'Gen CP'!$J27</f>
        <v>Earth &amp; Life</v>
      </c>
      <c r="DD27" s="260"/>
      <c r="DE27" s="164" t="s">
        <v>342</v>
      </c>
      <c r="DF27" s="245"/>
      <c r="DG27" s="243" t="str">
        <f>'Gen CP'!$K27</f>
        <v>Organ Man</v>
      </c>
      <c r="DH27" s="244"/>
      <c r="DI27" s="243" t="str">
        <f>'Gen CP'!$K27</f>
        <v>Organ Man</v>
      </c>
      <c r="DJ27" s="244"/>
      <c r="DK27" s="243" t="str">
        <f>'Gen CP'!$K27</f>
        <v>Organ Man</v>
      </c>
      <c r="DL27" s="244"/>
      <c r="DM27" s="243" t="str">
        <f>'Gen CP'!$K27</f>
        <v>Organ Man</v>
      </c>
      <c r="DN27" s="244"/>
      <c r="DO27" s="243" t="str">
        <f>'Gen CP'!$K27</f>
        <v>Organ Man</v>
      </c>
      <c r="DP27" s="244"/>
      <c r="DQ27" s="164" t="s">
        <v>342</v>
      </c>
      <c r="DR27" s="245"/>
      <c r="DS27" s="243" t="str">
        <f>'Gen CP'!$L27</f>
        <v>Kom Pan</v>
      </c>
      <c r="DT27" s="244"/>
      <c r="DU27" s="243" t="str">
        <f>'Gen CP'!$L27</f>
        <v>Kom Pan</v>
      </c>
      <c r="DV27" s="244"/>
      <c r="DW27" s="243" t="str">
        <f>'Gen CP'!$L27</f>
        <v>Kom Pan</v>
      </c>
      <c r="DX27" s="244"/>
      <c r="DY27" s="243" t="str">
        <f>'Gen CP'!$L27</f>
        <v>Kom Pan</v>
      </c>
      <c r="DZ27" s="244"/>
      <c r="EA27" s="243" t="str">
        <f>'Gen CP'!$L27</f>
        <v>Kom Pan</v>
      </c>
      <c r="EB27" s="244"/>
      <c r="EC27" s="265" t="s">
        <v>28</v>
      </c>
      <c r="ED27" s="245"/>
      <c r="EE27" s="243">
        <f>'Gen CP'!$M27</f>
        <v>0</v>
      </c>
      <c r="EF27" s="244"/>
      <c r="EG27" s="243">
        <f>'Gen CP'!$M27</f>
        <v>0</v>
      </c>
      <c r="EH27" s="244"/>
      <c r="EI27" s="243">
        <f>'Gen CP'!$M27</f>
        <v>0</v>
      </c>
      <c r="EJ27" s="244"/>
      <c r="EK27" s="243">
        <f>'Gen CP'!$M27</f>
        <v>0</v>
      </c>
      <c r="EL27" s="244"/>
      <c r="EM27" s="243">
        <f>'Gen CP'!$M27</f>
        <v>0</v>
      </c>
      <c r="EN27" s="244"/>
      <c r="EO27" s="265" t="s">
        <v>28</v>
      </c>
      <c r="EP27" s="245">
        <v>60</v>
      </c>
      <c r="EQ27" s="264"/>
      <c r="ER27" s="264"/>
      <c r="ES27" s="264"/>
      <c r="ET27" s="264"/>
      <c r="EU27" s="243"/>
      <c r="EV27" s="244"/>
      <c r="EW27" s="264"/>
      <c r="EX27" s="264"/>
      <c r="EY27" s="264"/>
      <c r="EZ27" s="264"/>
      <c r="FA27" s="265" t="s">
        <v>28</v>
      </c>
      <c r="FB27" s="245">
        <v>60</v>
      </c>
      <c r="FC27" s="264"/>
      <c r="FD27" s="264"/>
      <c r="FE27" s="264"/>
      <c r="FF27" s="264"/>
      <c r="FG27" s="243"/>
      <c r="FH27" s="244"/>
      <c r="FI27" s="264"/>
      <c r="FJ27" s="264"/>
      <c r="FK27" s="264"/>
      <c r="FL27" s="264"/>
      <c r="FM27" s="265" t="s">
        <v>28</v>
      </c>
      <c r="FN27" s="245">
        <v>60</v>
      </c>
      <c r="FO27" s="264"/>
      <c r="FP27" s="264"/>
      <c r="FQ27" s="264"/>
      <c r="FR27" s="264"/>
      <c r="FS27" s="243"/>
      <c r="FT27" s="244"/>
      <c r="FU27" s="264"/>
      <c r="FV27" s="264"/>
      <c r="FW27" s="264"/>
      <c r="FX27" s="264"/>
      <c r="FY27" s="265" t="s">
        <v>28</v>
      </c>
      <c r="FZ27" s="245"/>
      <c r="GA27" s="264"/>
      <c r="GB27" s="264"/>
      <c r="GC27" s="264"/>
      <c r="GD27" s="264"/>
      <c r="GE27" s="264"/>
      <c r="GF27" s="264"/>
      <c r="GG27" s="264"/>
      <c r="GH27" s="264"/>
      <c r="GI27" s="243"/>
      <c r="GJ27" s="244"/>
    </row>
    <row r="28" spans="1:192">
      <c r="A28" s="165"/>
      <c r="B28" s="245"/>
      <c r="C28" s="264" t="str">
        <f>'Gen CP'!$B28</f>
        <v>Aguilar EM</v>
      </c>
      <c r="D28" s="264"/>
      <c r="E28" s="264" t="str">
        <f>'Gen CP'!$B28</f>
        <v>Aguilar EM</v>
      </c>
      <c r="F28" s="264"/>
      <c r="G28" s="264" t="str">
        <f>'Gen CP'!$B28</f>
        <v>Aguilar EM</v>
      </c>
      <c r="H28" s="264"/>
      <c r="I28" s="264" t="str">
        <f>'Gen CP'!$B28</f>
        <v>Aguilar EM</v>
      </c>
      <c r="J28" s="264"/>
      <c r="K28" s="264" t="str">
        <f>'Gen CP'!$B28</f>
        <v>Aguilar EM</v>
      </c>
      <c r="L28" s="264"/>
      <c r="M28" s="165"/>
      <c r="N28" s="245"/>
      <c r="O28" s="243" t="str">
        <f>'Gen CP'!$C28</f>
        <v>Marcelo OJ</v>
      </c>
      <c r="P28" s="244"/>
      <c r="Q28" s="243" t="str">
        <f>'Gen CP'!$C28</f>
        <v>Marcelo OJ</v>
      </c>
      <c r="R28" s="244"/>
      <c r="S28" s="243" t="str">
        <f>'Gen CP'!$C28</f>
        <v>Marcelo OJ</v>
      </c>
      <c r="T28" s="244"/>
      <c r="U28" s="243" t="str">
        <f>'Gen CP'!$C28</f>
        <v>Marcelo OJ</v>
      </c>
      <c r="V28" s="244"/>
      <c r="W28" s="243" t="str">
        <f>'Gen CP'!$C28</f>
        <v>Marcelo OJ</v>
      </c>
      <c r="X28" s="244"/>
      <c r="Y28" s="165"/>
      <c r="Z28" s="245"/>
      <c r="AA28" s="243" t="str">
        <f>'Gen CP'!$D28</f>
        <v>Coronel R</v>
      </c>
      <c r="AB28" s="244"/>
      <c r="AC28" s="243" t="str">
        <f>'Gen CP'!$D28</f>
        <v>Coronel R</v>
      </c>
      <c r="AD28" s="244"/>
      <c r="AE28" s="243" t="str">
        <f>'Gen CP'!$D28</f>
        <v>Coronel R</v>
      </c>
      <c r="AF28" s="244"/>
      <c r="AG28" s="243" t="str">
        <f>'Gen CP'!$D28</f>
        <v>Coronel R</v>
      </c>
      <c r="AH28" s="244"/>
      <c r="AI28" s="243" t="str">
        <f>'Gen CP'!$D28</f>
        <v>Coronel R</v>
      </c>
      <c r="AJ28" s="244"/>
      <c r="AK28" s="165"/>
      <c r="AL28" s="245"/>
      <c r="AM28" s="254" t="str">
        <f>'Gen CP'!$E28</f>
        <v>Reyes D</v>
      </c>
      <c r="AN28" s="255"/>
      <c r="AO28" s="254" t="str">
        <f>'Gen CP'!$E28</f>
        <v>Reyes D</v>
      </c>
      <c r="AP28" s="255"/>
      <c r="AQ28" s="254" t="str">
        <f>'Gen CP'!$E28</f>
        <v>Reyes D</v>
      </c>
      <c r="AR28" s="255"/>
      <c r="AS28" s="254" t="str">
        <f>'Gen CP'!$E28</f>
        <v>Reyes D</v>
      </c>
      <c r="AT28" s="255"/>
      <c r="AU28" s="254" t="str">
        <f>'Gen CP'!$E28</f>
        <v>Reyes D</v>
      </c>
      <c r="AV28" s="255"/>
      <c r="AW28" s="165"/>
      <c r="AX28" s="245"/>
      <c r="AY28" s="243" t="str">
        <f>'Gen CP'!$F28</f>
        <v>Mercado R</v>
      </c>
      <c r="AZ28" s="244"/>
      <c r="BA28" s="243" t="str">
        <f>'Gen CP'!$F28</f>
        <v>Mercado R</v>
      </c>
      <c r="BB28" s="244"/>
      <c r="BC28" s="243" t="str">
        <f>'Gen CP'!$F28</f>
        <v>Mercado R</v>
      </c>
      <c r="BD28" s="244"/>
      <c r="BE28" s="243" t="str">
        <f>'Gen CP'!$F28</f>
        <v>Mercado R</v>
      </c>
      <c r="BF28" s="244"/>
      <c r="BG28" s="243" t="str">
        <f>'Gen CP'!$F28</f>
        <v>Mercado R</v>
      </c>
      <c r="BH28" s="244"/>
      <c r="BI28" s="165"/>
      <c r="BJ28" s="245"/>
      <c r="BK28" s="243" t="str">
        <f>'Gen CP'!$G28</f>
        <v>Domingo V</v>
      </c>
      <c r="BL28" s="244"/>
      <c r="BM28" s="243" t="str">
        <f>'Gen CP'!$G28</f>
        <v>Domingo V</v>
      </c>
      <c r="BN28" s="244"/>
      <c r="BO28" s="243" t="str">
        <f>'Gen CP'!$G28</f>
        <v>Domingo V</v>
      </c>
      <c r="BP28" s="244"/>
      <c r="BQ28" s="243" t="str">
        <f>'Gen CP'!$G28</f>
        <v>Domingo V</v>
      </c>
      <c r="BR28" s="244"/>
      <c r="BS28" s="243" t="str">
        <f>'Gen CP'!$G28</f>
        <v>Domingo V</v>
      </c>
      <c r="BT28" s="244"/>
      <c r="BU28" s="165"/>
      <c r="BV28" s="245"/>
      <c r="BW28" s="254" t="str">
        <f>'Gen CP'!$H28</f>
        <v>Sagnip M</v>
      </c>
      <c r="BX28" s="255"/>
      <c r="BY28" s="243" t="str">
        <f>'Gen CP'!$H28</f>
        <v>Sagnip M</v>
      </c>
      <c r="BZ28" s="244"/>
      <c r="CA28" s="243" t="str">
        <f>'Gen CP'!$H28</f>
        <v>Sagnip M</v>
      </c>
      <c r="CB28" s="244"/>
      <c r="CC28" s="243" t="str">
        <f>'Gen CP'!$H28</f>
        <v>Sagnip M</v>
      </c>
      <c r="CD28" s="244"/>
      <c r="CE28" s="243" t="str">
        <f>'Gen CP'!$H28</f>
        <v>Sagnip M</v>
      </c>
      <c r="CF28" s="244"/>
      <c r="CG28" s="165"/>
      <c r="CH28" s="245"/>
      <c r="CI28" s="246" t="str">
        <f>'Gen CP'!$I28</f>
        <v>Guerrero LG</v>
      </c>
      <c r="CJ28" s="247"/>
      <c r="CK28" s="246" t="str">
        <f>'Gen CP'!$I28</f>
        <v>Guerrero LG</v>
      </c>
      <c r="CL28" s="247"/>
      <c r="CM28" s="246" t="str">
        <f>'Gen CP'!$I28</f>
        <v>Guerrero LG</v>
      </c>
      <c r="CN28" s="247"/>
      <c r="CO28" s="246" t="str">
        <f>'Gen CP'!$I28</f>
        <v>Guerrero LG</v>
      </c>
      <c r="CP28" s="247"/>
      <c r="CQ28" s="246" t="str">
        <f>'Gen CP'!$I28</f>
        <v>Guerrero LG</v>
      </c>
      <c r="CR28" s="247"/>
      <c r="CS28" s="165"/>
      <c r="CT28" s="245"/>
      <c r="CU28" s="259" t="str">
        <f>'Gen CP'!$J28</f>
        <v>Almazan AD</v>
      </c>
      <c r="CV28" s="260"/>
      <c r="CW28" s="259" t="str">
        <f>'Gen CP'!$J28</f>
        <v>Almazan AD</v>
      </c>
      <c r="CX28" s="260"/>
      <c r="CY28" s="259" t="str">
        <f>'Gen CP'!$J28</f>
        <v>Almazan AD</v>
      </c>
      <c r="CZ28" s="260"/>
      <c r="DA28" s="259" t="str">
        <f>'Gen CP'!$J28</f>
        <v>Almazan AD</v>
      </c>
      <c r="DB28" s="260"/>
      <c r="DC28" s="259" t="str">
        <f>'Gen CP'!$J28</f>
        <v>Almazan AD</v>
      </c>
      <c r="DD28" s="260"/>
      <c r="DE28" s="165"/>
      <c r="DF28" s="245"/>
      <c r="DG28" s="243" t="str">
        <f>'Gen CP'!$K28</f>
        <v>Almadin H</v>
      </c>
      <c r="DH28" s="244"/>
      <c r="DI28" s="243" t="str">
        <f>'Gen CP'!$K28</f>
        <v>Almadin H</v>
      </c>
      <c r="DJ28" s="244"/>
      <c r="DK28" s="243" t="str">
        <f>'Gen CP'!$K28</f>
        <v>Almadin H</v>
      </c>
      <c r="DL28" s="244"/>
      <c r="DM28" s="243" t="str">
        <f>'Gen CP'!$K28</f>
        <v>Almadin H</v>
      </c>
      <c r="DN28" s="244"/>
      <c r="DO28" s="243" t="str">
        <f>'Gen CP'!$K28</f>
        <v>Almadin H</v>
      </c>
      <c r="DP28" s="244"/>
      <c r="DQ28" s="165"/>
      <c r="DR28" s="245"/>
      <c r="DS28" s="243" t="str">
        <f>'Gen CP'!$L28</f>
        <v>Pascua I</v>
      </c>
      <c r="DT28" s="244"/>
      <c r="DU28" s="243" t="str">
        <f>'Gen CP'!$L28</f>
        <v>Pascua I</v>
      </c>
      <c r="DV28" s="244"/>
      <c r="DW28" s="243" t="str">
        <f>'Gen CP'!$L28</f>
        <v>Pascua I</v>
      </c>
      <c r="DX28" s="244"/>
      <c r="DY28" s="243" t="str">
        <f>'Gen CP'!$L28</f>
        <v>Pascua I</v>
      </c>
      <c r="DZ28" s="244"/>
      <c r="EA28" s="243" t="str">
        <f>'Gen CP'!$L28</f>
        <v>Pascua I</v>
      </c>
      <c r="EB28" s="244"/>
      <c r="EC28" s="265"/>
      <c r="ED28" s="245"/>
      <c r="EE28" s="243">
        <f>'Gen CP'!$M28</f>
        <v>0</v>
      </c>
      <c r="EF28" s="244"/>
      <c r="EG28" s="243">
        <f>'Gen CP'!$M28</f>
        <v>0</v>
      </c>
      <c r="EH28" s="244"/>
      <c r="EI28" s="243">
        <f>'Gen CP'!$M28</f>
        <v>0</v>
      </c>
      <c r="EJ28" s="244"/>
      <c r="EK28" s="243">
        <f>'Gen CP'!$M28</f>
        <v>0</v>
      </c>
      <c r="EL28" s="244"/>
      <c r="EM28" s="243">
        <f>'Gen CP'!$M28</f>
        <v>0</v>
      </c>
      <c r="EN28" s="244"/>
      <c r="EO28" s="265"/>
      <c r="EP28" s="245"/>
      <c r="EQ28" s="264"/>
      <c r="ER28" s="264"/>
      <c r="ES28" s="264"/>
      <c r="ET28" s="264"/>
      <c r="EU28" s="264"/>
      <c r="EV28" s="264"/>
      <c r="EW28" s="264"/>
      <c r="EX28" s="264"/>
      <c r="EY28" s="264"/>
      <c r="EZ28" s="264"/>
      <c r="FA28" s="265"/>
      <c r="FB28" s="245"/>
      <c r="FC28" s="264"/>
      <c r="FD28" s="264"/>
      <c r="FE28" s="264"/>
      <c r="FF28" s="264"/>
      <c r="FG28" s="264"/>
      <c r="FH28" s="264"/>
      <c r="FI28" s="264"/>
      <c r="FJ28" s="264"/>
      <c r="FK28" s="264"/>
      <c r="FL28" s="264"/>
      <c r="FM28" s="265"/>
      <c r="FN28" s="245"/>
      <c r="FO28" s="264"/>
      <c r="FP28" s="264"/>
      <c r="FQ28" s="264"/>
      <c r="FR28" s="264"/>
      <c r="FS28" s="264"/>
      <c r="FT28" s="264"/>
      <c r="FU28" s="264"/>
      <c r="FV28" s="264"/>
      <c r="FW28" s="264"/>
      <c r="FX28" s="264"/>
      <c r="FY28" s="265"/>
      <c r="FZ28" s="245"/>
      <c r="GA28" s="264"/>
      <c r="GB28" s="264"/>
      <c r="GC28" s="264"/>
      <c r="GD28" s="264"/>
      <c r="GE28" s="264"/>
      <c r="GF28" s="264"/>
      <c r="GG28" s="264"/>
      <c r="GH28" s="264"/>
      <c r="GI28" s="243"/>
      <c r="GJ28" s="244"/>
    </row>
    <row r="29" spans="1:192" ht="15" customHeight="1">
      <c r="A29" s="164" t="s">
        <v>343</v>
      </c>
      <c r="B29" s="245"/>
      <c r="C29" s="264" t="str">
        <f>'Gen CP'!$B29</f>
        <v>Emp Tech</v>
      </c>
      <c r="D29" s="264"/>
      <c r="E29" s="264" t="str">
        <f>'Gen CP'!$B29</f>
        <v>Emp Tech</v>
      </c>
      <c r="F29" s="264"/>
      <c r="G29" s="264" t="str">
        <f>'Gen CP'!$B29</f>
        <v>Emp Tech</v>
      </c>
      <c r="H29" s="264"/>
      <c r="I29" s="264" t="str">
        <f>'Gen CP'!$B29</f>
        <v>Emp Tech</v>
      </c>
      <c r="J29" s="264"/>
      <c r="K29" s="264" t="str">
        <f>'Gen CP'!$B29</f>
        <v>Emp Tech</v>
      </c>
      <c r="L29" s="264"/>
      <c r="M29" s="164" t="s">
        <v>343</v>
      </c>
      <c r="N29" s="121"/>
      <c r="O29" s="243" t="str">
        <f>'Gen CP'!$C29</f>
        <v>Emp Tech</v>
      </c>
      <c r="P29" s="244"/>
      <c r="Q29" s="243" t="str">
        <f>'Gen CP'!$C29</f>
        <v>Emp Tech</v>
      </c>
      <c r="R29" s="244"/>
      <c r="S29" s="243" t="str">
        <f>'Gen CP'!$C29</f>
        <v>Emp Tech</v>
      </c>
      <c r="T29" s="244"/>
      <c r="U29" s="243" t="str">
        <f>'Gen CP'!$C29</f>
        <v>Emp Tech</v>
      </c>
      <c r="V29" s="244"/>
      <c r="W29" s="243" t="str">
        <f>'Gen CP'!$C29</f>
        <v>Emp Tech</v>
      </c>
      <c r="X29" s="244"/>
      <c r="Y29" s="164" t="s">
        <v>343</v>
      </c>
      <c r="Z29" s="245" t="s">
        <v>51</v>
      </c>
      <c r="AA29" s="259" t="str">
        <f>'Gen CP'!$D29</f>
        <v>Earth &amp; Life</v>
      </c>
      <c r="AB29" s="260"/>
      <c r="AC29" s="259" t="str">
        <f>'Gen CP'!$D29</f>
        <v>Earth &amp; Life</v>
      </c>
      <c r="AD29" s="260"/>
      <c r="AE29" s="259" t="str">
        <f>'Gen CP'!$D29</f>
        <v>Earth &amp; Life</v>
      </c>
      <c r="AF29" s="260"/>
      <c r="AG29" s="259" t="str">
        <f>'Gen CP'!$D29</f>
        <v>Earth &amp; Life</v>
      </c>
      <c r="AH29" s="260"/>
      <c r="AI29" s="259" t="str">
        <f>'Gen CP'!$D29</f>
        <v>Earth &amp; Life</v>
      </c>
      <c r="AJ29" s="260"/>
      <c r="AK29" s="164" t="s">
        <v>343</v>
      </c>
      <c r="AL29" s="245" t="s">
        <v>51</v>
      </c>
      <c r="AM29" s="243" t="str">
        <f>'Gen CP'!$E29</f>
        <v>Gen Math</v>
      </c>
      <c r="AN29" s="244"/>
      <c r="AO29" s="254" t="str">
        <f>'Gen CP'!$E29</f>
        <v>Gen Math</v>
      </c>
      <c r="AP29" s="255"/>
      <c r="AQ29" s="243" t="str">
        <f>'Gen CP'!$E29</f>
        <v>Gen Math</v>
      </c>
      <c r="AR29" s="244"/>
      <c r="AS29" s="243" t="str">
        <f>'Gen CP'!$E29</f>
        <v>Gen Math</v>
      </c>
      <c r="AT29" s="244"/>
      <c r="AU29" s="243" t="str">
        <f>'Gen CP'!$E29</f>
        <v>Gen Math</v>
      </c>
      <c r="AV29" s="244"/>
      <c r="AW29" s="164" t="s">
        <v>343</v>
      </c>
      <c r="AX29" s="245" t="s">
        <v>51</v>
      </c>
      <c r="AY29" s="243" t="str">
        <f>'Gen CP'!$F29</f>
        <v>MIL</v>
      </c>
      <c r="AZ29" s="244"/>
      <c r="BA29" s="243" t="str">
        <f>'Gen CP'!$F29</f>
        <v>MIL</v>
      </c>
      <c r="BB29" s="244"/>
      <c r="BC29" s="243" t="str">
        <f>'Gen CP'!$F29</f>
        <v>MIL</v>
      </c>
      <c r="BD29" s="244"/>
      <c r="BE29" s="243" t="str">
        <f>'Gen CP'!$F29</f>
        <v>MIL</v>
      </c>
      <c r="BF29" s="244"/>
      <c r="BG29" s="243" t="s">
        <v>312</v>
      </c>
      <c r="BH29" s="244"/>
      <c r="BI29" s="164" t="s">
        <v>343</v>
      </c>
      <c r="BJ29" s="245" t="s">
        <v>51</v>
      </c>
      <c r="BK29" s="243" t="str">
        <f>'Gen CP'!$G29</f>
        <v>Kom Pan</v>
      </c>
      <c r="BL29" s="244"/>
      <c r="BM29" s="243" t="str">
        <f>'Gen CP'!$G29</f>
        <v>Kom Pan</v>
      </c>
      <c r="BN29" s="244"/>
      <c r="BO29" s="243" t="str">
        <f>'Gen CP'!$G29</f>
        <v>Kom Pan</v>
      </c>
      <c r="BP29" s="244"/>
      <c r="BQ29" s="243" t="str">
        <f>'Gen CP'!$G29</f>
        <v>Kom Pan</v>
      </c>
      <c r="BR29" s="244"/>
      <c r="BS29" s="243" t="str">
        <f>'Gen CP'!$G29</f>
        <v>Kom Pan</v>
      </c>
      <c r="BT29" s="244"/>
      <c r="BU29" s="164" t="s">
        <v>343</v>
      </c>
      <c r="BV29" s="245" t="s">
        <v>51</v>
      </c>
      <c r="BW29" s="254" t="str">
        <f>'Gen CP'!$H29</f>
        <v>Kom Pan</v>
      </c>
      <c r="BX29" s="255"/>
      <c r="BY29" s="254" t="str">
        <f>'Gen CP'!$H29</f>
        <v>Kom Pan</v>
      </c>
      <c r="BZ29" s="255"/>
      <c r="CA29" s="243" t="str">
        <f>'Gen CP'!$H29</f>
        <v>Kom Pan</v>
      </c>
      <c r="CB29" s="244"/>
      <c r="CC29" s="243" t="str">
        <f>'Gen CP'!$H29</f>
        <v>Kom Pan</v>
      </c>
      <c r="CD29" s="244"/>
      <c r="CE29" s="243" t="s">
        <v>274</v>
      </c>
      <c r="CF29" s="244"/>
      <c r="CG29" s="164" t="s">
        <v>395</v>
      </c>
      <c r="CH29" s="245" t="s">
        <v>51</v>
      </c>
      <c r="CI29" s="243" t="str">
        <f>'Gen CP'!$I29</f>
        <v>UCSP</v>
      </c>
      <c r="CJ29" s="244"/>
      <c r="CK29" s="243" t="str">
        <f>'Gen CP'!$I29</f>
        <v>UCSP</v>
      </c>
      <c r="CL29" s="244"/>
      <c r="CM29" s="243" t="str">
        <f>'Gen CP'!$I29</f>
        <v>UCSP</v>
      </c>
      <c r="CN29" s="244"/>
      <c r="CO29" s="243" t="str">
        <f>'Gen CP'!$I29</f>
        <v>UCSP</v>
      </c>
      <c r="CP29" s="244"/>
      <c r="CQ29" s="243" t="str">
        <f>'Gen CP'!$I29</f>
        <v>UCSP</v>
      </c>
      <c r="CR29" s="244"/>
      <c r="CS29" s="164" t="s">
        <v>343</v>
      </c>
      <c r="CT29" s="245" t="s">
        <v>51</v>
      </c>
      <c r="CU29" s="243" t="str">
        <f>'Gen CP'!$J29</f>
        <v>UCSP</v>
      </c>
      <c r="CV29" s="244"/>
      <c r="CW29" s="243" t="str">
        <f>'Gen CP'!$J29</f>
        <v>UCSP</v>
      </c>
      <c r="CX29" s="244"/>
      <c r="CY29" s="243" t="str">
        <f>'Gen CP'!$J29</f>
        <v>UCSP</v>
      </c>
      <c r="CZ29" s="244"/>
      <c r="DA29" s="243" t="str">
        <f>'Gen CP'!$J29</f>
        <v>UCSP</v>
      </c>
      <c r="DB29" s="244"/>
      <c r="DC29" s="243" t="str">
        <f>'Gen CP'!$J29</f>
        <v>UCSP</v>
      </c>
      <c r="DD29" s="244"/>
      <c r="DE29" s="164" t="s">
        <v>343</v>
      </c>
      <c r="DF29" s="245" t="s">
        <v>51</v>
      </c>
      <c r="DG29" s="243" t="str">
        <f>'Gen CP'!$K29</f>
        <v>Oral Com</v>
      </c>
      <c r="DH29" s="244"/>
      <c r="DI29" s="243" t="str">
        <f>'Gen CP'!$K29</f>
        <v>Oral Com</v>
      </c>
      <c r="DJ29" s="244"/>
      <c r="DK29" s="243" t="str">
        <f>'Gen CP'!$K29</f>
        <v>Oral Com</v>
      </c>
      <c r="DL29" s="244"/>
      <c r="DM29" s="243" t="str">
        <f>'Gen CP'!$K29</f>
        <v>Oral Com</v>
      </c>
      <c r="DN29" s="244"/>
      <c r="DO29" s="243" t="str">
        <f>'Gen CP'!$K29</f>
        <v>Oral Com</v>
      </c>
      <c r="DP29" s="244"/>
      <c r="DQ29" s="164" t="s">
        <v>372</v>
      </c>
      <c r="DR29" s="245" t="s">
        <v>51</v>
      </c>
      <c r="DS29" s="243" t="str">
        <f>'Gen CP'!$L29</f>
        <v>Emp Tech</v>
      </c>
      <c r="DT29" s="244"/>
      <c r="DU29" s="243" t="str">
        <f>'Gen CP'!$L29</f>
        <v>Emp Tech</v>
      </c>
      <c r="DV29" s="244"/>
      <c r="DW29" s="243" t="str">
        <f>'Gen CP'!$L29</f>
        <v>Emp Tech</v>
      </c>
      <c r="DX29" s="244"/>
      <c r="DY29" s="243" t="str">
        <f>'Gen CP'!$L29</f>
        <v>Emp Tech</v>
      </c>
      <c r="DZ29" s="244"/>
      <c r="EA29" s="243" t="str">
        <f>'Gen CP'!$L29</f>
        <v>Emp Tech</v>
      </c>
      <c r="EB29" s="244"/>
      <c r="EC29" s="274" t="s">
        <v>29</v>
      </c>
      <c r="ED29" s="245" t="s">
        <v>51</v>
      </c>
      <c r="EE29" s="243">
        <f>'Gen CP'!$M29</f>
        <v>0</v>
      </c>
      <c r="EF29" s="244"/>
      <c r="EG29" s="243">
        <f>'Gen CP'!$M29</f>
        <v>0</v>
      </c>
      <c r="EH29" s="244"/>
      <c r="EI29" s="243">
        <f>'Gen CP'!$M29</f>
        <v>0</v>
      </c>
      <c r="EJ29" s="244"/>
      <c r="EK29" s="243">
        <f>'Gen CP'!$M29</f>
        <v>0</v>
      </c>
      <c r="EL29" s="244"/>
      <c r="EM29" s="243">
        <f>'Gen CP'!$M29</f>
        <v>0</v>
      </c>
      <c r="EN29" s="244"/>
      <c r="EO29" s="274" t="s">
        <v>29</v>
      </c>
      <c r="EP29" s="121"/>
      <c r="EQ29" s="243"/>
      <c r="ER29" s="244"/>
      <c r="ES29" s="115"/>
      <c r="ET29" s="116"/>
      <c r="EU29" s="243"/>
      <c r="EV29" s="244"/>
      <c r="EW29" s="243"/>
      <c r="EX29" s="244"/>
      <c r="EY29" s="276" t="s">
        <v>315</v>
      </c>
      <c r="EZ29" s="277"/>
      <c r="FA29" s="274" t="s">
        <v>29</v>
      </c>
      <c r="FB29" s="121"/>
      <c r="FC29" s="243"/>
      <c r="FD29" s="244"/>
      <c r="FE29" s="115"/>
      <c r="FF29" s="116"/>
      <c r="FG29" s="243"/>
      <c r="FH29" s="244"/>
      <c r="FI29" s="243"/>
      <c r="FJ29" s="244"/>
      <c r="FK29" s="276" t="s">
        <v>315</v>
      </c>
      <c r="FL29" s="277"/>
      <c r="FM29" s="274" t="s">
        <v>29</v>
      </c>
      <c r="FN29" s="121"/>
      <c r="FO29" s="243"/>
      <c r="FP29" s="244"/>
      <c r="FQ29" s="115"/>
      <c r="FR29" s="116"/>
      <c r="FS29" s="243"/>
      <c r="FT29" s="244"/>
      <c r="FU29" s="243"/>
      <c r="FV29" s="244"/>
      <c r="FW29" s="276" t="s">
        <v>315</v>
      </c>
      <c r="FX29" s="277"/>
      <c r="FY29" s="274" t="s">
        <v>29</v>
      </c>
      <c r="FZ29" s="245"/>
      <c r="GA29" s="243"/>
      <c r="GB29" s="244"/>
      <c r="GC29" s="243"/>
      <c r="GD29" s="244"/>
      <c r="GE29" s="243"/>
      <c r="GF29" s="244"/>
      <c r="GG29" s="243"/>
      <c r="GH29" s="244"/>
      <c r="GI29" s="276"/>
      <c r="GJ29" s="277"/>
    </row>
    <row r="30" spans="1:192">
      <c r="A30" s="165"/>
      <c r="B30" s="245"/>
      <c r="C30" s="264" t="str">
        <f>'Gen CP'!$B30</f>
        <v>Mercado R</v>
      </c>
      <c r="D30" s="264"/>
      <c r="E30" s="264" t="str">
        <f>'Gen CP'!$B30</f>
        <v>Mercado R</v>
      </c>
      <c r="F30" s="264"/>
      <c r="G30" s="264" t="str">
        <f>'Gen CP'!$B30</f>
        <v>Mercado R</v>
      </c>
      <c r="H30" s="264"/>
      <c r="I30" s="264" t="str">
        <f>'Gen CP'!$B30</f>
        <v>Mercado R</v>
      </c>
      <c r="J30" s="264"/>
      <c r="K30" s="264" t="str">
        <f>'Gen CP'!$B30</f>
        <v>Mercado R</v>
      </c>
      <c r="L30" s="264"/>
      <c r="M30" s="165"/>
      <c r="N30" s="121"/>
      <c r="O30" s="243" t="str">
        <f>'Gen CP'!$C30</f>
        <v>Guerrero LG</v>
      </c>
      <c r="P30" s="244"/>
      <c r="Q30" s="243" t="str">
        <f>'Gen CP'!$C30</f>
        <v>Guerrero LG</v>
      </c>
      <c r="R30" s="244"/>
      <c r="S30" s="243" t="str">
        <f>'Gen CP'!$C30</f>
        <v>Guerrero LG</v>
      </c>
      <c r="T30" s="244"/>
      <c r="U30" s="243" t="str">
        <f>'Gen CP'!$C30</f>
        <v>Guerrero LG</v>
      </c>
      <c r="V30" s="244"/>
      <c r="W30" s="243" t="str">
        <f>'Gen CP'!$C30</f>
        <v>Guerrero LG</v>
      </c>
      <c r="X30" s="244"/>
      <c r="Y30" s="165"/>
      <c r="Z30" s="245"/>
      <c r="AA30" s="259" t="str">
        <f>'Gen CP'!$D30</f>
        <v>Almazan AD</v>
      </c>
      <c r="AB30" s="260"/>
      <c r="AC30" s="259" t="str">
        <f>'Gen CP'!$D30</f>
        <v>Almazan AD</v>
      </c>
      <c r="AD30" s="260"/>
      <c r="AE30" s="259" t="str">
        <f>'Gen CP'!$D30</f>
        <v>Almazan AD</v>
      </c>
      <c r="AF30" s="260"/>
      <c r="AG30" s="259" t="str">
        <f>'Gen CP'!$D30</f>
        <v>Almazan AD</v>
      </c>
      <c r="AH30" s="260"/>
      <c r="AI30" s="259" t="str">
        <f>'Gen CP'!$D30</f>
        <v>Almazan AD</v>
      </c>
      <c r="AJ30" s="260"/>
      <c r="AK30" s="165"/>
      <c r="AL30" s="245"/>
      <c r="AM30" s="243" t="str">
        <f>'Gen CP'!$E30</f>
        <v>Lorenzana C</v>
      </c>
      <c r="AN30" s="244"/>
      <c r="AO30" s="254" t="str">
        <f>'Gen CP'!$E30</f>
        <v>Lorenzana C</v>
      </c>
      <c r="AP30" s="255"/>
      <c r="AQ30" s="243" t="str">
        <f>'Gen CP'!$E30</f>
        <v>Lorenzana C</v>
      </c>
      <c r="AR30" s="244"/>
      <c r="AS30" s="243" t="str">
        <f>'Gen CP'!$E30</f>
        <v>Lorenzana C</v>
      </c>
      <c r="AT30" s="244"/>
      <c r="AU30" s="243" t="str">
        <f>'Gen CP'!$E30</f>
        <v>Lorenzana C</v>
      </c>
      <c r="AV30" s="244"/>
      <c r="AW30" s="165"/>
      <c r="AX30" s="245"/>
      <c r="AY30" s="243" t="str">
        <f>'Gen CP'!$F30</f>
        <v>Coronel R</v>
      </c>
      <c r="AZ30" s="244"/>
      <c r="BA30" s="243" t="str">
        <f>'Gen CP'!$F30</f>
        <v>Coronel R</v>
      </c>
      <c r="BB30" s="244"/>
      <c r="BC30" s="243" t="str">
        <f>'Gen CP'!$F30</f>
        <v>Coronel R</v>
      </c>
      <c r="BD30" s="244"/>
      <c r="BE30" s="243" t="str">
        <f>'Gen CP'!$F30</f>
        <v>Coronel R</v>
      </c>
      <c r="BF30" s="244"/>
      <c r="BG30" s="243" t="s">
        <v>280</v>
      </c>
      <c r="BH30" s="244"/>
      <c r="BI30" s="165"/>
      <c r="BJ30" s="245"/>
      <c r="BK30" s="243" t="str">
        <f>'Gen CP'!$G30</f>
        <v>Pascua I</v>
      </c>
      <c r="BL30" s="244"/>
      <c r="BM30" s="243" t="str">
        <f>'Gen CP'!$G30</f>
        <v>Pascua I</v>
      </c>
      <c r="BN30" s="244"/>
      <c r="BO30" s="243" t="str">
        <f>'Gen CP'!$G30</f>
        <v>Pascua I</v>
      </c>
      <c r="BP30" s="244"/>
      <c r="BQ30" s="243" t="str">
        <f>'Gen CP'!$G30</f>
        <v>Pascua I</v>
      </c>
      <c r="BR30" s="244"/>
      <c r="BS30" s="243" t="str">
        <f>'Gen CP'!$G30</f>
        <v>Pascua I</v>
      </c>
      <c r="BT30" s="244"/>
      <c r="BU30" s="165"/>
      <c r="BV30" s="245"/>
      <c r="BW30" s="254" t="str">
        <f>'Gen CP'!$H30</f>
        <v>Aguilar EM</v>
      </c>
      <c r="BX30" s="255"/>
      <c r="BY30" s="254" t="str">
        <f>'Gen CP'!$H30</f>
        <v>Aguilar EM</v>
      </c>
      <c r="BZ30" s="255"/>
      <c r="CA30" s="243" t="str">
        <f>'Gen CP'!$H30</f>
        <v>Aguilar EM</v>
      </c>
      <c r="CB30" s="244"/>
      <c r="CC30" s="243" t="str">
        <f>'Gen CP'!$H30</f>
        <v>Aguilar EM</v>
      </c>
      <c r="CD30" s="244"/>
      <c r="CE30" s="243" t="s">
        <v>347</v>
      </c>
      <c r="CF30" s="244"/>
      <c r="CG30" s="165"/>
      <c r="CH30" s="245"/>
      <c r="CI30" s="243" t="str">
        <f>'Gen CP'!$I30</f>
        <v>Mamaid MC</v>
      </c>
      <c r="CJ30" s="244"/>
      <c r="CK30" s="243" t="str">
        <f>'Gen CP'!$I30</f>
        <v>Mamaid MC</v>
      </c>
      <c r="CL30" s="244"/>
      <c r="CM30" s="243" t="str">
        <f>'Gen CP'!$I30</f>
        <v>Mamaid MC</v>
      </c>
      <c r="CN30" s="244"/>
      <c r="CO30" s="243" t="str">
        <f>'Gen CP'!$I30</f>
        <v>Mamaid MC</v>
      </c>
      <c r="CP30" s="244"/>
      <c r="CQ30" s="243" t="str">
        <f>'Gen CP'!$I30</f>
        <v>Mamaid MC</v>
      </c>
      <c r="CR30" s="244"/>
      <c r="CS30" s="165"/>
      <c r="CT30" s="245"/>
      <c r="CU30" s="243" t="str">
        <f>'Gen CP'!$J30</f>
        <v>Estrella R</v>
      </c>
      <c r="CV30" s="244"/>
      <c r="CW30" s="243" t="str">
        <f>'Gen CP'!$J30</f>
        <v>Estrella R</v>
      </c>
      <c r="CX30" s="244"/>
      <c r="CY30" s="243" t="str">
        <f>'Gen CP'!$J30</f>
        <v>Estrella R</v>
      </c>
      <c r="CZ30" s="244"/>
      <c r="DA30" s="243" t="str">
        <f>'Gen CP'!$J30</f>
        <v>Estrella R</v>
      </c>
      <c r="DB30" s="244"/>
      <c r="DC30" s="243" t="str">
        <f>'Gen CP'!$J30</f>
        <v>Estrella R</v>
      </c>
      <c r="DD30" s="244"/>
      <c r="DE30" s="165"/>
      <c r="DF30" s="245"/>
      <c r="DG30" s="243" t="str">
        <f>'Gen CP'!$K30</f>
        <v>Tamondong A</v>
      </c>
      <c r="DH30" s="244"/>
      <c r="DI30" s="243" t="str">
        <f>'Gen CP'!$K30</f>
        <v>Tamondong A</v>
      </c>
      <c r="DJ30" s="244"/>
      <c r="DK30" s="243" t="str">
        <f>'Gen CP'!$K30</f>
        <v>Tamondong A</v>
      </c>
      <c r="DL30" s="244"/>
      <c r="DM30" s="243" t="str">
        <f>'Gen CP'!$K30</f>
        <v>Tamondong A</v>
      </c>
      <c r="DN30" s="244"/>
      <c r="DO30" s="243" t="str">
        <f>'Gen CP'!$K30</f>
        <v>Tamondong A</v>
      </c>
      <c r="DP30" s="244"/>
      <c r="DQ30" s="165"/>
      <c r="DR30" s="245"/>
      <c r="DS30" s="243" t="str">
        <f>'Gen CP'!$L30</f>
        <v>Reyes D</v>
      </c>
      <c r="DT30" s="244"/>
      <c r="DU30" s="243" t="str">
        <f>'Gen CP'!$L30</f>
        <v>Reyes D</v>
      </c>
      <c r="DV30" s="244"/>
      <c r="DW30" s="243" t="str">
        <f>'Gen CP'!$L30</f>
        <v>Reyes D</v>
      </c>
      <c r="DX30" s="244"/>
      <c r="DY30" s="243" t="str">
        <f>'Gen CP'!$L30</f>
        <v>Reyes D</v>
      </c>
      <c r="DZ30" s="244"/>
      <c r="EA30" s="243" t="str">
        <f>'Gen CP'!$L30</f>
        <v>Reyes D</v>
      </c>
      <c r="EB30" s="244"/>
      <c r="EC30" s="275"/>
      <c r="ED30" s="245"/>
      <c r="EE30" s="243">
        <f>'Gen CP'!$M30</f>
        <v>0</v>
      </c>
      <c r="EF30" s="244"/>
      <c r="EG30" s="243">
        <f>'Gen CP'!$M30</f>
        <v>0</v>
      </c>
      <c r="EH30" s="244"/>
      <c r="EI30" s="243">
        <f>'Gen CP'!$M30</f>
        <v>0</v>
      </c>
      <c r="EJ30" s="244"/>
      <c r="EK30" s="243">
        <f>'Gen CP'!$M30</f>
        <v>0</v>
      </c>
      <c r="EL30" s="244"/>
      <c r="EM30" s="243">
        <f>'Gen CP'!$M30</f>
        <v>0</v>
      </c>
      <c r="EN30" s="244"/>
      <c r="EO30" s="275"/>
      <c r="EP30" s="121"/>
      <c r="EQ30" s="243"/>
      <c r="ER30" s="244"/>
      <c r="ES30" s="115"/>
      <c r="ET30" s="116"/>
      <c r="EU30" s="243"/>
      <c r="EV30" s="244"/>
      <c r="EW30" s="243"/>
      <c r="EX30" s="244"/>
      <c r="EY30" s="278"/>
      <c r="EZ30" s="279"/>
      <c r="FA30" s="275"/>
      <c r="FB30" s="121"/>
      <c r="FC30" s="243"/>
      <c r="FD30" s="244"/>
      <c r="FE30" s="115"/>
      <c r="FF30" s="116"/>
      <c r="FG30" s="243"/>
      <c r="FH30" s="244"/>
      <c r="FI30" s="243"/>
      <c r="FJ30" s="244"/>
      <c r="FK30" s="278"/>
      <c r="FL30" s="279"/>
      <c r="FM30" s="275"/>
      <c r="FN30" s="121"/>
      <c r="FO30" s="243"/>
      <c r="FP30" s="244"/>
      <c r="FQ30" s="115"/>
      <c r="FR30" s="116"/>
      <c r="FS30" s="243"/>
      <c r="FT30" s="244"/>
      <c r="FU30" s="243"/>
      <c r="FV30" s="244"/>
      <c r="FW30" s="278"/>
      <c r="FX30" s="279"/>
      <c r="FY30" s="275"/>
      <c r="FZ30" s="245"/>
      <c r="GA30" s="243"/>
      <c r="GB30" s="244"/>
      <c r="GC30" s="243"/>
      <c r="GD30" s="244"/>
      <c r="GE30" s="243"/>
      <c r="GF30" s="244"/>
      <c r="GG30" s="243"/>
      <c r="GH30" s="244"/>
      <c r="GI30" s="278"/>
      <c r="GJ30" s="279"/>
    </row>
    <row r="31" spans="1:192" ht="15" customHeight="1">
      <c r="A31" s="119" t="s">
        <v>390</v>
      </c>
      <c r="B31" s="301" t="s">
        <v>179</v>
      </c>
      <c r="C31" s="302"/>
      <c r="D31" s="302"/>
      <c r="E31" s="302"/>
      <c r="F31" s="302"/>
      <c r="G31" s="302"/>
      <c r="H31" s="302"/>
      <c r="I31" s="302"/>
      <c r="J31" s="302"/>
      <c r="K31" s="302"/>
      <c r="L31" s="303"/>
      <c r="M31" s="119" t="s">
        <v>390</v>
      </c>
      <c r="N31" s="251" t="s">
        <v>179</v>
      </c>
      <c r="O31" s="252"/>
      <c r="P31" s="252"/>
      <c r="Q31" s="252"/>
      <c r="R31" s="252"/>
      <c r="S31" s="252"/>
      <c r="T31" s="252"/>
      <c r="U31" s="252"/>
      <c r="V31" s="252"/>
      <c r="W31" s="252"/>
      <c r="X31" s="253"/>
      <c r="Y31" s="119" t="s">
        <v>390</v>
      </c>
      <c r="Z31" s="251" t="s">
        <v>179</v>
      </c>
      <c r="AA31" s="252"/>
      <c r="AB31" s="252"/>
      <c r="AC31" s="252"/>
      <c r="AD31" s="252"/>
      <c r="AE31" s="252"/>
      <c r="AF31" s="252"/>
      <c r="AG31" s="252"/>
      <c r="AH31" s="252"/>
      <c r="AI31" s="252"/>
      <c r="AJ31" s="253"/>
      <c r="AK31" s="119" t="s">
        <v>390</v>
      </c>
      <c r="AL31" s="251" t="s">
        <v>179</v>
      </c>
      <c r="AM31" s="252"/>
      <c r="AN31" s="252"/>
      <c r="AO31" s="252"/>
      <c r="AP31" s="252"/>
      <c r="AQ31" s="252"/>
      <c r="AR31" s="252"/>
      <c r="AS31" s="252"/>
      <c r="AT31" s="252"/>
      <c r="AU31" s="252"/>
      <c r="AV31" s="253"/>
      <c r="AW31" s="119" t="s">
        <v>390</v>
      </c>
      <c r="AX31" s="251" t="s">
        <v>179</v>
      </c>
      <c r="AY31" s="252"/>
      <c r="AZ31" s="252"/>
      <c r="BA31" s="252"/>
      <c r="BB31" s="252"/>
      <c r="BC31" s="252"/>
      <c r="BD31" s="252"/>
      <c r="BE31" s="252"/>
      <c r="BF31" s="252"/>
      <c r="BG31" s="252"/>
      <c r="BH31" s="253"/>
      <c r="BI31" s="119" t="s">
        <v>390</v>
      </c>
      <c r="BJ31" s="251" t="s">
        <v>179</v>
      </c>
      <c r="BK31" s="252"/>
      <c r="BL31" s="252"/>
      <c r="BM31" s="252"/>
      <c r="BN31" s="252"/>
      <c r="BO31" s="252"/>
      <c r="BP31" s="252"/>
      <c r="BQ31" s="252"/>
      <c r="BR31" s="252"/>
      <c r="BS31" s="252"/>
      <c r="BT31" s="253"/>
      <c r="BU31" s="119" t="s">
        <v>390</v>
      </c>
      <c r="BV31" s="251" t="s">
        <v>179</v>
      </c>
      <c r="BW31" s="252"/>
      <c r="BX31" s="252"/>
      <c r="BY31" s="252"/>
      <c r="BZ31" s="252"/>
      <c r="CA31" s="252"/>
      <c r="CB31" s="252"/>
      <c r="CC31" s="252"/>
      <c r="CD31" s="252"/>
      <c r="CE31" s="252"/>
      <c r="CF31" s="253"/>
      <c r="CG31" s="119" t="s">
        <v>336</v>
      </c>
      <c r="CH31" s="251" t="s">
        <v>179</v>
      </c>
      <c r="CI31" s="252"/>
      <c r="CJ31" s="252"/>
      <c r="CK31" s="252"/>
      <c r="CL31" s="252"/>
      <c r="CM31" s="252"/>
      <c r="CN31" s="252"/>
      <c r="CO31" s="252"/>
      <c r="CP31" s="252"/>
      <c r="CQ31" s="252"/>
      <c r="CR31" s="253"/>
      <c r="CS31" s="119" t="s">
        <v>336</v>
      </c>
      <c r="CT31" s="251" t="s">
        <v>179</v>
      </c>
      <c r="CU31" s="252"/>
      <c r="CV31" s="252"/>
      <c r="CW31" s="252"/>
      <c r="CX31" s="252"/>
      <c r="CY31" s="252"/>
      <c r="CZ31" s="252"/>
      <c r="DA31" s="252"/>
      <c r="DB31" s="252"/>
      <c r="DC31" s="252"/>
      <c r="DD31" s="253"/>
      <c r="DE31" s="119" t="s">
        <v>336</v>
      </c>
      <c r="DF31" s="251" t="s">
        <v>179</v>
      </c>
      <c r="DG31" s="252"/>
      <c r="DH31" s="252"/>
      <c r="DI31" s="252"/>
      <c r="DJ31" s="252"/>
      <c r="DK31" s="252"/>
      <c r="DL31" s="252"/>
      <c r="DM31" s="252"/>
      <c r="DN31" s="252"/>
      <c r="DO31" s="252"/>
      <c r="DP31" s="253"/>
      <c r="DQ31" s="119" t="s">
        <v>390</v>
      </c>
      <c r="DR31" s="251" t="s">
        <v>179</v>
      </c>
      <c r="DS31" s="252"/>
      <c r="DT31" s="252"/>
      <c r="DU31" s="252"/>
      <c r="DV31" s="252"/>
      <c r="DW31" s="252"/>
      <c r="DX31" s="252"/>
      <c r="DY31" s="252"/>
      <c r="DZ31" s="252"/>
      <c r="EA31" s="252"/>
      <c r="EB31" s="253"/>
      <c r="EC31" s="119" t="s">
        <v>336</v>
      </c>
      <c r="ED31" s="251" t="s">
        <v>179</v>
      </c>
      <c r="EE31" s="252"/>
      <c r="EF31" s="252"/>
      <c r="EG31" s="252"/>
      <c r="EH31" s="252"/>
      <c r="EI31" s="252"/>
      <c r="EJ31" s="252"/>
      <c r="EK31" s="252"/>
      <c r="EL31" s="253"/>
      <c r="EM31" s="267" t="s">
        <v>339</v>
      </c>
      <c r="EN31" s="268"/>
      <c r="EO31" s="119"/>
      <c r="EP31" s="121"/>
      <c r="EQ31" s="115"/>
      <c r="ER31" s="116"/>
      <c r="ES31" s="115"/>
      <c r="ET31" s="116"/>
      <c r="EU31" s="115"/>
      <c r="EV31" s="116"/>
      <c r="EW31" s="115"/>
      <c r="EX31" s="116"/>
      <c r="EY31" s="278"/>
      <c r="EZ31" s="279"/>
      <c r="FA31" s="119"/>
      <c r="FB31" s="121"/>
      <c r="FC31" s="115"/>
      <c r="FD31" s="116"/>
      <c r="FE31" s="115"/>
      <c r="FF31" s="116"/>
      <c r="FG31" s="115"/>
      <c r="FH31" s="116"/>
      <c r="FI31" s="115"/>
      <c r="FJ31" s="116"/>
      <c r="FK31" s="278"/>
      <c r="FL31" s="279"/>
      <c r="FM31" s="119"/>
      <c r="FN31" s="121"/>
      <c r="FO31" s="115"/>
      <c r="FP31" s="116"/>
      <c r="FQ31" s="115"/>
      <c r="FR31" s="116"/>
      <c r="FS31" s="115"/>
      <c r="FT31" s="116"/>
      <c r="FU31" s="115"/>
      <c r="FV31" s="116"/>
      <c r="FW31" s="278"/>
      <c r="FX31" s="279"/>
      <c r="FY31" s="119"/>
      <c r="FZ31" s="121"/>
      <c r="GA31" s="115"/>
      <c r="GB31" s="116"/>
      <c r="GC31" s="115"/>
      <c r="GD31" s="116"/>
      <c r="GE31" s="115"/>
      <c r="GF31" s="116"/>
      <c r="GG31" s="115"/>
      <c r="GH31" s="116"/>
      <c r="GI31" s="278"/>
      <c r="GJ31" s="279"/>
    </row>
    <row r="32" spans="1:192" ht="15" customHeight="1">
      <c r="A32" s="294" t="s">
        <v>29</v>
      </c>
      <c r="B32" s="245"/>
      <c r="C32" s="264" t="str">
        <f>'Gen CP'!$B32</f>
        <v>Oral Com</v>
      </c>
      <c r="D32" s="264"/>
      <c r="E32" s="264" t="str">
        <f>'Gen CP'!$B32</f>
        <v>Oral Com</v>
      </c>
      <c r="F32" s="264"/>
      <c r="G32" s="264" t="str">
        <f>'Gen CP'!$B32</f>
        <v>Oral Com</v>
      </c>
      <c r="H32" s="264"/>
      <c r="I32" s="264" t="str">
        <f>'Gen CP'!$B32</f>
        <v>Oral Com</v>
      </c>
      <c r="J32" s="264"/>
      <c r="K32" s="289" t="str">
        <f>K14</f>
        <v>Earth Science</v>
      </c>
      <c r="L32" s="290"/>
      <c r="M32" s="137" t="s">
        <v>29</v>
      </c>
      <c r="N32" s="245" t="s">
        <v>51</v>
      </c>
      <c r="O32" s="243" t="str">
        <f>'Gen CP'!$C32</f>
        <v>Oral Com</v>
      </c>
      <c r="P32" s="244"/>
      <c r="Q32" s="243" t="str">
        <f>'Gen CP'!$C32</f>
        <v>Oral Com</v>
      </c>
      <c r="R32" s="244"/>
      <c r="S32" s="243" t="str">
        <f>'Gen CP'!$C32</f>
        <v>Oral Com</v>
      </c>
      <c r="T32" s="244"/>
      <c r="U32" s="243" t="str">
        <f>'Gen CP'!$C32</f>
        <v>Oral Com</v>
      </c>
      <c r="V32" s="244"/>
      <c r="W32" s="289" t="str">
        <f>W14</f>
        <v>MIL</v>
      </c>
      <c r="X32" s="290"/>
      <c r="Y32" s="137" t="s">
        <v>29</v>
      </c>
      <c r="Z32" s="245"/>
      <c r="AA32" s="243" t="str">
        <f>'Gen CP'!$D32</f>
        <v>Gen Math</v>
      </c>
      <c r="AB32" s="244"/>
      <c r="AC32" s="243" t="str">
        <f>'Gen CP'!$D32</f>
        <v>Gen Math</v>
      </c>
      <c r="AD32" s="244"/>
      <c r="AE32" s="243" t="str">
        <f>'Gen CP'!$D32</f>
        <v>Gen Math</v>
      </c>
      <c r="AF32" s="244"/>
      <c r="AG32" s="243" t="str">
        <f>'Gen CP'!$D32</f>
        <v>Gen Math</v>
      </c>
      <c r="AH32" s="244"/>
      <c r="AI32" s="289" t="str">
        <f>AI14</f>
        <v>Oral Com</v>
      </c>
      <c r="AJ32" s="290"/>
      <c r="AK32" s="137" t="s">
        <v>29</v>
      </c>
      <c r="AL32" s="245"/>
      <c r="AM32" s="243" t="str">
        <f>'Gen CP'!$E32</f>
        <v>Kom Pan</v>
      </c>
      <c r="AN32" s="244"/>
      <c r="AO32" s="243" t="str">
        <f>'Gen CP'!$E32</f>
        <v>Kom Pan</v>
      </c>
      <c r="AP32" s="244"/>
      <c r="AQ32" s="243" t="str">
        <f>'Gen CP'!$E32</f>
        <v>Kom Pan</v>
      </c>
      <c r="AR32" s="244"/>
      <c r="AS32" s="243" t="str">
        <f>'Gen CP'!$E32</f>
        <v>Kom Pan</v>
      </c>
      <c r="AT32" s="244"/>
      <c r="AU32" s="243" t="str">
        <f>AU14</f>
        <v>UCSP</v>
      </c>
      <c r="AV32" s="244"/>
      <c r="AW32" s="137" t="s">
        <v>29</v>
      </c>
      <c r="AX32" s="245"/>
      <c r="AY32" s="243" t="str">
        <f>'Gen CP'!$F32</f>
        <v>UCSP</v>
      </c>
      <c r="AZ32" s="244"/>
      <c r="BA32" s="243" t="str">
        <f>'Gen CP'!$F32</f>
        <v>UCSP</v>
      </c>
      <c r="BB32" s="244"/>
      <c r="BC32" s="243" t="str">
        <f>'Gen CP'!$F32</f>
        <v>UCSP</v>
      </c>
      <c r="BD32" s="244"/>
      <c r="BE32" s="243" t="str">
        <f>'Gen CP'!$F32</f>
        <v>UCSP</v>
      </c>
      <c r="BF32" s="244"/>
      <c r="BG32" s="289" t="str">
        <f>BG14</f>
        <v>Kom Pan</v>
      </c>
      <c r="BH32" s="290"/>
      <c r="BI32" s="137" t="s">
        <v>29</v>
      </c>
      <c r="BJ32" s="245"/>
      <c r="BK32" s="243" t="str">
        <f>'Gen CP'!$G32</f>
        <v>21st Cen Lit</v>
      </c>
      <c r="BL32" s="244"/>
      <c r="BM32" s="243" t="str">
        <f>'Gen CP'!$G32</f>
        <v>21st Cen Lit</v>
      </c>
      <c r="BN32" s="244"/>
      <c r="BO32" s="243" t="str">
        <f>'Gen CP'!$G32</f>
        <v>21st Cen Lit</v>
      </c>
      <c r="BP32" s="244"/>
      <c r="BQ32" s="243" t="str">
        <f>'Gen CP'!$G32</f>
        <v>21st Cen Lit</v>
      </c>
      <c r="BR32" s="244"/>
      <c r="BS32" s="289" t="str">
        <f>BS14</f>
        <v>UCSP</v>
      </c>
      <c r="BT32" s="290"/>
      <c r="BU32" s="137" t="s">
        <v>29</v>
      </c>
      <c r="BV32" s="245"/>
      <c r="BW32" s="243" t="str">
        <f>'Gen CP'!$H32</f>
        <v>Emp Tech</v>
      </c>
      <c r="BX32" s="244"/>
      <c r="BY32" s="243" t="str">
        <f>'Gen CP'!$H32</f>
        <v>Emp Tech</v>
      </c>
      <c r="BZ32" s="244"/>
      <c r="CA32" s="243" t="str">
        <f>'Gen CP'!$H32</f>
        <v>Emp Tech</v>
      </c>
      <c r="CB32" s="244"/>
      <c r="CC32" s="243" t="str">
        <f>'Gen CP'!$H32</f>
        <v>Emp Tech</v>
      </c>
      <c r="CD32" s="244"/>
      <c r="CE32" s="289" t="str">
        <f>CE14</f>
        <v>Agri-Crops NC II</v>
      </c>
      <c r="CF32" s="290"/>
      <c r="CG32" s="137" t="s">
        <v>337</v>
      </c>
      <c r="CH32" s="245"/>
      <c r="CI32" s="259" t="str">
        <f>'Gen CP'!$I32</f>
        <v>Gen Math</v>
      </c>
      <c r="CJ32" s="260"/>
      <c r="CK32" s="259" t="str">
        <f>'Gen CP'!$I32</f>
        <v>Gen Math</v>
      </c>
      <c r="CL32" s="260"/>
      <c r="CM32" s="259" t="str">
        <f>'Gen CP'!$I32</f>
        <v>Gen Math</v>
      </c>
      <c r="CN32" s="260"/>
      <c r="CO32" s="259" t="str">
        <f>'Gen CP'!$I32</f>
        <v>Gen Math</v>
      </c>
      <c r="CP32" s="260"/>
      <c r="CQ32" s="289" t="str">
        <f>CQ14</f>
        <v>Earth &amp; Life</v>
      </c>
      <c r="CR32" s="290"/>
      <c r="CS32" s="137" t="s">
        <v>337</v>
      </c>
      <c r="CT32" s="245"/>
      <c r="CU32" s="243" t="str">
        <f>'Gen CP'!$J32</f>
        <v>Kom Pan</v>
      </c>
      <c r="CV32" s="244"/>
      <c r="CW32" s="243" t="str">
        <f>'Gen CP'!$J32</f>
        <v>Kom Pan</v>
      </c>
      <c r="CX32" s="244"/>
      <c r="CY32" s="243" t="str">
        <f>'Gen CP'!$J32</f>
        <v>Kom Pan</v>
      </c>
      <c r="CZ32" s="244"/>
      <c r="DA32" s="243" t="str">
        <f>'Gen CP'!$J32</f>
        <v>Kom Pan</v>
      </c>
      <c r="DB32" s="244"/>
      <c r="DC32" s="289" t="str">
        <f>DC14</f>
        <v>Emp Tech</v>
      </c>
      <c r="DD32" s="290"/>
      <c r="DE32" s="137" t="s">
        <v>337</v>
      </c>
      <c r="DF32" s="245"/>
      <c r="DG32" s="243" t="str">
        <f>'Gen CP'!$K32</f>
        <v>Emp Tech</v>
      </c>
      <c r="DH32" s="244"/>
      <c r="DI32" s="243" t="str">
        <f>'Gen CP'!$K32</f>
        <v>Emp Tech</v>
      </c>
      <c r="DJ32" s="244"/>
      <c r="DK32" s="243" t="str">
        <f>'Gen CP'!$K32</f>
        <v>Emp Tech</v>
      </c>
      <c r="DL32" s="244"/>
      <c r="DM32" s="243" t="str">
        <f>'Gen CP'!$K32</f>
        <v>Emp Tech</v>
      </c>
      <c r="DN32" s="244"/>
      <c r="DO32" s="289" t="str">
        <f>DO14</f>
        <v>UCSP</v>
      </c>
      <c r="DP32" s="290"/>
      <c r="DQ32" s="137" t="s">
        <v>29</v>
      </c>
      <c r="DR32" s="245"/>
      <c r="DS32" s="243" t="str">
        <f>'Gen CP'!$L32</f>
        <v>UCSP</v>
      </c>
      <c r="DT32" s="244"/>
      <c r="DU32" s="243" t="str">
        <f>'Gen CP'!$L32</f>
        <v>UCSP</v>
      </c>
      <c r="DV32" s="244"/>
      <c r="DW32" s="243" t="str">
        <f>'Gen CP'!$L32</f>
        <v>UCSP</v>
      </c>
      <c r="DX32" s="244"/>
      <c r="DY32" s="243" t="str">
        <f>'Gen CP'!$L32</f>
        <v>UCSP</v>
      </c>
      <c r="DZ32" s="244"/>
      <c r="EA32" s="289" t="str">
        <f>EA14</f>
        <v>Food and Beverage</v>
      </c>
      <c r="EB32" s="290"/>
      <c r="EC32" s="265" t="s">
        <v>30</v>
      </c>
      <c r="ED32" s="245"/>
      <c r="EE32" s="243">
        <f>'Gen CP'!$M32</f>
        <v>0</v>
      </c>
      <c r="EF32" s="244"/>
      <c r="EG32" s="243">
        <f>'Gen CP'!$M32</f>
        <v>0</v>
      </c>
      <c r="EH32" s="244"/>
      <c r="EI32" s="243">
        <f>'Gen CP'!$M32</f>
        <v>0</v>
      </c>
      <c r="EJ32" s="244"/>
      <c r="EK32" s="243">
        <f>'Gen CP'!$M32</f>
        <v>0</v>
      </c>
      <c r="EL32" s="244"/>
      <c r="EM32" s="269"/>
      <c r="EN32" s="270"/>
      <c r="EO32" s="265" t="s">
        <v>30</v>
      </c>
      <c r="EP32" s="245">
        <v>60</v>
      </c>
      <c r="EQ32" s="264"/>
      <c r="ER32" s="264"/>
      <c r="ES32" s="243"/>
      <c r="ET32" s="244"/>
      <c r="EU32" s="264"/>
      <c r="EV32" s="264"/>
      <c r="EW32" s="264"/>
      <c r="EX32" s="264"/>
      <c r="EY32" s="278"/>
      <c r="EZ32" s="279"/>
      <c r="FA32" s="265" t="s">
        <v>30</v>
      </c>
      <c r="FB32" s="245">
        <v>60</v>
      </c>
      <c r="FC32" s="264"/>
      <c r="FD32" s="264"/>
      <c r="FE32" s="243"/>
      <c r="FF32" s="244"/>
      <c r="FG32" s="264"/>
      <c r="FH32" s="264"/>
      <c r="FI32" s="264"/>
      <c r="FJ32" s="264"/>
      <c r="FK32" s="278"/>
      <c r="FL32" s="279"/>
      <c r="FM32" s="265" t="s">
        <v>30</v>
      </c>
      <c r="FN32" s="245">
        <v>60</v>
      </c>
      <c r="FO32" s="264"/>
      <c r="FP32" s="264"/>
      <c r="FQ32" s="243"/>
      <c r="FR32" s="244"/>
      <c r="FS32" s="264"/>
      <c r="FT32" s="264"/>
      <c r="FU32" s="264"/>
      <c r="FV32" s="264"/>
      <c r="FW32" s="278"/>
      <c r="FX32" s="279"/>
      <c r="FY32" s="265" t="s">
        <v>30</v>
      </c>
      <c r="FZ32" s="245"/>
      <c r="GA32" s="264"/>
      <c r="GB32" s="264"/>
      <c r="GC32" s="264"/>
      <c r="GD32" s="264"/>
      <c r="GE32" s="264"/>
      <c r="GF32" s="264"/>
      <c r="GG32" s="264"/>
      <c r="GH32" s="264"/>
      <c r="GI32" s="278"/>
      <c r="GJ32" s="279"/>
    </row>
    <row r="33" spans="1:192" ht="18.75" customHeight="1">
      <c r="A33" s="294"/>
      <c r="B33" s="245"/>
      <c r="C33" s="264" t="str">
        <f>'Gen CP'!$B33</f>
        <v>Coronel R</v>
      </c>
      <c r="D33" s="264"/>
      <c r="E33" s="264" t="str">
        <f>'Gen CP'!$B33</f>
        <v>Coronel R</v>
      </c>
      <c r="F33" s="264"/>
      <c r="G33" s="264" t="str">
        <f>'Gen CP'!$B33</f>
        <v>Coronel R</v>
      </c>
      <c r="H33" s="264"/>
      <c r="I33" s="264" t="str">
        <f>'Gen CP'!$B33</f>
        <v>Coronel R</v>
      </c>
      <c r="J33" s="264"/>
      <c r="K33" s="289" t="str">
        <f>K15</f>
        <v>Hierco M</v>
      </c>
      <c r="L33" s="290"/>
      <c r="M33" s="137"/>
      <c r="N33" s="245"/>
      <c r="O33" s="243" t="str">
        <f>'Gen CP'!$C33</f>
        <v>Sagnip M</v>
      </c>
      <c r="P33" s="244"/>
      <c r="Q33" s="243" t="str">
        <f>'Gen CP'!$C33</f>
        <v>Sagnip M</v>
      </c>
      <c r="R33" s="244"/>
      <c r="S33" s="243" t="str">
        <f>'Gen CP'!$C33</f>
        <v>Sagnip M</v>
      </c>
      <c r="T33" s="244"/>
      <c r="U33" s="243" t="str">
        <f>'Gen CP'!$C33</f>
        <v>Sagnip M</v>
      </c>
      <c r="V33" s="244"/>
      <c r="W33" s="289" t="str">
        <f>W15</f>
        <v>Coronel R</v>
      </c>
      <c r="X33" s="290"/>
      <c r="Y33" s="137"/>
      <c r="Z33" s="245"/>
      <c r="AA33" s="243" t="str">
        <f>'Gen CP'!$D33</f>
        <v>Lorenzana C</v>
      </c>
      <c r="AB33" s="244"/>
      <c r="AC33" s="243" t="str">
        <f>'Gen CP'!$D33</f>
        <v>Lorenzana C</v>
      </c>
      <c r="AD33" s="244"/>
      <c r="AE33" s="243" t="str">
        <f>'Gen CP'!$D33</f>
        <v>Lorenzana C</v>
      </c>
      <c r="AF33" s="244"/>
      <c r="AG33" s="243" t="str">
        <f>'Gen CP'!$D33</f>
        <v>Lorenzana C</v>
      </c>
      <c r="AH33" s="244"/>
      <c r="AI33" s="289" t="str">
        <f>AI15</f>
        <v>Sagnip M</v>
      </c>
      <c r="AJ33" s="290"/>
      <c r="AK33" s="137"/>
      <c r="AL33" s="245"/>
      <c r="AM33" s="243" t="str">
        <f>'Gen CP'!$E33</f>
        <v>Aguilar EM</v>
      </c>
      <c r="AN33" s="244"/>
      <c r="AO33" s="243" t="str">
        <f>'Gen CP'!$E33</f>
        <v>Aguilar EM</v>
      </c>
      <c r="AP33" s="244"/>
      <c r="AQ33" s="243" t="str">
        <f>'Gen CP'!$E33</f>
        <v>Aguilar EM</v>
      </c>
      <c r="AR33" s="244"/>
      <c r="AS33" s="243" t="str">
        <f>'Gen CP'!$E33</f>
        <v>Aguilar EM</v>
      </c>
      <c r="AT33" s="244"/>
      <c r="AU33" s="243" t="str">
        <f>AU15</f>
        <v>Estrella R</v>
      </c>
      <c r="AV33" s="244"/>
      <c r="AW33" s="137"/>
      <c r="AX33" s="245"/>
      <c r="AY33" s="243" t="str">
        <f>'Gen CP'!$F33</f>
        <v>Estrella R</v>
      </c>
      <c r="AZ33" s="244"/>
      <c r="BA33" s="243" t="str">
        <f>'Gen CP'!$F33</f>
        <v>Estrella R</v>
      </c>
      <c r="BB33" s="244"/>
      <c r="BC33" s="243" t="str">
        <f>'Gen CP'!$F33</f>
        <v>Estrella R</v>
      </c>
      <c r="BD33" s="244"/>
      <c r="BE33" s="243" t="str">
        <f>'Gen CP'!$F33</f>
        <v>Estrella R</v>
      </c>
      <c r="BF33" s="244"/>
      <c r="BG33" s="289" t="str">
        <f>BG15</f>
        <v>Aguilar EM</v>
      </c>
      <c r="BH33" s="290"/>
      <c r="BI33" s="137"/>
      <c r="BJ33" s="245"/>
      <c r="BK33" s="243" t="str">
        <f>'Gen CP'!$G33</f>
        <v>Crisostomo R</v>
      </c>
      <c r="BL33" s="244"/>
      <c r="BM33" s="243" t="str">
        <f>'Gen CP'!$G33</f>
        <v>Crisostomo R</v>
      </c>
      <c r="BN33" s="244"/>
      <c r="BO33" s="243" t="str">
        <f>'Gen CP'!$G33</f>
        <v>Crisostomo R</v>
      </c>
      <c r="BP33" s="244"/>
      <c r="BQ33" s="243" t="str">
        <f>'Gen CP'!$G33</f>
        <v>Crisostomo R</v>
      </c>
      <c r="BR33" s="244"/>
      <c r="BS33" s="289" t="str">
        <f>BS15</f>
        <v>Mamaid MC</v>
      </c>
      <c r="BT33" s="290"/>
      <c r="BU33" s="137"/>
      <c r="BV33" s="245"/>
      <c r="BW33" s="243" t="str">
        <f>'Gen CP'!$H33</f>
        <v>Reyes D</v>
      </c>
      <c r="BX33" s="244"/>
      <c r="BY33" s="243" t="str">
        <f>'Gen CP'!$H33</f>
        <v>Reyes D</v>
      </c>
      <c r="BZ33" s="244"/>
      <c r="CA33" s="243" t="str">
        <f>'Gen CP'!$H33</f>
        <v>Reyes D</v>
      </c>
      <c r="CB33" s="244"/>
      <c r="CC33" s="243" t="str">
        <f>'Gen CP'!$H33</f>
        <v>Reyes D</v>
      </c>
      <c r="CD33" s="244"/>
      <c r="CE33" s="289" t="str">
        <f>CE15</f>
        <v>Reyes D</v>
      </c>
      <c r="CF33" s="290"/>
      <c r="CG33" s="137"/>
      <c r="CH33" s="245"/>
      <c r="CI33" s="259" t="str">
        <f>'Gen CP'!$I33</f>
        <v>Almazan AD</v>
      </c>
      <c r="CJ33" s="260"/>
      <c r="CK33" s="259" t="str">
        <f>'Gen CP'!$I33</f>
        <v>Almazan AD</v>
      </c>
      <c r="CL33" s="260"/>
      <c r="CM33" s="259" t="str">
        <f>'Gen CP'!$I33</f>
        <v>Almazan AD</v>
      </c>
      <c r="CN33" s="260"/>
      <c r="CO33" s="259" t="str">
        <f>'Gen CP'!$I33</f>
        <v>Almazan AD</v>
      </c>
      <c r="CP33" s="260"/>
      <c r="CQ33" s="289" t="str">
        <f>CQ15</f>
        <v>Almazan AD</v>
      </c>
      <c r="CR33" s="290"/>
      <c r="CS33" s="137"/>
      <c r="CT33" s="245"/>
      <c r="CU33" s="243" t="str">
        <f>'Gen CP'!$J33</f>
        <v>Pascua I</v>
      </c>
      <c r="CV33" s="244"/>
      <c r="CW33" s="243" t="str">
        <f>'Gen CP'!$J33</f>
        <v>Pascua I</v>
      </c>
      <c r="CX33" s="244"/>
      <c r="CY33" s="243" t="str">
        <f>'Gen CP'!$J33</f>
        <v>Pascua I</v>
      </c>
      <c r="CZ33" s="244"/>
      <c r="DA33" s="243" t="str">
        <f>'Gen CP'!$J33</f>
        <v>Pascua I</v>
      </c>
      <c r="DB33" s="244"/>
      <c r="DC33" s="289" t="str">
        <f>DC15</f>
        <v>Guerrero LG</v>
      </c>
      <c r="DD33" s="290"/>
      <c r="DE33" s="137"/>
      <c r="DF33" s="245"/>
      <c r="DG33" s="243" t="str">
        <f>'Gen CP'!$K33</f>
        <v>Mercado R</v>
      </c>
      <c r="DH33" s="244"/>
      <c r="DI33" s="243" t="str">
        <f>'Gen CP'!$K33</f>
        <v>Mercado R</v>
      </c>
      <c r="DJ33" s="244"/>
      <c r="DK33" s="243" t="str">
        <f>'Gen CP'!$K33</f>
        <v>Mercado R</v>
      </c>
      <c r="DL33" s="244"/>
      <c r="DM33" s="243" t="str">
        <f>'Gen CP'!$K33</f>
        <v>Mercado R</v>
      </c>
      <c r="DN33" s="244"/>
      <c r="DO33" s="289" t="str">
        <f>DO15</f>
        <v>Valdez R</v>
      </c>
      <c r="DP33" s="290"/>
      <c r="DQ33" s="137"/>
      <c r="DR33" s="245"/>
      <c r="DS33" s="243" t="str">
        <f>'Gen CP'!$L33</f>
        <v>Mamaid MC</v>
      </c>
      <c r="DT33" s="244"/>
      <c r="DU33" s="243" t="str">
        <f>'Gen CP'!$L33</f>
        <v>Mamaid MC</v>
      </c>
      <c r="DV33" s="244"/>
      <c r="DW33" s="243" t="str">
        <f>'Gen CP'!$L33</f>
        <v>Mamaid MC</v>
      </c>
      <c r="DX33" s="244"/>
      <c r="DY33" s="243" t="str">
        <f>'Gen CP'!$L33</f>
        <v>Mamaid MC</v>
      </c>
      <c r="DZ33" s="244"/>
      <c r="EA33" s="289" t="str">
        <f>EA15</f>
        <v>Maniquiz T</v>
      </c>
      <c r="EB33" s="290"/>
      <c r="EC33" s="265"/>
      <c r="ED33" s="245"/>
      <c r="EE33" s="243">
        <f>'Gen CP'!$M33</f>
        <v>0</v>
      </c>
      <c r="EF33" s="244"/>
      <c r="EG33" s="243">
        <f>'Gen CP'!$M33</f>
        <v>0</v>
      </c>
      <c r="EH33" s="244"/>
      <c r="EI33" s="243">
        <f>'Gen CP'!$M33</f>
        <v>0</v>
      </c>
      <c r="EJ33" s="244"/>
      <c r="EK33" s="243">
        <f>'Gen CP'!$M33</f>
        <v>0</v>
      </c>
      <c r="EL33" s="244"/>
      <c r="EM33" s="271"/>
      <c r="EN33" s="272"/>
      <c r="EO33" s="265"/>
      <c r="EP33" s="245"/>
      <c r="EQ33" s="264"/>
      <c r="ER33" s="264"/>
      <c r="ES33" s="243"/>
      <c r="ET33" s="244"/>
      <c r="EU33" s="264"/>
      <c r="EV33" s="264"/>
      <c r="EW33" s="264"/>
      <c r="EX33" s="264"/>
      <c r="EY33" s="280"/>
      <c r="EZ33" s="281"/>
      <c r="FA33" s="265"/>
      <c r="FB33" s="245"/>
      <c r="FC33" s="264"/>
      <c r="FD33" s="264"/>
      <c r="FE33" s="243"/>
      <c r="FF33" s="244"/>
      <c r="FG33" s="264"/>
      <c r="FH33" s="264"/>
      <c r="FI33" s="264"/>
      <c r="FJ33" s="264"/>
      <c r="FK33" s="280"/>
      <c r="FL33" s="281"/>
      <c r="FM33" s="265"/>
      <c r="FN33" s="245"/>
      <c r="FO33" s="264"/>
      <c r="FP33" s="264"/>
      <c r="FQ33" s="243"/>
      <c r="FR33" s="244"/>
      <c r="FS33" s="264"/>
      <c r="FT33" s="264"/>
      <c r="FU33" s="264"/>
      <c r="FV33" s="264"/>
      <c r="FW33" s="280"/>
      <c r="FX33" s="281"/>
      <c r="FY33" s="265"/>
      <c r="FZ33" s="245"/>
      <c r="GA33" s="264"/>
      <c r="GB33" s="264"/>
      <c r="GC33" s="264"/>
      <c r="GD33" s="264"/>
      <c r="GE33" s="264"/>
      <c r="GF33" s="264"/>
      <c r="GG33" s="264"/>
      <c r="GH33" s="264"/>
      <c r="GI33" s="280"/>
      <c r="GJ33" s="281"/>
    </row>
    <row r="34" spans="1:192" ht="18.75" customHeight="1">
      <c r="A34" s="122"/>
      <c r="B34" s="71"/>
      <c r="C34" s="123"/>
      <c r="D34" s="123"/>
      <c r="E34" s="123"/>
      <c r="F34" s="123"/>
      <c r="G34" s="123"/>
      <c r="H34" s="123"/>
      <c r="I34" s="123"/>
      <c r="J34" s="123"/>
      <c r="K34" s="124"/>
      <c r="L34" s="124"/>
      <c r="M34" s="125"/>
      <c r="N34" s="71"/>
      <c r="O34" s="123"/>
      <c r="P34" s="123"/>
      <c r="Q34" s="123"/>
      <c r="R34" s="123"/>
      <c r="S34" s="123"/>
      <c r="T34" s="123"/>
      <c r="U34" s="123"/>
      <c r="V34" s="123"/>
      <c r="W34" s="124"/>
      <c r="X34" s="124"/>
      <c r="Y34" s="125"/>
      <c r="Z34" s="71"/>
      <c r="AA34" s="123"/>
      <c r="AB34" s="123"/>
      <c r="AC34" s="123"/>
      <c r="AD34" s="123"/>
      <c r="AE34" s="123"/>
      <c r="AF34" s="123"/>
      <c r="AG34" s="123"/>
      <c r="AH34" s="123"/>
      <c r="AI34" s="124"/>
      <c r="AJ34" s="124"/>
      <c r="AK34" s="125"/>
      <c r="AL34" s="71"/>
      <c r="AM34" s="123"/>
      <c r="AN34" s="123"/>
      <c r="AO34" s="123"/>
      <c r="AP34" s="123"/>
      <c r="AQ34" s="123"/>
      <c r="AR34" s="123"/>
      <c r="AS34" s="123"/>
      <c r="AT34" s="123"/>
      <c r="AU34" s="124"/>
      <c r="AV34" s="124"/>
      <c r="AW34" s="125"/>
      <c r="AX34" s="71"/>
      <c r="AY34" s="123"/>
      <c r="AZ34" s="123"/>
      <c r="BA34" s="123"/>
      <c r="BB34" s="123"/>
      <c r="BC34" s="123"/>
      <c r="BD34" s="123"/>
      <c r="BE34" s="123"/>
      <c r="BF34" s="123"/>
      <c r="BG34" s="124"/>
      <c r="BH34" s="124"/>
      <c r="BI34" s="125"/>
      <c r="BJ34" s="71"/>
      <c r="BK34" s="123"/>
      <c r="BL34" s="123"/>
      <c r="BM34" s="123"/>
      <c r="BN34" s="123"/>
      <c r="BO34" s="123"/>
      <c r="BP34" s="123"/>
      <c r="BQ34" s="123"/>
      <c r="BR34" s="123"/>
      <c r="BS34" s="124"/>
      <c r="BT34" s="124"/>
      <c r="BU34" s="125"/>
      <c r="BV34" s="71"/>
      <c r="BW34" s="123"/>
      <c r="BX34" s="123"/>
      <c r="BY34" s="123"/>
      <c r="BZ34" s="123"/>
      <c r="CA34" s="123"/>
      <c r="CB34" s="123"/>
      <c r="CC34" s="123"/>
      <c r="CD34" s="123"/>
      <c r="CE34" s="124"/>
      <c r="CF34" s="124"/>
      <c r="CG34" s="261"/>
      <c r="CH34" s="261"/>
      <c r="CI34" s="261"/>
      <c r="CJ34" s="261"/>
      <c r="CK34" s="261"/>
      <c r="CL34" s="123"/>
      <c r="CM34" s="123"/>
      <c r="CN34" s="123"/>
      <c r="CO34" s="123"/>
      <c r="CP34" s="123"/>
      <c r="CQ34" s="124"/>
      <c r="CR34" s="124"/>
      <c r="CS34" s="125"/>
      <c r="CT34" s="71"/>
      <c r="CU34" s="123"/>
      <c r="CV34" s="123"/>
      <c r="CW34" s="123"/>
      <c r="CX34" s="123"/>
      <c r="CY34" s="123"/>
      <c r="CZ34" s="123"/>
      <c r="DA34" s="123"/>
      <c r="DB34" s="123"/>
      <c r="DC34" s="124"/>
      <c r="DD34" s="124"/>
      <c r="DE34" s="125"/>
      <c r="DF34" s="71"/>
      <c r="DG34" s="123"/>
      <c r="DH34" s="123"/>
      <c r="DI34" s="123"/>
      <c r="DJ34" s="123"/>
      <c r="DK34" s="123"/>
      <c r="DL34" s="123"/>
      <c r="DM34" s="123"/>
      <c r="DN34" s="123"/>
      <c r="DO34" s="124"/>
      <c r="DP34" s="124"/>
      <c r="DQ34" s="122"/>
      <c r="DR34" s="71"/>
      <c r="DS34" s="123"/>
      <c r="DT34" s="123"/>
      <c r="DU34" s="123"/>
      <c r="DV34" s="123"/>
      <c r="DW34" s="123"/>
      <c r="DX34" s="123"/>
      <c r="DY34" s="123"/>
      <c r="DZ34" s="123"/>
      <c r="EA34" s="124"/>
      <c r="EB34" s="124"/>
      <c r="EC34" s="70"/>
      <c r="ED34" s="71"/>
      <c r="EE34" s="123"/>
      <c r="EF34" s="123"/>
      <c r="EG34" s="123"/>
      <c r="EH34" s="123"/>
      <c r="EI34" s="123"/>
      <c r="EJ34" s="123"/>
      <c r="EK34" s="123"/>
      <c r="EL34" s="123"/>
      <c r="EM34" s="124"/>
      <c r="EN34" s="124"/>
      <c r="EO34" s="70"/>
      <c r="EP34" s="71"/>
      <c r="EQ34" s="123"/>
      <c r="ER34" s="123"/>
      <c r="ES34" s="123"/>
      <c r="ET34" s="123"/>
      <c r="EU34" s="123"/>
      <c r="EV34" s="123"/>
      <c r="EW34" s="123"/>
      <c r="EX34" s="123"/>
      <c r="EY34" s="126"/>
      <c r="EZ34" s="126"/>
      <c r="FA34" s="70"/>
      <c r="FB34" s="71"/>
      <c r="FC34" s="123"/>
      <c r="FD34" s="123"/>
      <c r="FE34" s="123"/>
      <c r="FF34" s="123"/>
      <c r="FG34" s="123"/>
      <c r="FH34" s="123"/>
      <c r="FI34" s="123"/>
      <c r="FJ34" s="123"/>
      <c r="FK34" s="126"/>
      <c r="FL34" s="126"/>
      <c r="FM34" s="70"/>
      <c r="FN34" s="71"/>
      <c r="FO34" s="123"/>
      <c r="FP34" s="123"/>
      <c r="FQ34" s="123"/>
      <c r="FR34" s="123"/>
      <c r="FS34" s="123"/>
      <c r="FT34" s="123"/>
      <c r="FU34" s="123"/>
      <c r="FV34" s="123"/>
      <c r="FW34" s="126"/>
      <c r="FX34" s="126"/>
      <c r="FY34" s="70"/>
      <c r="FZ34" s="71"/>
      <c r="GA34" s="123"/>
      <c r="GB34" s="123"/>
      <c r="GC34" s="123"/>
      <c r="GD34" s="123"/>
      <c r="GE34" s="123"/>
      <c r="GF34" s="123"/>
      <c r="GG34" s="123"/>
      <c r="GH34" s="123"/>
      <c r="GI34" s="126"/>
      <c r="GJ34" s="126"/>
    </row>
    <row r="35" spans="1:192" ht="9.75" customHeight="1">
      <c r="A35" s="127"/>
      <c r="B35" s="90"/>
      <c r="M35" s="127"/>
      <c r="N35" s="90"/>
      <c r="O35" s="1" t="s">
        <v>51</v>
      </c>
      <c r="S35" s="1" t="s">
        <v>51</v>
      </c>
      <c r="Y35" s="127"/>
      <c r="Z35" s="90"/>
      <c r="AK35" s="127"/>
      <c r="AL35" s="90"/>
      <c r="AW35" s="127"/>
      <c r="AX35" s="90"/>
      <c r="BI35" s="127"/>
      <c r="BJ35" s="90"/>
      <c r="BU35" s="127"/>
      <c r="BV35" s="90"/>
      <c r="CG35" s="127"/>
      <c r="CH35" s="90"/>
      <c r="CS35" s="127"/>
      <c r="CT35" s="90"/>
      <c r="DE35" s="127"/>
      <c r="DF35" s="90"/>
      <c r="DQ35" s="127"/>
      <c r="DR35" s="90"/>
      <c r="EC35" s="127"/>
      <c r="ED35" s="90"/>
      <c r="EO35" s="127"/>
      <c r="EP35" s="90"/>
      <c r="FA35" s="127"/>
      <c r="FB35" s="90"/>
      <c r="FM35" s="127"/>
      <c r="FN35" s="90"/>
      <c r="FY35" s="127"/>
      <c r="FZ35" s="90"/>
    </row>
    <row r="36" spans="1:192">
      <c r="A36" s="1" t="s">
        <v>158</v>
      </c>
      <c r="B36" s="90"/>
      <c r="F36" s="1" t="s">
        <v>51</v>
      </c>
      <c r="G36" s="1" t="s">
        <v>51</v>
      </c>
      <c r="H36" s="1" t="s">
        <v>51</v>
      </c>
      <c r="I36" s="1" t="s">
        <v>182</v>
      </c>
      <c r="K36" s="1" t="s">
        <v>51</v>
      </c>
      <c r="L36" s="1" t="s">
        <v>51</v>
      </c>
      <c r="M36" s="1" t="s">
        <v>158</v>
      </c>
      <c r="N36" s="90"/>
      <c r="Q36" s="1" t="s">
        <v>51</v>
      </c>
      <c r="R36" s="1" t="s">
        <v>51</v>
      </c>
      <c r="S36" s="1" t="s">
        <v>51</v>
      </c>
      <c r="T36" s="1" t="s">
        <v>51</v>
      </c>
      <c r="U36" s="1" t="s">
        <v>182</v>
      </c>
      <c r="W36" s="1" t="s">
        <v>51</v>
      </c>
      <c r="Y36" s="1" t="s">
        <v>158</v>
      </c>
      <c r="Z36" s="90"/>
      <c r="AC36" s="1" t="s">
        <v>51</v>
      </c>
      <c r="AD36" s="1" t="s">
        <v>51</v>
      </c>
      <c r="AE36" s="1" t="s">
        <v>51</v>
      </c>
      <c r="AG36" s="1" t="s">
        <v>182</v>
      </c>
      <c r="AK36" s="1" t="s">
        <v>158</v>
      </c>
      <c r="AL36" s="90"/>
      <c r="AO36" s="1" t="s">
        <v>51</v>
      </c>
      <c r="AP36" s="1" t="s">
        <v>51</v>
      </c>
      <c r="AQ36" s="1" t="s">
        <v>51</v>
      </c>
      <c r="AS36" s="1" t="s">
        <v>182</v>
      </c>
      <c r="AW36" s="1" t="s">
        <v>158</v>
      </c>
      <c r="AX36" s="90"/>
      <c r="AY36" s="1" t="s">
        <v>51</v>
      </c>
      <c r="BC36" s="1" t="s">
        <v>51</v>
      </c>
      <c r="BE36" s="1" t="s">
        <v>182</v>
      </c>
      <c r="BI36" s="1" t="s">
        <v>158</v>
      </c>
      <c r="BJ36" s="90"/>
      <c r="BN36" s="1" t="s">
        <v>51</v>
      </c>
      <c r="BO36" s="1" t="s">
        <v>51</v>
      </c>
      <c r="BP36" s="1" t="s">
        <v>51</v>
      </c>
      <c r="BQ36" s="1" t="s">
        <v>182</v>
      </c>
      <c r="BT36" s="1" t="s">
        <v>51</v>
      </c>
      <c r="BU36" s="1" t="s">
        <v>158</v>
      </c>
      <c r="BV36" s="90"/>
      <c r="BZ36" s="1" t="s">
        <v>51</v>
      </c>
      <c r="CA36" s="1" t="s">
        <v>51</v>
      </c>
      <c r="CC36" s="1" t="s">
        <v>182</v>
      </c>
      <c r="CG36" s="1" t="s">
        <v>158</v>
      </c>
      <c r="CH36" s="90"/>
      <c r="CL36" s="1" t="s">
        <v>51</v>
      </c>
      <c r="CM36" s="1" t="s">
        <v>51</v>
      </c>
      <c r="CO36" s="1" t="s">
        <v>182</v>
      </c>
      <c r="CS36" s="1" t="s">
        <v>158</v>
      </c>
      <c r="CT36" s="90"/>
      <c r="CU36" s="1" t="s">
        <v>51</v>
      </c>
      <c r="CW36" s="1" t="s">
        <v>51</v>
      </c>
      <c r="CX36" s="1" t="s">
        <v>51</v>
      </c>
      <c r="CY36" s="1" t="s">
        <v>51</v>
      </c>
      <c r="DA36" s="1" t="s">
        <v>182</v>
      </c>
      <c r="DC36" s="1" t="s">
        <v>51</v>
      </c>
      <c r="DE36" s="1" t="s">
        <v>158</v>
      </c>
      <c r="DF36" s="90"/>
      <c r="DI36" s="1" t="s">
        <v>51</v>
      </c>
      <c r="DK36" s="1" t="s">
        <v>51</v>
      </c>
      <c r="DM36" s="1" t="s">
        <v>182</v>
      </c>
      <c r="DQ36" s="1" t="s">
        <v>158</v>
      </c>
      <c r="DR36" s="90"/>
      <c r="DW36" s="1" t="s">
        <v>51</v>
      </c>
      <c r="DY36" s="1" t="s">
        <v>182</v>
      </c>
      <c r="EC36" s="1" t="s">
        <v>158</v>
      </c>
      <c r="ED36" s="90"/>
      <c r="EG36" s="1" t="s">
        <v>51</v>
      </c>
      <c r="EI36" s="1" t="s">
        <v>51</v>
      </c>
      <c r="EK36" s="1" t="s">
        <v>182</v>
      </c>
      <c r="EO36" s="1" t="s">
        <v>158</v>
      </c>
      <c r="EP36" s="90"/>
      <c r="EU36" s="1" t="s">
        <v>51</v>
      </c>
      <c r="EW36" s="1" t="s">
        <v>182</v>
      </c>
      <c r="FA36" s="1" t="s">
        <v>158</v>
      </c>
      <c r="FB36" s="90"/>
      <c r="FG36" s="1" t="s">
        <v>51</v>
      </c>
      <c r="FI36" s="1" t="s">
        <v>182</v>
      </c>
      <c r="FM36" s="1" t="s">
        <v>158</v>
      </c>
      <c r="FN36" s="90"/>
      <c r="FS36" s="1" t="s">
        <v>51</v>
      </c>
      <c r="FU36" s="1" t="s">
        <v>182</v>
      </c>
      <c r="FY36" s="1" t="s">
        <v>158</v>
      </c>
      <c r="FZ36" s="90"/>
      <c r="GE36" s="1" t="s">
        <v>51</v>
      </c>
      <c r="GG36" s="1" t="s">
        <v>182</v>
      </c>
    </row>
    <row r="37" spans="1:192" ht="9" customHeight="1">
      <c r="E37" s="1" t="s">
        <v>51</v>
      </c>
      <c r="F37" s="1" t="s">
        <v>51</v>
      </c>
      <c r="G37" s="1" t="s">
        <v>51</v>
      </c>
      <c r="H37" s="1" t="s">
        <v>51</v>
      </c>
      <c r="R37" s="1" t="s">
        <v>51</v>
      </c>
      <c r="S37" s="1" t="s">
        <v>51</v>
      </c>
      <c r="AD37" s="1" t="s">
        <v>51</v>
      </c>
      <c r="AP37" s="1" t="s">
        <v>51</v>
      </c>
      <c r="AQ37" s="1" t="s">
        <v>51</v>
      </c>
      <c r="AR37" s="1" t="s">
        <v>51</v>
      </c>
      <c r="BB37" s="1" t="s">
        <v>51</v>
      </c>
      <c r="BC37" s="1" t="s">
        <v>51</v>
      </c>
      <c r="BM37" s="1" t="s">
        <v>51</v>
      </c>
      <c r="BN37" s="1" t="s">
        <v>51</v>
      </c>
      <c r="BO37" s="1" t="s">
        <v>51</v>
      </c>
      <c r="BP37" s="1" t="s">
        <v>51</v>
      </c>
      <c r="CA37" s="1" t="s">
        <v>51</v>
      </c>
      <c r="CK37" s="1" t="s">
        <v>51</v>
      </c>
      <c r="CL37" s="1" t="s">
        <v>51</v>
      </c>
      <c r="CM37" s="1" t="s">
        <v>51</v>
      </c>
      <c r="CN37" s="1" t="s">
        <v>51</v>
      </c>
      <c r="CW37" s="1" t="s">
        <v>51</v>
      </c>
      <c r="CX37" s="1" t="s">
        <v>51</v>
      </c>
      <c r="CY37" s="1" t="s">
        <v>51</v>
      </c>
      <c r="DK37" s="1" t="s">
        <v>51</v>
      </c>
      <c r="DV37" s="1" t="s">
        <v>51</v>
      </c>
      <c r="DW37" s="1" t="s">
        <v>51</v>
      </c>
      <c r="EI37" s="1" t="s">
        <v>51</v>
      </c>
      <c r="EU37" s="1" t="s">
        <v>51</v>
      </c>
      <c r="FG37" s="1" t="s">
        <v>51</v>
      </c>
      <c r="FS37" s="1" t="s">
        <v>51</v>
      </c>
      <c r="GE37" s="1" t="s">
        <v>51</v>
      </c>
    </row>
    <row r="38" spans="1:192" s="7" customFormat="1">
      <c r="B38" s="256" t="str">
        <f>'Gen CP'!H42</f>
        <v>MELANIE J. YAMBOT</v>
      </c>
      <c r="C38" s="256"/>
      <c r="D38" s="256"/>
      <c r="F38" s="257" t="s">
        <v>51</v>
      </c>
      <c r="G38" s="257"/>
      <c r="H38" s="257"/>
      <c r="I38" s="7" t="s">
        <v>51</v>
      </c>
      <c r="J38" s="256" t="str">
        <f>'Gen CP'!N42</f>
        <v>AURORA T. AGUILA</v>
      </c>
      <c r="K38" s="256"/>
      <c r="L38" s="256"/>
      <c r="N38" s="256" t="str">
        <f>B38</f>
        <v>MELANIE J. YAMBOT</v>
      </c>
      <c r="O38" s="256"/>
      <c r="P38" s="256"/>
      <c r="Q38" s="7" t="s">
        <v>51</v>
      </c>
      <c r="R38" s="257" t="s">
        <v>51</v>
      </c>
      <c r="S38" s="257"/>
      <c r="T38" s="257"/>
      <c r="U38" s="7" t="s">
        <v>51</v>
      </c>
      <c r="V38" s="256" t="str">
        <f>J38</f>
        <v>AURORA T. AGUILA</v>
      </c>
      <c r="W38" s="256"/>
      <c r="X38" s="256"/>
      <c r="Z38" s="256" t="str">
        <f>N38</f>
        <v>MELANIE J. YAMBOT</v>
      </c>
      <c r="AA38" s="256"/>
      <c r="AB38" s="256"/>
      <c r="AD38" s="257" t="s">
        <v>51</v>
      </c>
      <c r="AE38" s="257"/>
      <c r="AF38" s="257"/>
      <c r="AH38" s="256" t="str">
        <f>V38</f>
        <v>AURORA T. AGUILA</v>
      </c>
      <c r="AI38" s="256"/>
      <c r="AJ38" s="256"/>
      <c r="AL38" s="256" t="str">
        <f>Z38</f>
        <v>MELANIE J. YAMBOT</v>
      </c>
      <c r="AM38" s="256"/>
      <c r="AN38" s="256"/>
      <c r="AP38" s="257" t="s">
        <v>51</v>
      </c>
      <c r="AQ38" s="257"/>
      <c r="AR38" s="257"/>
      <c r="AT38" s="256" t="str">
        <f>AH38</f>
        <v>AURORA T. AGUILA</v>
      </c>
      <c r="AU38" s="256"/>
      <c r="AV38" s="256"/>
      <c r="AX38" s="256" t="str">
        <f>AL38</f>
        <v>MELANIE J. YAMBOT</v>
      </c>
      <c r="AY38" s="256"/>
      <c r="AZ38" s="256"/>
      <c r="BB38" s="257" t="s">
        <v>51</v>
      </c>
      <c r="BC38" s="257"/>
      <c r="BD38" s="257"/>
      <c r="BF38" s="256" t="str">
        <f>AT38</f>
        <v>AURORA T. AGUILA</v>
      </c>
      <c r="BG38" s="256"/>
      <c r="BH38" s="256"/>
      <c r="BJ38" s="256" t="str">
        <f>AX38</f>
        <v>MELANIE J. YAMBOT</v>
      </c>
      <c r="BK38" s="256"/>
      <c r="BL38" s="256"/>
      <c r="BN38" s="257" t="s">
        <v>51</v>
      </c>
      <c r="BO38" s="257"/>
      <c r="BP38" s="257"/>
      <c r="BR38" s="256" t="str">
        <f>BF38</f>
        <v>AURORA T. AGUILA</v>
      </c>
      <c r="BS38" s="256"/>
      <c r="BT38" s="256"/>
      <c r="BV38" s="256" t="str">
        <f>BJ38</f>
        <v>MELANIE J. YAMBOT</v>
      </c>
      <c r="BW38" s="256"/>
      <c r="BX38" s="256"/>
      <c r="BZ38" s="257" t="s">
        <v>51</v>
      </c>
      <c r="CA38" s="257"/>
      <c r="CB38" s="257"/>
      <c r="CD38" s="256" t="str">
        <f>BR38</f>
        <v>AURORA T. AGUILA</v>
      </c>
      <c r="CE38" s="256"/>
      <c r="CF38" s="256"/>
      <c r="CH38" s="256" t="str">
        <f>BV38</f>
        <v>MELANIE J. YAMBOT</v>
      </c>
      <c r="CI38" s="256"/>
      <c r="CJ38" s="256"/>
      <c r="CK38" s="7" t="s">
        <v>51</v>
      </c>
      <c r="CL38" s="257" t="s">
        <v>51</v>
      </c>
      <c r="CM38" s="257"/>
      <c r="CN38" s="257"/>
      <c r="CP38" s="256" t="str">
        <f>CD38</f>
        <v>AURORA T. AGUILA</v>
      </c>
      <c r="CQ38" s="256"/>
      <c r="CR38" s="256"/>
      <c r="CT38" s="256" t="str">
        <f>CH38</f>
        <v>MELANIE J. YAMBOT</v>
      </c>
      <c r="CU38" s="256"/>
      <c r="CV38" s="256"/>
      <c r="CW38" s="7" t="s">
        <v>51</v>
      </c>
      <c r="CX38" s="257" t="s">
        <v>51</v>
      </c>
      <c r="CY38" s="257"/>
      <c r="CZ38" s="257"/>
      <c r="DB38" s="256" t="str">
        <f>CP38</f>
        <v>AURORA T. AGUILA</v>
      </c>
      <c r="DC38" s="256"/>
      <c r="DD38" s="256"/>
      <c r="DF38" s="256" t="str">
        <f>CT38</f>
        <v>MELANIE J. YAMBOT</v>
      </c>
      <c r="DG38" s="256"/>
      <c r="DH38" s="256"/>
      <c r="DJ38" s="257" t="s">
        <v>51</v>
      </c>
      <c r="DK38" s="257"/>
      <c r="DL38" s="257"/>
      <c r="DN38" s="256" t="str">
        <f>DB38</f>
        <v>AURORA T. AGUILA</v>
      </c>
      <c r="DO38" s="256"/>
      <c r="DP38" s="256"/>
      <c r="DR38" s="256" t="str">
        <f>DF38</f>
        <v>MELANIE J. YAMBOT</v>
      </c>
      <c r="DS38" s="256"/>
      <c r="DT38" s="256"/>
      <c r="DV38" s="257"/>
      <c r="DW38" s="257"/>
      <c r="DX38" s="257"/>
      <c r="DZ38" s="256" t="str">
        <f>DN38</f>
        <v>AURORA T. AGUILA</v>
      </c>
      <c r="EA38" s="256"/>
      <c r="EB38" s="256"/>
      <c r="ED38" s="256" t="str">
        <f>DR38</f>
        <v>MELANIE J. YAMBOT</v>
      </c>
      <c r="EE38" s="256"/>
      <c r="EF38" s="256"/>
      <c r="EH38" s="257"/>
      <c r="EI38" s="257"/>
      <c r="EJ38" s="257"/>
      <c r="EL38" s="256" t="str">
        <f>DZ38</f>
        <v>AURORA T. AGUILA</v>
      </c>
      <c r="EM38" s="256"/>
      <c r="EN38" s="256"/>
      <c r="EP38" s="257" t="s">
        <v>225</v>
      </c>
      <c r="EQ38" s="257"/>
      <c r="ER38" s="257"/>
      <c r="ET38" s="257"/>
      <c r="EU38" s="257"/>
      <c r="EV38" s="257"/>
      <c r="EX38" s="257" t="s">
        <v>284</v>
      </c>
      <c r="EY38" s="257"/>
      <c r="EZ38" s="257"/>
      <c r="FB38" s="257" t="s">
        <v>225</v>
      </c>
      <c r="FC38" s="257"/>
      <c r="FD38" s="257"/>
      <c r="FF38" s="257"/>
      <c r="FG38" s="257"/>
      <c r="FH38" s="257"/>
      <c r="FJ38" s="257" t="s">
        <v>284</v>
      </c>
      <c r="FK38" s="257"/>
      <c r="FL38" s="257"/>
      <c r="FN38" s="257" t="s">
        <v>225</v>
      </c>
      <c r="FO38" s="257"/>
      <c r="FP38" s="257"/>
      <c r="FR38" s="257"/>
      <c r="FS38" s="257"/>
      <c r="FT38" s="257"/>
      <c r="FV38" s="257" t="s">
        <v>284</v>
      </c>
      <c r="FW38" s="257"/>
      <c r="FX38" s="257"/>
      <c r="FZ38" s="256" t="str">
        <f>ED38</f>
        <v>MELANIE J. YAMBOT</v>
      </c>
      <c r="GA38" s="256"/>
      <c r="GB38" s="256"/>
      <c r="GD38" s="257"/>
      <c r="GE38" s="257"/>
      <c r="GF38" s="257"/>
      <c r="GH38" s="256" t="str">
        <f>EL38</f>
        <v>AURORA T. AGUILA</v>
      </c>
      <c r="GI38" s="256"/>
      <c r="GJ38" s="256"/>
    </row>
    <row r="39" spans="1:192" ht="18.75" customHeight="1">
      <c r="B39" s="258" t="str">
        <f>'Gen CP'!H43</f>
        <v>OIC Assistant Principal II</v>
      </c>
      <c r="C39" s="258"/>
      <c r="D39" s="258"/>
      <c r="F39" s="258"/>
      <c r="G39" s="258"/>
      <c r="H39" s="258"/>
      <c r="J39" s="258" t="str">
        <f>'Gen CP'!N43</f>
        <v>School Principal IV</v>
      </c>
      <c r="K39" s="258"/>
      <c r="L39" s="258"/>
      <c r="N39" s="258" t="str">
        <f>B39</f>
        <v>OIC Assistant Principal II</v>
      </c>
      <c r="O39" s="258"/>
      <c r="P39" s="258"/>
      <c r="R39" s="258"/>
      <c r="S39" s="258"/>
      <c r="T39" s="258"/>
      <c r="V39" s="258" t="str">
        <f>J39</f>
        <v>School Principal IV</v>
      </c>
      <c r="W39" s="258"/>
      <c r="X39" s="258"/>
      <c r="Z39" s="258" t="str">
        <f>N39</f>
        <v>OIC Assistant Principal II</v>
      </c>
      <c r="AA39" s="258"/>
      <c r="AB39" s="258"/>
      <c r="AD39" s="258"/>
      <c r="AE39" s="258"/>
      <c r="AF39" s="258"/>
      <c r="AH39" s="258" t="str">
        <f>V39</f>
        <v>School Principal IV</v>
      </c>
      <c r="AI39" s="258"/>
      <c r="AJ39" s="258"/>
      <c r="AL39" s="258" t="str">
        <f>Z39</f>
        <v>OIC Assistant Principal II</v>
      </c>
      <c r="AM39" s="258"/>
      <c r="AN39" s="258"/>
      <c r="AP39" s="258"/>
      <c r="AQ39" s="258"/>
      <c r="AR39" s="258"/>
      <c r="AT39" s="258" t="str">
        <f>AH39</f>
        <v>School Principal IV</v>
      </c>
      <c r="AU39" s="258"/>
      <c r="AV39" s="258"/>
      <c r="AX39" s="258" t="str">
        <f>AL39</f>
        <v>OIC Assistant Principal II</v>
      </c>
      <c r="AY39" s="258"/>
      <c r="AZ39" s="258"/>
      <c r="BB39" s="258"/>
      <c r="BC39" s="258"/>
      <c r="BD39" s="258"/>
      <c r="BF39" s="258" t="str">
        <f>AT39</f>
        <v>School Principal IV</v>
      </c>
      <c r="BG39" s="258"/>
      <c r="BH39" s="258"/>
      <c r="BJ39" s="258" t="str">
        <f>AX39</f>
        <v>OIC Assistant Principal II</v>
      </c>
      <c r="BK39" s="258"/>
      <c r="BL39" s="258"/>
      <c r="BN39" s="258"/>
      <c r="BO39" s="258"/>
      <c r="BP39" s="258"/>
      <c r="BR39" s="258" t="str">
        <f>BF39</f>
        <v>School Principal IV</v>
      </c>
      <c r="BS39" s="258"/>
      <c r="BT39" s="258"/>
      <c r="BV39" s="258" t="str">
        <f>BJ39</f>
        <v>OIC Assistant Principal II</v>
      </c>
      <c r="BW39" s="258"/>
      <c r="BX39" s="258"/>
      <c r="BZ39" s="258"/>
      <c r="CA39" s="258"/>
      <c r="CB39" s="258"/>
      <c r="CD39" s="258" t="str">
        <f>BR39</f>
        <v>School Principal IV</v>
      </c>
      <c r="CE39" s="258"/>
      <c r="CF39" s="258"/>
      <c r="CH39" s="258" t="str">
        <f>BV39</f>
        <v>OIC Assistant Principal II</v>
      </c>
      <c r="CI39" s="258"/>
      <c r="CJ39" s="258"/>
      <c r="CL39" s="258"/>
      <c r="CM39" s="258"/>
      <c r="CN39" s="258"/>
      <c r="CP39" s="258" t="str">
        <f>CD39</f>
        <v>School Principal IV</v>
      </c>
      <c r="CQ39" s="258"/>
      <c r="CR39" s="258"/>
      <c r="CT39" s="258" t="str">
        <f>CH39</f>
        <v>OIC Assistant Principal II</v>
      </c>
      <c r="CU39" s="258"/>
      <c r="CV39" s="258"/>
      <c r="CX39" s="258"/>
      <c r="CY39" s="258"/>
      <c r="CZ39" s="258"/>
      <c r="DB39" s="258" t="str">
        <f>CP39</f>
        <v>School Principal IV</v>
      </c>
      <c r="DC39" s="258"/>
      <c r="DD39" s="258"/>
      <c r="DF39" s="258" t="str">
        <f>CT39</f>
        <v>OIC Assistant Principal II</v>
      </c>
      <c r="DG39" s="258"/>
      <c r="DH39" s="258"/>
      <c r="DJ39" s="258"/>
      <c r="DK39" s="258"/>
      <c r="DL39" s="258"/>
      <c r="DN39" s="258" t="str">
        <f>DB39</f>
        <v>School Principal IV</v>
      </c>
      <c r="DO39" s="258"/>
      <c r="DP39" s="258"/>
      <c r="DR39" s="258" t="str">
        <f>DF39</f>
        <v>OIC Assistant Principal II</v>
      </c>
      <c r="DS39" s="258"/>
      <c r="DT39" s="258"/>
      <c r="DV39" s="258"/>
      <c r="DW39" s="258"/>
      <c r="DX39" s="258"/>
      <c r="DZ39" s="258" t="str">
        <f>DN39</f>
        <v>School Principal IV</v>
      </c>
      <c r="EA39" s="258"/>
      <c r="EB39" s="258"/>
      <c r="ED39" s="258" t="str">
        <f>DR39</f>
        <v>OIC Assistant Principal II</v>
      </c>
      <c r="EE39" s="258"/>
      <c r="EF39" s="258"/>
      <c r="EH39" s="258"/>
      <c r="EI39" s="258"/>
      <c r="EJ39" s="258"/>
      <c r="EL39" s="258" t="str">
        <f>DZ39</f>
        <v>School Principal IV</v>
      </c>
      <c r="EM39" s="258"/>
      <c r="EN39" s="258"/>
      <c r="EP39" s="258" t="s">
        <v>282</v>
      </c>
      <c r="EQ39" s="258"/>
      <c r="ER39" s="258"/>
      <c r="ET39" s="258"/>
      <c r="EU39" s="258"/>
      <c r="EV39" s="258"/>
      <c r="EX39" s="258" t="s">
        <v>267</v>
      </c>
      <c r="EY39" s="258"/>
      <c r="EZ39" s="258"/>
      <c r="FB39" s="258" t="s">
        <v>282</v>
      </c>
      <c r="FC39" s="258"/>
      <c r="FD39" s="258"/>
      <c r="FF39" s="258"/>
      <c r="FG39" s="258"/>
      <c r="FH39" s="258"/>
      <c r="FJ39" s="258" t="s">
        <v>267</v>
      </c>
      <c r="FK39" s="258"/>
      <c r="FL39" s="258"/>
      <c r="FN39" s="258" t="s">
        <v>282</v>
      </c>
      <c r="FO39" s="258"/>
      <c r="FP39" s="258"/>
      <c r="FR39" s="258"/>
      <c r="FS39" s="258"/>
      <c r="FT39" s="258"/>
      <c r="FV39" s="258" t="s">
        <v>267</v>
      </c>
      <c r="FW39" s="258"/>
      <c r="FX39" s="258"/>
      <c r="FZ39" s="258" t="str">
        <f>ED39</f>
        <v>OIC Assistant Principal II</v>
      </c>
      <c r="GA39" s="258"/>
      <c r="GB39" s="258"/>
      <c r="GD39" s="258"/>
      <c r="GE39" s="258"/>
      <c r="GF39" s="258"/>
      <c r="GH39" s="258" t="str">
        <f>EL39</f>
        <v>School Principal IV</v>
      </c>
      <c r="GI39" s="258"/>
      <c r="GJ39" s="258"/>
    </row>
    <row r="40" spans="1:192">
      <c r="A40" s="258" t="s">
        <v>285</v>
      </c>
      <c r="B40" s="258"/>
      <c r="C40" s="258"/>
      <c r="D40" s="258"/>
      <c r="E40" s="258"/>
      <c r="F40" s="258"/>
      <c r="G40" s="258"/>
      <c r="H40" s="258"/>
      <c r="I40" s="258"/>
      <c r="J40" s="258"/>
      <c r="K40" s="258"/>
      <c r="L40" s="258"/>
      <c r="M40" s="258" t="s">
        <v>285</v>
      </c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Y40" s="258" t="s">
        <v>285</v>
      </c>
      <c r="Z40" s="258"/>
      <c r="AA40" s="258"/>
      <c r="AB40" s="258"/>
      <c r="AC40" s="258"/>
      <c r="AD40" s="258"/>
      <c r="AE40" s="258"/>
      <c r="AF40" s="258"/>
      <c r="AG40" s="258"/>
      <c r="AH40" s="258"/>
      <c r="AI40" s="258"/>
      <c r="AJ40" s="258"/>
      <c r="AK40" s="258" t="s">
        <v>285</v>
      </c>
      <c r="AL40" s="258"/>
      <c r="AM40" s="258"/>
      <c r="AN40" s="258"/>
      <c r="AO40" s="258"/>
      <c r="AP40" s="258"/>
      <c r="AQ40" s="258"/>
      <c r="AR40" s="258"/>
      <c r="AS40" s="258"/>
      <c r="AT40" s="258"/>
      <c r="AU40" s="258"/>
      <c r="AV40" s="258"/>
      <c r="AW40" s="258" t="s">
        <v>51</v>
      </c>
      <c r="AX40" s="258"/>
      <c r="AY40" s="258"/>
      <c r="AZ40" s="258"/>
      <c r="BA40" s="258"/>
      <c r="BB40" s="258"/>
      <c r="BC40" s="258"/>
      <c r="BD40" s="258"/>
      <c r="BE40" s="258"/>
      <c r="BF40" s="258"/>
      <c r="BG40" s="258"/>
      <c r="BH40" s="258"/>
      <c r="BI40" s="258" t="s">
        <v>285</v>
      </c>
      <c r="BJ40" s="258"/>
      <c r="BK40" s="258"/>
      <c r="BL40" s="258"/>
      <c r="BM40" s="258"/>
      <c r="BN40" s="258"/>
      <c r="BO40" s="258"/>
      <c r="BP40" s="258"/>
      <c r="BQ40" s="258"/>
      <c r="BR40" s="258"/>
      <c r="BS40" s="258"/>
      <c r="BT40" s="258"/>
      <c r="BU40" s="258" t="s">
        <v>285</v>
      </c>
      <c r="BV40" s="258"/>
      <c r="BW40" s="258"/>
      <c r="BX40" s="258"/>
      <c r="BY40" s="258"/>
      <c r="BZ40" s="258"/>
      <c r="CA40" s="258"/>
      <c r="CB40" s="258"/>
      <c r="CC40" s="258"/>
      <c r="CD40" s="258"/>
      <c r="CE40" s="258"/>
      <c r="CF40" s="258"/>
      <c r="CG40" s="258" t="s">
        <v>285</v>
      </c>
      <c r="CH40" s="258"/>
      <c r="CI40" s="258"/>
      <c r="CJ40" s="258"/>
      <c r="CK40" s="258"/>
      <c r="CL40" s="258"/>
      <c r="CM40" s="258"/>
      <c r="CN40" s="258"/>
      <c r="CO40" s="258"/>
      <c r="CP40" s="258"/>
      <c r="CQ40" s="258"/>
      <c r="CR40" s="258"/>
      <c r="CS40" s="258" t="s">
        <v>285</v>
      </c>
      <c r="CT40" s="258"/>
      <c r="CU40" s="258"/>
      <c r="CV40" s="258"/>
      <c r="CW40" s="258"/>
      <c r="CX40" s="258"/>
      <c r="CY40" s="258"/>
      <c r="CZ40" s="258"/>
      <c r="DA40" s="258"/>
      <c r="DB40" s="258"/>
      <c r="DC40" s="258"/>
      <c r="DD40" s="258"/>
      <c r="DE40" s="258" t="s">
        <v>285</v>
      </c>
      <c r="DF40" s="258"/>
      <c r="DG40" s="258"/>
      <c r="DH40" s="258"/>
      <c r="DI40" s="258"/>
      <c r="DJ40" s="258"/>
      <c r="DK40" s="258"/>
      <c r="DL40" s="258"/>
      <c r="DM40" s="258"/>
      <c r="DN40" s="258"/>
      <c r="DO40" s="258"/>
      <c r="DP40" s="258"/>
      <c r="DQ40" s="258" t="s">
        <v>285</v>
      </c>
      <c r="DR40" s="258"/>
      <c r="DS40" s="258"/>
      <c r="DT40" s="258"/>
      <c r="DU40" s="258"/>
      <c r="DV40" s="258"/>
      <c r="DW40" s="258"/>
      <c r="DX40" s="258"/>
      <c r="DY40" s="258"/>
      <c r="DZ40" s="258"/>
      <c r="EA40" s="258"/>
      <c r="EB40" s="258"/>
      <c r="EC40" s="258" t="s">
        <v>285</v>
      </c>
      <c r="ED40" s="258"/>
      <c r="EE40" s="258"/>
      <c r="EF40" s="258"/>
      <c r="EG40" s="258"/>
      <c r="EH40" s="258"/>
      <c r="EI40" s="258"/>
      <c r="EJ40" s="258"/>
      <c r="EK40" s="258"/>
      <c r="EL40" s="258"/>
      <c r="EM40" s="258"/>
      <c r="EN40" s="258"/>
      <c r="EO40" s="258" t="s">
        <v>285</v>
      </c>
      <c r="EP40" s="258"/>
      <c r="EQ40" s="258"/>
      <c r="ER40" s="258"/>
      <c r="ES40" s="258"/>
      <c r="ET40" s="258"/>
      <c r="EU40" s="258"/>
      <c r="EV40" s="258"/>
      <c r="EW40" s="258"/>
      <c r="EX40" s="258"/>
      <c r="EY40" s="258"/>
      <c r="EZ40" s="258"/>
      <c r="FA40" s="258" t="s">
        <v>285</v>
      </c>
      <c r="FB40" s="258"/>
      <c r="FC40" s="258"/>
      <c r="FD40" s="258"/>
      <c r="FE40" s="258"/>
      <c r="FF40" s="258"/>
      <c r="FG40" s="258"/>
      <c r="FH40" s="258"/>
      <c r="FI40" s="258"/>
      <c r="FJ40" s="258"/>
      <c r="FK40" s="258"/>
      <c r="FL40" s="258"/>
      <c r="FM40" s="258" t="s">
        <v>285</v>
      </c>
      <c r="FN40" s="258"/>
      <c r="FO40" s="258"/>
      <c r="FP40" s="258"/>
      <c r="FQ40" s="258"/>
      <c r="FR40" s="258"/>
      <c r="FS40" s="258"/>
      <c r="FT40" s="258"/>
      <c r="FU40" s="258"/>
      <c r="FV40" s="258"/>
      <c r="FW40" s="258"/>
      <c r="FX40" s="258"/>
      <c r="FY40" s="258" t="s">
        <v>285</v>
      </c>
      <c r="FZ40" s="258"/>
      <c r="GA40" s="258"/>
      <c r="GB40" s="258"/>
      <c r="GC40" s="258"/>
      <c r="GD40" s="258"/>
      <c r="GE40" s="258"/>
      <c r="GF40" s="258"/>
      <c r="GG40" s="258"/>
      <c r="GH40" s="258"/>
      <c r="GI40" s="258"/>
      <c r="GJ40" s="258"/>
    </row>
    <row r="41" spans="1:192">
      <c r="A41" s="258" t="s">
        <v>1</v>
      </c>
      <c r="B41" s="258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 t="s">
        <v>1</v>
      </c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Y41" s="258" t="s">
        <v>1</v>
      </c>
      <c r="Z41" s="258"/>
      <c r="AA41" s="258"/>
      <c r="AB41" s="258"/>
      <c r="AC41" s="258"/>
      <c r="AD41" s="258"/>
      <c r="AE41" s="258"/>
      <c r="AF41" s="258"/>
      <c r="AG41" s="258"/>
      <c r="AH41" s="258"/>
      <c r="AI41" s="258"/>
      <c r="AJ41" s="258"/>
      <c r="AK41" s="258" t="s">
        <v>1</v>
      </c>
      <c r="AL41" s="258"/>
      <c r="AM41" s="258"/>
      <c r="AN41" s="258"/>
      <c r="AO41" s="258"/>
      <c r="AP41" s="258"/>
      <c r="AQ41" s="258"/>
      <c r="AR41" s="258"/>
      <c r="AS41" s="258"/>
      <c r="AT41" s="258"/>
      <c r="AU41" s="258"/>
      <c r="AV41" s="258"/>
      <c r="AW41" s="258" t="s">
        <v>1</v>
      </c>
      <c r="AX41" s="258"/>
      <c r="AY41" s="258"/>
      <c r="AZ41" s="258"/>
      <c r="BA41" s="258"/>
      <c r="BB41" s="258"/>
      <c r="BC41" s="258"/>
      <c r="BD41" s="258"/>
      <c r="BE41" s="258"/>
      <c r="BF41" s="258"/>
      <c r="BG41" s="258"/>
      <c r="BH41" s="258"/>
      <c r="BI41" s="258" t="s">
        <v>1</v>
      </c>
      <c r="BJ41" s="258"/>
      <c r="BK41" s="258"/>
      <c r="BL41" s="258"/>
      <c r="BM41" s="258"/>
      <c r="BN41" s="258"/>
      <c r="BO41" s="258"/>
      <c r="BP41" s="258"/>
      <c r="BQ41" s="258"/>
      <c r="BR41" s="258"/>
      <c r="BS41" s="258"/>
      <c r="BT41" s="258"/>
      <c r="BU41" s="258" t="s">
        <v>1</v>
      </c>
      <c r="BV41" s="258"/>
      <c r="BW41" s="258"/>
      <c r="BX41" s="258"/>
      <c r="BY41" s="258"/>
      <c r="BZ41" s="258"/>
      <c r="CA41" s="258"/>
      <c r="CB41" s="258"/>
      <c r="CC41" s="258"/>
      <c r="CD41" s="258"/>
      <c r="CE41" s="258"/>
      <c r="CF41" s="258"/>
      <c r="CG41" s="258" t="s">
        <v>1</v>
      </c>
      <c r="CH41" s="258"/>
      <c r="CI41" s="258"/>
      <c r="CJ41" s="258"/>
      <c r="CK41" s="258"/>
      <c r="CL41" s="258"/>
      <c r="CM41" s="258"/>
      <c r="CN41" s="258"/>
      <c r="CO41" s="258"/>
      <c r="CP41" s="258"/>
      <c r="CQ41" s="258"/>
      <c r="CR41" s="258"/>
      <c r="CS41" s="258" t="s">
        <v>1</v>
      </c>
      <c r="CT41" s="258"/>
      <c r="CU41" s="258"/>
      <c r="CV41" s="258"/>
      <c r="CW41" s="258"/>
      <c r="CX41" s="258"/>
      <c r="CY41" s="258"/>
      <c r="CZ41" s="258"/>
      <c r="DA41" s="258"/>
      <c r="DB41" s="258"/>
      <c r="DC41" s="258"/>
      <c r="DD41" s="258"/>
      <c r="DE41" s="258" t="s">
        <v>1</v>
      </c>
      <c r="DF41" s="258"/>
      <c r="DG41" s="258"/>
      <c r="DH41" s="258"/>
      <c r="DI41" s="258"/>
      <c r="DJ41" s="258"/>
      <c r="DK41" s="258"/>
      <c r="DL41" s="258"/>
      <c r="DM41" s="258"/>
      <c r="DN41" s="258"/>
      <c r="DO41" s="258"/>
      <c r="DP41" s="258"/>
      <c r="DQ41" s="258" t="s">
        <v>1</v>
      </c>
      <c r="DR41" s="258"/>
      <c r="DS41" s="258"/>
      <c r="DT41" s="258"/>
      <c r="DU41" s="258"/>
      <c r="DV41" s="258"/>
      <c r="DW41" s="258"/>
      <c r="DX41" s="258"/>
      <c r="DY41" s="258"/>
      <c r="DZ41" s="258"/>
      <c r="EA41" s="258"/>
      <c r="EB41" s="258"/>
      <c r="EC41" s="258" t="s">
        <v>1</v>
      </c>
      <c r="ED41" s="258"/>
      <c r="EE41" s="258"/>
      <c r="EF41" s="258"/>
      <c r="EG41" s="258"/>
      <c r="EH41" s="258"/>
      <c r="EI41" s="258"/>
      <c r="EJ41" s="258"/>
      <c r="EK41" s="258"/>
      <c r="EL41" s="258"/>
      <c r="EM41" s="258"/>
      <c r="EN41" s="258"/>
      <c r="EO41" s="258" t="s">
        <v>1</v>
      </c>
      <c r="EP41" s="258"/>
      <c r="EQ41" s="258"/>
      <c r="ER41" s="258"/>
      <c r="ES41" s="258"/>
      <c r="ET41" s="258"/>
      <c r="EU41" s="258"/>
      <c r="EV41" s="258"/>
      <c r="EW41" s="258"/>
      <c r="EX41" s="258"/>
      <c r="EY41" s="258"/>
      <c r="EZ41" s="258"/>
      <c r="FA41" s="258" t="s">
        <v>1</v>
      </c>
      <c r="FB41" s="258"/>
      <c r="FC41" s="258"/>
      <c r="FD41" s="258"/>
      <c r="FE41" s="258"/>
      <c r="FF41" s="258"/>
      <c r="FG41" s="258"/>
      <c r="FH41" s="258"/>
      <c r="FI41" s="258"/>
      <c r="FJ41" s="258"/>
      <c r="FK41" s="258"/>
      <c r="FL41" s="258"/>
      <c r="FM41" s="258" t="s">
        <v>1</v>
      </c>
      <c r="FN41" s="258"/>
      <c r="FO41" s="258"/>
      <c r="FP41" s="258"/>
      <c r="FQ41" s="258"/>
      <c r="FR41" s="258"/>
      <c r="FS41" s="258"/>
      <c r="FT41" s="258"/>
      <c r="FU41" s="258"/>
      <c r="FV41" s="258"/>
      <c r="FW41" s="258"/>
      <c r="FX41" s="258"/>
      <c r="FY41" s="258" t="s">
        <v>1</v>
      </c>
      <c r="FZ41" s="258"/>
      <c r="GA41" s="258"/>
      <c r="GB41" s="258"/>
      <c r="GC41" s="258"/>
      <c r="GD41" s="258"/>
      <c r="GE41" s="258"/>
      <c r="GF41" s="258"/>
      <c r="GG41" s="258"/>
      <c r="GH41" s="258"/>
      <c r="GI41" s="258"/>
      <c r="GJ41" s="258"/>
    </row>
    <row r="42" spans="1:192">
      <c r="A42" s="258" t="s">
        <v>228</v>
      </c>
      <c r="B42" s="258"/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258" t="s">
        <v>228</v>
      </c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Y42" s="258" t="s">
        <v>228</v>
      </c>
      <c r="Z42" s="258"/>
      <c r="AA42" s="258"/>
      <c r="AB42" s="258"/>
      <c r="AC42" s="258"/>
      <c r="AD42" s="258"/>
      <c r="AE42" s="258"/>
      <c r="AF42" s="258"/>
      <c r="AG42" s="258"/>
      <c r="AH42" s="258"/>
      <c r="AI42" s="258"/>
      <c r="AJ42" s="258"/>
      <c r="AK42" s="258" t="s">
        <v>228</v>
      </c>
      <c r="AL42" s="258"/>
      <c r="AM42" s="258"/>
      <c r="AN42" s="258"/>
      <c r="AO42" s="258"/>
      <c r="AP42" s="258"/>
      <c r="AQ42" s="258"/>
      <c r="AR42" s="258"/>
      <c r="AS42" s="258"/>
      <c r="AT42" s="258"/>
      <c r="AU42" s="258"/>
      <c r="AV42" s="258"/>
      <c r="AW42" s="258"/>
      <c r="AX42" s="258"/>
      <c r="AY42" s="258"/>
      <c r="AZ42" s="258"/>
      <c r="BA42" s="258"/>
      <c r="BB42" s="258"/>
      <c r="BC42" s="258"/>
      <c r="BD42" s="258"/>
      <c r="BE42" s="258"/>
      <c r="BF42" s="258"/>
      <c r="BG42" s="258"/>
      <c r="BH42" s="258"/>
      <c r="BI42" s="258" t="s">
        <v>228</v>
      </c>
      <c r="BJ42" s="258"/>
      <c r="BK42" s="258"/>
      <c r="BL42" s="258"/>
      <c r="BM42" s="258"/>
      <c r="BN42" s="258"/>
      <c r="BO42" s="258"/>
      <c r="BP42" s="258"/>
      <c r="BQ42" s="258"/>
      <c r="BR42" s="258"/>
      <c r="BS42" s="258"/>
      <c r="BT42" s="258"/>
      <c r="BU42" s="258" t="s">
        <v>228</v>
      </c>
      <c r="BV42" s="258"/>
      <c r="BW42" s="258"/>
      <c r="BX42" s="258"/>
      <c r="BY42" s="258"/>
      <c r="BZ42" s="258"/>
      <c r="CA42" s="258"/>
      <c r="CB42" s="258"/>
      <c r="CC42" s="258"/>
      <c r="CD42" s="258"/>
      <c r="CE42" s="258"/>
      <c r="CF42" s="258"/>
      <c r="CG42" s="258" t="s">
        <v>228</v>
      </c>
      <c r="CH42" s="258"/>
      <c r="CI42" s="258"/>
      <c r="CJ42" s="258"/>
      <c r="CK42" s="258"/>
      <c r="CL42" s="258"/>
      <c r="CM42" s="258"/>
      <c r="CN42" s="258"/>
      <c r="CO42" s="258"/>
      <c r="CP42" s="258"/>
      <c r="CQ42" s="258"/>
      <c r="CR42" s="258"/>
      <c r="CS42" s="258" t="s">
        <v>228</v>
      </c>
      <c r="CT42" s="258"/>
      <c r="CU42" s="258"/>
      <c r="CV42" s="258"/>
      <c r="CW42" s="258"/>
      <c r="CX42" s="258"/>
      <c r="CY42" s="258"/>
      <c r="CZ42" s="258"/>
      <c r="DA42" s="258"/>
      <c r="DB42" s="258"/>
      <c r="DC42" s="258"/>
      <c r="DD42" s="258"/>
      <c r="DE42" s="258" t="s">
        <v>228</v>
      </c>
      <c r="DF42" s="258"/>
      <c r="DG42" s="258"/>
      <c r="DH42" s="258"/>
      <c r="DI42" s="258"/>
      <c r="DJ42" s="258"/>
      <c r="DK42" s="258"/>
      <c r="DL42" s="258"/>
      <c r="DM42" s="258"/>
      <c r="DN42" s="258"/>
      <c r="DO42" s="258"/>
      <c r="DP42" s="258"/>
      <c r="DQ42" s="258" t="s">
        <v>228</v>
      </c>
      <c r="DR42" s="258"/>
      <c r="DS42" s="258"/>
      <c r="DT42" s="258"/>
      <c r="DU42" s="258"/>
      <c r="DV42" s="258"/>
      <c r="DW42" s="258"/>
      <c r="DX42" s="258"/>
      <c r="DY42" s="258"/>
      <c r="DZ42" s="258"/>
      <c r="EA42" s="258"/>
      <c r="EB42" s="258"/>
      <c r="EC42" s="258" t="s">
        <v>228</v>
      </c>
      <c r="ED42" s="258"/>
      <c r="EE42" s="258"/>
      <c r="EF42" s="258"/>
      <c r="EG42" s="258"/>
      <c r="EH42" s="258"/>
      <c r="EI42" s="258"/>
      <c r="EJ42" s="258"/>
      <c r="EK42" s="258"/>
      <c r="EL42" s="258"/>
      <c r="EM42" s="258"/>
      <c r="EN42" s="258"/>
      <c r="EO42" s="258" t="s">
        <v>228</v>
      </c>
      <c r="EP42" s="258"/>
      <c r="EQ42" s="258"/>
      <c r="ER42" s="258"/>
      <c r="ES42" s="258"/>
      <c r="ET42" s="258"/>
      <c r="EU42" s="258"/>
      <c r="EV42" s="258"/>
      <c r="EW42" s="258"/>
      <c r="EX42" s="258"/>
      <c r="EY42" s="258"/>
      <c r="EZ42" s="258"/>
      <c r="FA42" s="258" t="s">
        <v>228</v>
      </c>
      <c r="FB42" s="258"/>
      <c r="FC42" s="258"/>
      <c r="FD42" s="258"/>
      <c r="FE42" s="258"/>
      <c r="FF42" s="258"/>
      <c r="FG42" s="258"/>
      <c r="FH42" s="258"/>
      <c r="FI42" s="258"/>
      <c r="FJ42" s="258"/>
      <c r="FK42" s="258"/>
      <c r="FL42" s="258"/>
      <c r="FM42" s="258" t="s">
        <v>228</v>
      </c>
      <c r="FN42" s="258"/>
      <c r="FO42" s="258"/>
      <c r="FP42" s="258"/>
      <c r="FQ42" s="258"/>
      <c r="FR42" s="258"/>
      <c r="FS42" s="258"/>
      <c r="FT42" s="258"/>
      <c r="FU42" s="258"/>
      <c r="FV42" s="258"/>
      <c r="FW42" s="258"/>
      <c r="FX42" s="258"/>
      <c r="FY42" s="258" t="s">
        <v>228</v>
      </c>
      <c r="FZ42" s="258"/>
      <c r="GA42" s="258"/>
      <c r="GB42" s="258"/>
      <c r="GC42" s="258"/>
      <c r="GD42" s="258"/>
      <c r="GE42" s="258"/>
      <c r="GF42" s="258"/>
      <c r="GG42" s="258"/>
      <c r="GH42" s="258"/>
      <c r="GI42" s="258"/>
      <c r="GJ42" s="258"/>
    </row>
    <row r="43" spans="1:192" ht="15.5">
      <c r="A43" s="284" t="s">
        <v>301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 t="s">
        <v>301</v>
      </c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 t="s">
        <v>301</v>
      </c>
      <c r="Z43" s="284"/>
      <c r="AA43" s="284"/>
      <c r="AB43" s="284"/>
      <c r="AC43" s="284"/>
      <c r="AD43" s="284"/>
      <c r="AE43" s="284"/>
      <c r="AF43" s="284"/>
      <c r="AG43" s="284"/>
      <c r="AH43" s="284"/>
      <c r="AI43" s="284"/>
      <c r="AJ43" s="284"/>
      <c r="AK43" s="284" t="s">
        <v>301</v>
      </c>
      <c r="AL43" s="284"/>
      <c r="AM43" s="284"/>
      <c r="AN43" s="284"/>
      <c r="AO43" s="284"/>
      <c r="AP43" s="284"/>
      <c r="AQ43" s="284"/>
      <c r="AR43" s="284"/>
      <c r="AS43" s="284"/>
      <c r="AT43" s="284"/>
      <c r="AU43" s="284"/>
      <c r="AV43" s="284"/>
      <c r="AW43" s="284" t="s">
        <v>301</v>
      </c>
      <c r="AX43" s="284"/>
      <c r="AY43" s="284"/>
      <c r="AZ43" s="284"/>
      <c r="BA43" s="284"/>
      <c r="BB43" s="284"/>
      <c r="BC43" s="284"/>
      <c r="BD43" s="284"/>
      <c r="BE43" s="284"/>
      <c r="BF43" s="284"/>
      <c r="BG43" s="284"/>
      <c r="BH43" s="284"/>
      <c r="BI43" s="284" t="s">
        <v>301</v>
      </c>
      <c r="BJ43" s="284"/>
      <c r="BK43" s="284"/>
      <c r="BL43" s="284"/>
      <c r="BM43" s="284"/>
      <c r="BN43" s="284"/>
      <c r="BO43" s="284"/>
      <c r="BP43" s="284"/>
      <c r="BQ43" s="284"/>
      <c r="BR43" s="284"/>
      <c r="BS43" s="284"/>
      <c r="BT43" s="284"/>
      <c r="BU43" s="284" t="s">
        <v>301</v>
      </c>
      <c r="BV43" s="284"/>
      <c r="BW43" s="284"/>
      <c r="BX43" s="284"/>
      <c r="BY43" s="284"/>
      <c r="BZ43" s="284"/>
      <c r="CA43" s="284"/>
      <c r="CB43" s="284"/>
      <c r="CC43" s="284"/>
      <c r="CD43" s="284"/>
      <c r="CE43" s="284"/>
      <c r="CF43" s="284"/>
      <c r="CG43" s="284" t="s">
        <v>301</v>
      </c>
      <c r="CH43" s="284"/>
      <c r="CI43" s="284"/>
      <c r="CJ43" s="284"/>
      <c r="CK43" s="284"/>
      <c r="CL43" s="284"/>
      <c r="CM43" s="284"/>
      <c r="CN43" s="284"/>
      <c r="CO43" s="284"/>
      <c r="CP43" s="284"/>
      <c r="CQ43" s="284"/>
      <c r="CR43" s="284"/>
      <c r="CS43" s="284" t="s">
        <v>301</v>
      </c>
      <c r="CT43" s="284"/>
      <c r="CU43" s="284"/>
      <c r="CV43" s="284"/>
      <c r="CW43" s="284"/>
      <c r="CX43" s="284"/>
      <c r="CY43" s="284"/>
      <c r="CZ43" s="284"/>
      <c r="DA43" s="284"/>
      <c r="DB43" s="284"/>
      <c r="DC43" s="284"/>
      <c r="DD43" s="284"/>
      <c r="DE43" s="284" t="s">
        <v>301</v>
      </c>
      <c r="DF43" s="284"/>
      <c r="DG43" s="284"/>
      <c r="DH43" s="284"/>
      <c r="DI43" s="284"/>
      <c r="DJ43" s="284"/>
      <c r="DK43" s="284"/>
      <c r="DL43" s="284"/>
      <c r="DM43" s="284"/>
      <c r="DN43" s="284"/>
      <c r="DO43" s="284"/>
      <c r="DP43" s="284"/>
      <c r="DQ43" s="284" t="s">
        <v>301</v>
      </c>
      <c r="DR43" s="284"/>
      <c r="DS43" s="284"/>
      <c r="DT43" s="284"/>
      <c r="DU43" s="284"/>
      <c r="DV43" s="284"/>
      <c r="DW43" s="284"/>
      <c r="DX43" s="284"/>
      <c r="DY43" s="284"/>
      <c r="DZ43" s="284"/>
      <c r="EA43" s="284"/>
      <c r="EB43" s="284"/>
      <c r="EC43" s="284" t="s">
        <v>301</v>
      </c>
      <c r="ED43" s="284"/>
      <c r="EE43" s="284"/>
      <c r="EF43" s="284"/>
      <c r="EG43" s="284"/>
      <c r="EH43" s="284"/>
      <c r="EI43" s="284"/>
      <c r="EJ43" s="284"/>
      <c r="EK43" s="284"/>
      <c r="EL43" s="284"/>
      <c r="EM43" s="284"/>
      <c r="EN43" s="284"/>
      <c r="EO43" s="284" t="s">
        <v>301</v>
      </c>
      <c r="EP43" s="284"/>
      <c r="EQ43" s="284"/>
      <c r="ER43" s="284"/>
      <c r="ES43" s="284"/>
      <c r="ET43" s="284"/>
      <c r="EU43" s="284"/>
      <c r="EV43" s="284"/>
      <c r="EW43" s="284"/>
      <c r="EX43" s="284"/>
      <c r="EY43" s="284"/>
      <c r="EZ43" s="284"/>
      <c r="FA43" s="284" t="s">
        <v>301</v>
      </c>
      <c r="FB43" s="284"/>
      <c r="FC43" s="284"/>
      <c r="FD43" s="284"/>
      <c r="FE43" s="284"/>
      <c r="FF43" s="284"/>
      <c r="FG43" s="284"/>
      <c r="FH43" s="284"/>
      <c r="FI43" s="284"/>
      <c r="FJ43" s="284"/>
      <c r="FK43" s="284"/>
      <c r="FL43" s="284"/>
      <c r="FM43" s="284" t="s">
        <v>301</v>
      </c>
      <c r="FN43" s="284"/>
      <c r="FO43" s="284"/>
      <c r="FP43" s="284"/>
      <c r="FQ43" s="284"/>
      <c r="FR43" s="284"/>
      <c r="FS43" s="284"/>
      <c r="FT43" s="284"/>
      <c r="FU43" s="284"/>
      <c r="FV43" s="284"/>
      <c r="FW43" s="284"/>
      <c r="FX43" s="284"/>
      <c r="FY43" s="284" t="s">
        <v>301</v>
      </c>
      <c r="FZ43" s="284"/>
      <c r="GA43" s="284"/>
      <c r="GB43" s="284"/>
      <c r="GC43" s="284"/>
      <c r="GD43" s="284"/>
      <c r="GE43" s="284"/>
      <c r="GF43" s="284"/>
      <c r="GG43" s="284"/>
      <c r="GH43" s="284"/>
      <c r="GI43" s="284"/>
      <c r="GJ43" s="284"/>
    </row>
    <row r="44" spans="1:192">
      <c r="A44" s="258" t="s">
        <v>286</v>
      </c>
      <c r="B44" s="258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8" t="s">
        <v>286</v>
      </c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 t="s">
        <v>286</v>
      </c>
      <c r="Z44" s="258"/>
      <c r="AA44" s="258"/>
      <c r="AB44" s="258"/>
      <c r="AC44" s="258"/>
      <c r="AD44" s="258"/>
      <c r="AE44" s="258"/>
      <c r="AF44" s="258"/>
      <c r="AG44" s="258"/>
      <c r="AH44" s="258"/>
      <c r="AI44" s="258"/>
      <c r="AJ44" s="258"/>
      <c r="AK44" s="258" t="s">
        <v>286</v>
      </c>
      <c r="AL44" s="258"/>
      <c r="AM44" s="258"/>
      <c r="AN44" s="258"/>
      <c r="AO44" s="258"/>
      <c r="AP44" s="258"/>
      <c r="AQ44" s="258"/>
      <c r="AR44" s="258"/>
      <c r="AS44" s="258"/>
      <c r="AT44" s="258"/>
      <c r="AU44" s="258"/>
      <c r="AV44" s="258"/>
      <c r="AW44" s="258" t="s">
        <v>286</v>
      </c>
      <c r="AX44" s="258"/>
      <c r="AY44" s="258"/>
      <c r="AZ44" s="258"/>
      <c r="BA44" s="258"/>
      <c r="BB44" s="258"/>
      <c r="BC44" s="258"/>
      <c r="BD44" s="258"/>
      <c r="BE44" s="258"/>
      <c r="BF44" s="258"/>
      <c r="BG44" s="258"/>
      <c r="BH44" s="258"/>
      <c r="BI44" s="258" t="s">
        <v>286</v>
      </c>
      <c r="BJ44" s="258"/>
      <c r="BK44" s="258"/>
      <c r="BL44" s="258"/>
      <c r="BM44" s="258"/>
      <c r="BN44" s="258"/>
      <c r="BO44" s="258"/>
      <c r="BP44" s="258"/>
      <c r="BQ44" s="258"/>
      <c r="BR44" s="258"/>
      <c r="BS44" s="258"/>
      <c r="BT44" s="258"/>
      <c r="BU44" s="258" t="s">
        <v>286</v>
      </c>
      <c r="BV44" s="258"/>
      <c r="BW44" s="258"/>
      <c r="BX44" s="258"/>
      <c r="BY44" s="258"/>
      <c r="BZ44" s="258"/>
      <c r="CA44" s="258"/>
      <c r="CB44" s="258"/>
      <c r="CC44" s="258"/>
      <c r="CD44" s="258"/>
      <c r="CE44" s="258"/>
      <c r="CF44" s="258"/>
      <c r="CG44" s="258" t="s">
        <v>286</v>
      </c>
      <c r="CH44" s="258"/>
      <c r="CI44" s="258"/>
      <c r="CJ44" s="258"/>
      <c r="CK44" s="258"/>
      <c r="CL44" s="258"/>
      <c r="CM44" s="258"/>
      <c r="CN44" s="258"/>
      <c r="CO44" s="258"/>
      <c r="CP44" s="258"/>
      <c r="CQ44" s="258"/>
      <c r="CR44" s="258"/>
      <c r="CS44" s="258" t="s">
        <v>286</v>
      </c>
      <c r="CT44" s="258"/>
      <c r="CU44" s="258"/>
      <c r="CV44" s="258"/>
      <c r="CW44" s="258"/>
      <c r="CX44" s="258"/>
      <c r="CY44" s="258"/>
      <c r="CZ44" s="258"/>
      <c r="DA44" s="258"/>
      <c r="DB44" s="258"/>
      <c r="DC44" s="258"/>
      <c r="DD44" s="258"/>
      <c r="DE44" s="258" t="s">
        <v>286</v>
      </c>
      <c r="DF44" s="258"/>
      <c r="DG44" s="258"/>
      <c r="DH44" s="258"/>
      <c r="DI44" s="258"/>
      <c r="DJ44" s="258"/>
      <c r="DK44" s="258"/>
      <c r="DL44" s="258"/>
      <c r="DM44" s="258"/>
      <c r="DN44" s="258"/>
      <c r="DO44" s="258"/>
      <c r="DP44" s="258"/>
      <c r="DQ44" s="258" t="s">
        <v>286</v>
      </c>
      <c r="DR44" s="258"/>
      <c r="DS44" s="258"/>
      <c r="DT44" s="258"/>
      <c r="DU44" s="258"/>
      <c r="DV44" s="258"/>
      <c r="DW44" s="258"/>
      <c r="DX44" s="258"/>
      <c r="DY44" s="258"/>
      <c r="DZ44" s="258"/>
      <c r="EA44" s="258"/>
      <c r="EB44" s="258"/>
      <c r="EC44" s="258" t="s">
        <v>286</v>
      </c>
      <c r="ED44" s="258"/>
      <c r="EE44" s="258"/>
      <c r="EF44" s="258"/>
      <c r="EG44" s="258"/>
      <c r="EH44" s="258"/>
      <c r="EI44" s="258"/>
      <c r="EJ44" s="258"/>
      <c r="EK44" s="258"/>
      <c r="EL44" s="258"/>
      <c r="EM44" s="258"/>
      <c r="EN44" s="258"/>
      <c r="EO44" s="258" t="s">
        <v>286</v>
      </c>
      <c r="EP44" s="258"/>
      <c r="EQ44" s="258"/>
      <c r="ER44" s="258"/>
      <c r="ES44" s="258"/>
      <c r="ET44" s="258"/>
      <c r="EU44" s="258"/>
      <c r="EV44" s="258"/>
      <c r="EW44" s="258"/>
      <c r="EX44" s="258"/>
      <c r="EY44" s="258"/>
      <c r="EZ44" s="258"/>
      <c r="FA44" s="258" t="s">
        <v>286</v>
      </c>
      <c r="FB44" s="258"/>
      <c r="FC44" s="258"/>
      <c r="FD44" s="258"/>
      <c r="FE44" s="258"/>
      <c r="FF44" s="258"/>
      <c r="FG44" s="258"/>
      <c r="FH44" s="258"/>
      <c r="FI44" s="258"/>
      <c r="FJ44" s="258"/>
      <c r="FK44" s="258"/>
      <c r="FL44" s="258"/>
      <c r="FM44" s="258" t="s">
        <v>286</v>
      </c>
      <c r="FN44" s="258"/>
      <c r="FO44" s="258"/>
      <c r="FP44" s="258"/>
      <c r="FQ44" s="258"/>
      <c r="FR44" s="258"/>
      <c r="FS44" s="258"/>
      <c r="FT44" s="258"/>
      <c r="FU44" s="258"/>
      <c r="FV44" s="258"/>
      <c r="FW44" s="258"/>
      <c r="FX44" s="258"/>
      <c r="FY44" s="258" t="s">
        <v>286</v>
      </c>
      <c r="FZ44" s="258"/>
      <c r="GA44" s="258"/>
      <c r="GB44" s="258"/>
      <c r="GC44" s="258"/>
      <c r="GD44" s="258"/>
      <c r="GE44" s="258"/>
      <c r="GF44" s="258"/>
      <c r="GG44" s="258"/>
      <c r="GH44" s="258"/>
      <c r="GI44" s="258"/>
      <c r="GJ44" s="258"/>
    </row>
    <row r="45" spans="1:192" ht="9" customHeight="1">
      <c r="X45" s="1" t="s">
        <v>51</v>
      </c>
      <c r="AB45" s="1" t="s">
        <v>51</v>
      </c>
      <c r="BG45" s="1" t="s">
        <v>51</v>
      </c>
      <c r="BK45" s="1" t="s">
        <v>51</v>
      </c>
      <c r="BW45" s="1" t="s">
        <v>51</v>
      </c>
      <c r="BX45" s="1" t="s">
        <v>51</v>
      </c>
      <c r="EA45" s="1" t="s">
        <v>51</v>
      </c>
      <c r="GA45" s="1" t="s">
        <v>51</v>
      </c>
      <c r="GB45" s="1" t="s">
        <v>51</v>
      </c>
    </row>
    <row r="46" spans="1:192">
      <c r="A46" s="257" t="s">
        <v>307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 t="s">
        <v>307</v>
      </c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 t="s">
        <v>307</v>
      </c>
      <c r="Z46" s="257"/>
      <c r="AA46" s="257"/>
      <c r="AB46" s="257"/>
      <c r="AC46" s="257"/>
      <c r="AD46" s="257"/>
      <c r="AE46" s="257"/>
      <c r="AF46" s="257"/>
      <c r="AG46" s="257"/>
      <c r="AH46" s="257"/>
      <c r="AI46" s="257"/>
      <c r="AJ46" s="257"/>
      <c r="AK46" s="257" t="s">
        <v>307</v>
      </c>
      <c r="AL46" s="257"/>
      <c r="AM46" s="257"/>
      <c r="AN46" s="257"/>
      <c r="AO46" s="257"/>
      <c r="AP46" s="257"/>
      <c r="AQ46" s="257"/>
      <c r="AR46" s="257"/>
      <c r="AS46" s="257"/>
      <c r="AT46" s="257"/>
      <c r="AU46" s="257"/>
      <c r="AV46" s="257"/>
      <c r="AW46" s="257" t="s">
        <v>307</v>
      </c>
      <c r="AX46" s="257"/>
      <c r="AY46" s="257"/>
      <c r="AZ46" s="257"/>
      <c r="BA46" s="257"/>
      <c r="BB46" s="257"/>
      <c r="BC46" s="257"/>
      <c r="BD46" s="257"/>
      <c r="BE46" s="257"/>
      <c r="BF46" s="257"/>
      <c r="BG46" s="257"/>
      <c r="BH46" s="257"/>
      <c r="BI46" s="257" t="s">
        <v>307</v>
      </c>
      <c r="BJ46" s="257"/>
      <c r="BK46" s="257"/>
      <c r="BL46" s="257"/>
      <c r="BM46" s="257"/>
      <c r="BN46" s="257"/>
      <c r="BO46" s="257"/>
      <c r="BP46" s="257"/>
      <c r="BQ46" s="257"/>
      <c r="BR46" s="257"/>
      <c r="BS46" s="257"/>
      <c r="BT46" s="257"/>
      <c r="BU46" s="257" t="s">
        <v>307</v>
      </c>
      <c r="BV46" s="257"/>
      <c r="BW46" s="257"/>
      <c r="BX46" s="257"/>
      <c r="BY46" s="257"/>
      <c r="BZ46" s="257"/>
      <c r="CA46" s="257"/>
      <c r="CB46" s="257"/>
      <c r="CC46" s="257"/>
      <c r="CD46" s="257"/>
      <c r="CE46" s="257"/>
      <c r="CF46" s="257"/>
      <c r="CG46" s="257" t="s">
        <v>307</v>
      </c>
      <c r="CH46" s="257"/>
      <c r="CI46" s="257"/>
      <c r="CJ46" s="257"/>
      <c r="CK46" s="257"/>
      <c r="CL46" s="257"/>
      <c r="CM46" s="257"/>
      <c r="CN46" s="257"/>
      <c r="CO46" s="257"/>
      <c r="CP46" s="257"/>
      <c r="CQ46" s="257"/>
      <c r="CR46" s="257"/>
      <c r="CS46" s="257" t="s">
        <v>307</v>
      </c>
      <c r="CT46" s="257"/>
      <c r="CU46" s="257"/>
      <c r="CV46" s="257"/>
      <c r="CW46" s="257"/>
      <c r="CX46" s="257"/>
      <c r="CY46" s="257"/>
      <c r="CZ46" s="257"/>
      <c r="DA46" s="257"/>
      <c r="DB46" s="257"/>
      <c r="DC46" s="257"/>
      <c r="DD46" s="257"/>
      <c r="DE46" s="257" t="s">
        <v>307</v>
      </c>
      <c r="DF46" s="257"/>
      <c r="DG46" s="257"/>
      <c r="DH46" s="257"/>
      <c r="DI46" s="257"/>
      <c r="DJ46" s="257"/>
      <c r="DK46" s="257"/>
      <c r="DL46" s="257"/>
      <c r="DM46" s="257"/>
      <c r="DN46" s="257"/>
      <c r="DO46" s="257"/>
      <c r="DP46" s="257"/>
      <c r="DQ46" s="257" t="s">
        <v>307</v>
      </c>
      <c r="DR46" s="257"/>
      <c r="DS46" s="257"/>
      <c r="DT46" s="257"/>
      <c r="DU46" s="257"/>
      <c r="DV46" s="257"/>
      <c r="DW46" s="257"/>
      <c r="DX46" s="257"/>
      <c r="DY46" s="257"/>
      <c r="DZ46" s="257"/>
      <c r="EA46" s="257"/>
      <c r="EB46" s="257"/>
      <c r="EC46" s="257" t="s">
        <v>307</v>
      </c>
      <c r="ED46" s="257"/>
      <c r="EE46" s="257"/>
      <c r="EF46" s="257"/>
      <c r="EG46" s="257"/>
      <c r="EH46" s="257"/>
      <c r="EI46" s="257"/>
      <c r="EJ46" s="257"/>
      <c r="EK46" s="257"/>
      <c r="EL46" s="257"/>
      <c r="EM46" s="257"/>
      <c r="EN46" s="257"/>
      <c r="EO46" s="257" t="s">
        <v>307</v>
      </c>
      <c r="EP46" s="257"/>
      <c r="EQ46" s="257"/>
      <c r="ER46" s="257"/>
      <c r="ES46" s="257"/>
      <c r="ET46" s="257"/>
      <c r="EU46" s="257"/>
      <c r="EV46" s="257"/>
      <c r="EW46" s="257"/>
      <c r="EX46" s="257"/>
      <c r="EY46" s="257"/>
      <c r="EZ46" s="257"/>
      <c r="FA46" s="257" t="s">
        <v>307</v>
      </c>
      <c r="FB46" s="257"/>
      <c r="FC46" s="257"/>
      <c r="FD46" s="257"/>
      <c r="FE46" s="257"/>
      <c r="FF46" s="257"/>
      <c r="FG46" s="257"/>
      <c r="FH46" s="257"/>
      <c r="FI46" s="257"/>
      <c r="FJ46" s="257"/>
      <c r="FK46" s="257"/>
      <c r="FL46" s="257"/>
      <c r="FM46" s="257" t="s">
        <v>307</v>
      </c>
      <c r="FN46" s="257"/>
      <c r="FO46" s="257"/>
      <c r="FP46" s="257"/>
      <c r="FQ46" s="257"/>
      <c r="FR46" s="257"/>
      <c r="FS46" s="257"/>
      <c r="FT46" s="257"/>
      <c r="FU46" s="257"/>
      <c r="FV46" s="257"/>
      <c r="FW46" s="257"/>
      <c r="FX46" s="257"/>
      <c r="FY46" s="257" t="s">
        <v>307</v>
      </c>
      <c r="FZ46" s="257"/>
      <c r="GA46" s="257"/>
      <c r="GB46" s="257"/>
      <c r="GC46" s="257"/>
      <c r="GD46" s="257"/>
      <c r="GE46" s="257"/>
      <c r="GF46" s="257"/>
      <c r="GG46" s="257"/>
      <c r="GH46" s="257"/>
      <c r="GI46" s="257"/>
      <c r="GJ46" s="257"/>
    </row>
    <row r="47" spans="1:192">
      <c r="A47" s="1" t="s">
        <v>183</v>
      </c>
      <c r="B47" s="293" t="s">
        <v>473</v>
      </c>
      <c r="C47" s="293"/>
      <c r="D47" s="293"/>
      <c r="E47" s="293"/>
      <c r="I47" s="1" t="s">
        <v>317</v>
      </c>
      <c r="M47" s="1" t="s">
        <v>183</v>
      </c>
      <c r="N47" s="7" t="s">
        <v>225</v>
      </c>
      <c r="O47" s="7"/>
      <c r="P47" s="7"/>
      <c r="U47" s="1" t="s">
        <v>318</v>
      </c>
      <c r="Y47" s="1" t="s">
        <v>183</v>
      </c>
      <c r="Z47" s="7" t="s">
        <v>474</v>
      </c>
      <c r="AG47" s="1" t="s">
        <v>319</v>
      </c>
      <c r="AK47" s="1" t="s">
        <v>183</v>
      </c>
      <c r="AL47" s="7" t="s">
        <v>476</v>
      </c>
      <c r="AS47" s="1" t="s">
        <v>321</v>
      </c>
      <c r="AW47" s="1" t="s">
        <v>183</v>
      </c>
      <c r="AX47" s="7" t="s">
        <v>477</v>
      </c>
      <c r="BE47" s="1" t="s">
        <v>320</v>
      </c>
      <c r="BI47" s="1" t="s">
        <v>183</v>
      </c>
      <c r="BJ47" s="7" t="s">
        <v>479</v>
      </c>
      <c r="BQ47" s="1" t="s">
        <v>322</v>
      </c>
      <c r="BU47" s="1" t="s">
        <v>183</v>
      </c>
      <c r="BV47" s="7" t="s">
        <v>480</v>
      </c>
      <c r="BX47" s="7"/>
      <c r="CC47" s="7" t="s">
        <v>324</v>
      </c>
      <c r="CG47" s="1" t="s">
        <v>183</v>
      </c>
      <c r="CH47" s="7" t="s">
        <v>482</v>
      </c>
      <c r="CO47" s="1" t="s">
        <v>481</v>
      </c>
      <c r="CQ47" s="1" t="s">
        <v>51</v>
      </c>
      <c r="CS47" s="1" t="s">
        <v>183</v>
      </c>
      <c r="CT47" s="7" t="s">
        <v>483</v>
      </c>
      <c r="DA47" s="7" t="s">
        <v>369</v>
      </c>
      <c r="DE47" s="1" t="s">
        <v>183</v>
      </c>
      <c r="DF47" s="7" t="s">
        <v>484</v>
      </c>
      <c r="DM47" s="7" t="s">
        <v>370</v>
      </c>
      <c r="DQ47" s="1" t="s">
        <v>183</v>
      </c>
      <c r="DR47" s="7"/>
      <c r="DY47" s="7"/>
      <c r="EC47" s="1" t="s">
        <v>183</v>
      </c>
      <c r="ED47" s="7"/>
      <c r="EK47" s="7" t="s">
        <v>329</v>
      </c>
      <c r="EO47" s="1" t="s">
        <v>183</v>
      </c>
      <c r="EP47" s="7" t="s">
        <v>308</v>
      </c>
      <c r="EW47" s="1" t="s">
        <v>304</v>
      </c>
      <c r="FA47" s="1" t="s">
        <v>183</v>
      </c>
      <c r="FB47" s="7" t="s">
        <v>308</v>
      </c>
      <c r="FI47" s="1" t="s">
        <v>304</v>
      </c>
      <c r="FM47" s="1" t="s">
        <v>183</v>
      </c>
      <c r="FN47" s="7" t="s">
        <v>308</v>
      </c>
      <c r="FU47" s="1" t="s">
        <v>304</v>
      </c>
      <c r="FY47" s="1" t="s">
        <v>183</v>
      </c>
      <c r="FZ47" s="7"/>
      <c r="GG47" s="7" t="s">
        <v>330</v>
      </c>
    </row>
    <row r="48" spans="1:192">
      <c r="B48" s="1" t="s">
        <v>316</v>
      </c>
      <c r="I48" s="1" t="str">
        <f>I9</f>
        <v xml:space="preserve"> First Semester S.Y. 2024-2025</v>
      </c>
      <c r="N48" s="1" t="s">
        <v>323</v>
      </c>
      <c r="U48" s="1" t="str">
        <f>I48</f>
        <v xml:space="preserve"> First Semester S.Y. 2024-2025</v>
      </c>
      <c r="Z48" s="1" t="s">
        <v>475</v>
      </c>
      <c r="AG48" s="1" t="str">
        <f>U48</f>
        <v xml:space="preserve"> First Semester S.Y. 2024-2025</v>
      </c>
      <c r="AL48" s="1" t="s">
        <v>292</v>
      </c>
      <c r="AS48" s="1" t="str">
        <f>AG48</f>
        <v xml:space="preserve"> First Semester S.Y. 2024-2025</v>
      </c>
      <c r="AX48" s="1" t="s">
        <v>478</v>
      </c>
      <c r="BE48" s="1" t="str">
        <f>AS48</f>
        <v xml:space="preserve"> First Semester S.Y. 2024-2025</v>
      </c>
      <c r="BJ48" s="1" t="s">
        <v>293</v>
      </c>
      <c r="BQ48" s="1" t="str">
        <f>BE48</f>
        <v xml:space="preserve"> First Semester S.Y. 2024-2025</v>
      </c>
      <c r="BV48" s="1" t="s">
        <v>323</v>
      </c>
      <c r="CC48" s="1" t="str">
        <f>BQ48</f>
        <v xml:space="preserve"> First Semester S.Y. 2024-2025</v>
      </c>
      <c r="CH48" s="1" t="s">
        <v>292</v>
      </c>
      <c r="CO48" s="1" t="str">
        <f>CC48</f>
        <v xml:space="preserve"> First Semester S.Y. 2024-2025</v>
      </c>
      <c r="CT48" s="1" t="s">
        <v>293</v>
      </c>
      <c r="CW48" s="1" t="s">
        <v>51</v>
      </c>
      <c r="DA48" s="1" t="str">
        <f>CO48</f>
        <v xml:space="preserve"> First Semester S.Y. 2024-2025</v>
      </c>
      <c r="DF48" s="1" t="s">
        <v>292</v>
      </c>
      <c r="DI48" s="1" t="s">
        <v>51</v>
      </c>
      <c r="DM48" s="1" t="str">
        <f>DA48</f>
        <v xml:space="preserve"> First Semester S.Y. 2024-2025</v>
      </c>
      <c r="DR48" s="1" t="s">
        <v>292</v>
      </c>
      <c r="DU48" s="1" t="s">
        <v>51</v>
      </c>
      <c r="DY48" s="1" t="str">
        <f>DM48</f>
        <v xml:space="preserve"> First Semester S.Y. 2024-2025</v>
      </c>
      <c r="ED48" s="1" t="s">
        <v>292</v>
      </c>
      <c r="EG48" s="1" t="s">
        <v>51</v>
      </c>
      <c r="EK48" s="1" t="str">
        <f>DY48</f>
        <v xml:space="preserve"> First Semester S.Y. 2024-2025</v>
      </c>
      <c r="EP48" s="1" t="s">
        <v>292</v>
      </c>
      <c r="ES48" s="1" t="s">
        <v>51</v>
      </c>
      <c r="EW48" s="1" t="s">
        <v>302</v>
      </c>
      <c r="FB48" s="1" t="s">
        <v>292</v>
      </c>
      <c r="FE48" s="1" t="s">
        <v>51</v>
      </c>
      <c r="FI48" s="1" t="s">
        <v>302</v>
      </c>
      <c r="FN48" s="1" t="s">
        <v>292</v>
      </c>
      <c r="FQ48" s="1" t="s">
        <v>51</v>
      </c>
      <c r="FU48" s="1" t="s">
        <v>302</v>
      </c>
      <c r="FZ48" s="1" t="s">
        <v>292</v>
      </c>
      <c r="GG48" s="1" t="str">
        <f>EK48</f>
        <v xml:space="preserve"> First Semester S.Y. 2024-2025</v>
      </c>
    </row>
    <row r="49" spans="1:194" ht="9" customHeight="1"/>
    <row r="50" spans="1:194" ht="15" customHeight="1">
      <c r="A50" s="285" t="s">
        <v>4</v>
      </c>
      <c r="B50" s="287" t="s">
        <v>294</v>
      </c>
      <c r="C50" s="288" t="s">
        <v>295</v>
      </c>
      <c r="D50" s="288"/>
      <c r="E50" s="288" t="s">
        <v>296</v>
      </c>
      <c r="F50" s="288"/>
      <c r="G50" s="288" t="s">
        <v>297</v>
      </c>
      <c r="H50" s="288"/>
      <c r="I50" s="288" t="s">
        <v>298</v>
      </c>
      <c r="J50" s="288"/>
      <c r="K50" s="288" t="s">
        <v>299</v>
      </c>
      <c r="L50" s="288"/>
      <c r="M50" s="285" t="s">
        <v>4</v>
      </c>
      <c r="N50" s="287" t="s">
        <v>294</v>
      </c>
      <c r="O50" s="288" t="s">
        <v>295</v>
      </c>
      <c r="P50" s="288"/>
      <c r="Q50" s="288" t="s">
        <v>296</v>
      </c>
      <c r="R50" s="288"/>
      <c r="S50" s="288" t="s">
        <v>297</v>
      </c>
      <c r="T50" s="288"/>
      <c r="U50" s="288" t="s">
        <v>298</v>
      </c>
      <c r="V50" s="288"/>
      <c r="W50" s="288" t="s">
        <v>299</v>
      </c>
      <c r="X50" s="288"/>
      <c r="Y50" s="285" t="s">
        <v>4</v>
      </c>
      <c r="Z50" s="287" t="s">
        <v>294</v>
      </c>
      <c r="AA50" s="288" t="s">
        <v>295</v>
      </c>
      <c r="AB50" s="288"/>
      <c r="AC50" s="288" t="s">
        <v>296</v>
      </c>
      <c r="AD50" s="288"/>
      <c r="AE50" s="288" t="s">
        <v>297</v>
      </c>
      <c r="AF50" s="288"/>
      <c r="AG50" s="288" t="s">
        <v>298</v>
      </c>
      <c r="AH50" s="288"/>
      <c r="AI50" s="288" t="s">
        <v>299</v>
      </c>
      <c r="AJ50" s="288"/>
      <c r="AK50" s="285" t="s">
        <v>4</v>
      </c>
      <c r="AL50" s="287" t="s">
        <v>294</v>
      </c>
      <c r="AM50" s="288" t="s">
        <v>295</v>
      </c>
      <c r="AN50" s="288"/>
      <c r="AO50" s="288" t="s">
        <v>296</v>
      </c>
      <c r="AP50" s="288"/>
      <c r="AQ50" s="288" t="s">
        <v>297</v>
      </c>
      <c r="AR50" s="288"/>
      <c r="AS50" s="288" t="s">
        <v>298</v>
      </c>
      <c r="AT50" s="288"/>
      <c r="AU50" s="288" t="s">
        <v>299</v>
      </c>
      <c r="AV50" s="288"/>
      <c r="AW50" s="285" t="s">
        <v>4</v>
      </c>
      <c r="AX50" s="287" t="s">
        <v>294</v>
      </c>
      <c r="AY50" s="288" t="s">
        <v>295</v>
      </c>
      <c r="AZ50" s="288"/>
      <c r="BA50" s="288" t="s">
        <v>296</v>
      </c>
      <c r="BB50" s="288"/>
      <c r="BC50" s="288" t="s">
        <v>297</v>
      </c>
      <c r="BD50" s="288"/>
      <c r="BE50" s="288" t="s">
        <v>298</v>
      </c>
      <c r="BF50" s="288"/>
      <c r="BG50" s="288" t="s">
        <v>299</v>
      </c>
      <c r="BH50" s="288"/>
      <c r="BI50" s="285" t="s">
        <v>4</v>
      </c>
      <c r="BJ50" s="287" t="s">
        <v>294</v>
      </c>
      <c r="BK50" s="288" t="s">
        <v>295</v>
      </c>
      <c r="BL50" s="288"/>
      <c r="BM50" s="288" t="s">
        <v>296</v>
      </c>
      <c r="BN50" s="288"/>
      <c r="BO50" s="288" t="s">
        <v>297</v>
      </c>
      <c r="BP50" s="288"/>
      <c r="BQ50" s="288" t="s">
        <v>298</v>
      </c>
      <c r="BR50" s="288"/>
      <c r="BS50" s="288" t="s">
        <v>299</v>
      </c>
      <c r="BT50" s="288"/>
      <c r="BU50" s="285" t="s">
        <v>4</v>
      </c>
      <c r="BV50" s="287" t="s">
        <v>294</v>
      </c>
      <c r="BW50" s="288" t="s">
        <v>295</v>
      </c>
      <c r="BX50" s="288"/>
      <c r="BY50" s="288" t="s">
        <v>296</v>
      </c>
      <c r="BZ50" s="288"/>
      <c r="CA50" s="288" t="s">
        <v>297</v>
      </c>
      <c r="CB50" s="288"/>
      <c r="CC50" s="288" t="s">
        <v>298</v>
      </c>
      <c r="CD50" s="288"/>
      <c r="CE50" s="288" t="s">
        <v>299</v>
      </c>
      <c r="CF50" s="288"/>
      <c r="CG50" s="285" t="s">
        <v>4</v>
      </c>
      <c r="CH50" s="287" t="s">
        <v>294</v>
      </c>
      <c r="CI50" s="288" t="s">
        <v>295</v>
      </c>
      <c r="CJ50" s="288"/>
      <c r="CK50" s="288" t="s">
        <v>296</v>
      </c>
      <c r="CL50" s="288"/>
      <c r="CM50" s="288" t="s">
        <v>297</v>
      </c>
      <c r="CN50" s="288"/>
      <c r="CO50" s="288" t="s">
        <v>298</v>
      </c>
      <c r="CP50" s="288"/>
      <c r="CQ50" s="288" t="s">
        <v>299</v>
      </c>
      <c r="CR50" s="288"/>
      <c r="CS50" s="285" t="s">
        <v>4</v>
      </c>
      <c r="CT50" s="287" t="s">
        <v>294</v>
      </c>
      <c r="CU50" s="288" t="s">
        <v>295</v>
      </c>
      <c r="CV50" s="288"/>
      <c r="CW50" s="288" t="s">
        <v>296</v>
      </c>
      <c r="CX50" s="288"/>
      <c r="CY50" s="288" t="s">
        <v>297</v>
      </c>
      <c r="CZ50" s="288"/>
      <c r="DA50" s="288" t="s">
        <v>298</v>
      </c>
      <c r="DB50" s="288"/>
      <c r="DC50" s="288" t="s">
        <v>299</v>
      </c>
      <c r="DD50" s="288"/>
      <c r="DE50" s="285" t="s">
        <v>4</v>
      </c>
      <c r="DF50" s="287" t="s">
        <v>294</v>
      </c>
      <c r="DG50" s="288" t="s">
        <v>295</v>
      </c>
      <c r="DH50" s="288"/>
      <c r="DI50" s="288" t="s">
        <v>296</v>
      </c>
      <c r="DJ50" s="288"/>
      <c r="DK50" s="288" t="s">
        <v>297</v>
      </c>
      <c r="DL50" s="288"/>
      <c r="DM50" s="288" t="s">
        <v>298</v>
      </c>
      <c r="DN50" s="288"/>
      <c r="DO50" s="288" t="s">
        <v>299</v>
      </c>
      <c r="DP50" s="288"/>
      <c r="DQ50" s="285" t="s">
        <v>4</v>
      </c>
      <c r="DR50" s="287" t="s">
        <v>294</v>
      </c>
      <c r="DS50" s="288" t="s">
        <v>295</v>
      </c>
      <c r="DT50" s="288"/>
      <c r="DU50" s="288" t="s">
        <v>296</v>
      </c>
      <c r="DV50" s="288"/>
      <c r="DW50" s="288" t="s">
        <v>297</v>
      </c>
      <c r="DX50" s="288"/>
      <c r="DY50" s="288" t="s">
        <v>298</v>
      </c>
      <c r="DZ50" s="288"/>
      <c r="EA50" s="288" t="s">
        <v>299</v>
      </c>
      <c r="EB50" s="288"/>
      <c r="EC50" s="285" t="s">
        <v>4</v>
      </c>
      <c r="ED50" s="287" t="s">
        <v>294</v>
      </c>
      <c r="EE50" s="288" t="s">
        <v>295</v>
      </c>
      <c r="EF50" s="288"/>
      <c r="EG50" s="288" t="s">
        <v>296</v>
      </c>
      <c r="EH50" s="288"/>
      <c r="EI50" s="288" t="s">
        <v>297</v>
      </c>
      <c r="EJ50" s="288"/>
      <c r="EK50" s="288" t="s">
        <v>298</v>
      </c>
      <c r="EL50" s="288"/>
      <c r="EM50" s="288" t="s">
        <v>299</v>
      </c>
      <c r="EN50" s="288"/>
      <c r="EO50" s="285" t="s">
        <v>4</v>
      </c>
      <c r="EP50" s="287" t="s">
        <v>294</v>
      </c>
      <c r="EQ50" s="288" t="s">
        <v>295</v>
      </c>
      <c r="ER50" s="288"/>
      <c r="ES50" s="288" t="s">
        <v>296</v>
      </c>
      <c r="ET50" s="288"/>
      <c r="EU50" s="288" t="s">
        <v>297</v>
      </c>
      <c r="EV50" s="288"/>
      <c r="EW50" s="288" t="s">
        <v>298</v>
      </c>
      <c r="EX50" s="288"/>
      <c r="EY50" s="288" t="s">
        <v>299</v>
      </c>
      <c r="EZ50" s="288"/>
      <c r="FA50" s="285" t="s">
        <v>4</v>
      </c>
      <c r="FB50" s="287" t="s">
        <v>294</v>
      </c>
      <c r="FC50" s="288" t="s">
        <v>295</v>
      </c>
      <c r="FD50" s="288"/>
      <c r="FE50" s="288" t="s">
        <v>296</v>
      </c>
      <c r="FF50" s="288"/>
      <c r="FG50" s="288" t="s">
        <v>297</v>
      </c>
      <c r="FH50" s="288"/>
      <c r="FI50" s="288" t="s">
        <v>298</v>
      </c>
      <c r="FJ50" s="288"/>
      <c r="FK50" s="288" t="s">
        <v>299</v>
      </c>
      <c r="FL50" s="288"/>
      <c r="FM50" s="285" t="s">
        <v>4</v>
      </c>
      <c r="FN50" s="287" t="s">
        <v>294</v>
      </c>
      <c r="FO50" s="288" t="s">
        <v>295</v>
      </c>
      <c r="FP50" s="288"/>
      <c r="FQ50" s="288" t="s">
        <v>296</v>
      </c>
      <c r="FR50" s="288"/>
      <c r="FS50" s="288" t="s">
        <v>297</v>
      </c>
      <c r="FT50" s="288"/>
      <c r="FU50" s="288" t="s">
        <v>298</v>
      </c>
      <c r="FV50" s="288"/>
      <c r="FW50" s="288" t="s">
        <v>299</v>
      </c>
      <c r="FX50" s="288"/>
      <c r="FY50" s="285" t="s">
        <v>4</v>
      </c>
      <c r="FZ50" s="287" t="s">
        <v>294</v>
      </c>
      <c r="GA50" s="288" t="s">
        <v>295</v>
      </c>
      <c r="GB50" s="288"/>
      <c r="GC50" s="288" t="s">
        <v>296</v>
      </c>
      <c r="GD50" s="288"/>
      <c r="GE50" s="288" t="s">
        <v>297</v>
      </c>
      <c r="GF50" s="288"/>
      <c r="GG50" s="288" t="s">
        <v>298</v>
      </c>
      <c r="GH50" s="288"/>
      <c r="GI50" s="288" t="s">
        <v>299</v>
      </c>
      <c r="GJ50" s="288"/>
    </row>
    <row r="51" spans="1:194" ht="10.5" customHeight="1">
      <c r="A51" s="286"/>
      <c r="B51" s="287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6"/>
      <c r="N51" s="287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6"/>
      <c r="Z51" s="287"/>
      <c r="AA51" s="288"/>
      <c r="AB51" s="288"/>
      <c r="AC51" s="288"/>
      <c r="AD51" s="288"/>
      <c r="AE51" s="288"/>
      <c r="AF51" s="288"/>
      <c r="AG51" s="288"/>
      <c r="AH51" s="288"/>
      <c r="AI51" s="288"/>
      <c r="AJ51" s="288"/>
      <c r="AK51" s="286"/>
      <c r="AL51" s="287"/>
      <c r="AM51" s="288"/>
      <c r="AN51" s="288"/>
      <c r="AO51" s="288"/>
      <c r="AP51" s="288"/>
      <c r="AQ51" s="288"/>
      <c r="AR51" s="288"/>
      <c r="AS51" s="288"/>
      <c r="AT51" s="288"/>
      <c r="AU51" s="288"/>
      <c r="AV51" s="288"/>
      <c r="AW51" s="286"/>
      <c r="AX51" s="287"/>
      <c r="AY51" s="288"/>
      <c r="AZ51" s="288"/>
      <c r="BA51" s="288"/>
      <c r="BB51" s="288"/>
      <c r="BC51" s="288"/>
      <c r="BD51" s="288"/>
      <c r="BE51" s="288"/>
      <c r="BF51" s="288"/>
      <c r="BG51" s="288"/>
      <c r="BH51" s="288"/>
      <c r="BI51" s="286"/>
      <c r="BJ51" s="287"/>
      <c r="BK51" s="288"/>
      <c r="BL51" s="288"/>
      <c r="BM51" s="288"/>
      <c r="BN51" s="288"/>
      <c r="BO51" s="288"/>
      <c r="BP51" s="288"/>
      <c r="BQ51" s="288"/>
      <c r="BR51" s="288"/>
      <c r="BS51" s="288"/>
      <c r="BT51" s="288"/>
      <c r="BU51" s="286"/>
      <c r="BV51" s="287"/>
      <c r="BW51" s="288"/>
      <c r="BX51" s="288"/>
      <c r="BY51" s="288"/>
      <c r="BZ51" s="288"/>
      <c r="CA51" s="288"/>
      <c r="CB51" s="288"/>
      <c r="CC51" s="288"/>
      <c r="CD51" s="288"/>
      <c r="CE51" s="288"/>
      <c r="CF51" s="288"/>
      <c r="CG51" s="286"/>
      <c r="CH51" s="287"/>
      <c r="CI51" s="288"/>
      <c r="CJ51" s="288"/>
      <c r="CK51" s="288"/>
      <c r="CL51" s="288"/>
      <c r="CM51" s="288"/>
      <c r="CN51" s="288"/>
      <c r="CO51" s="288"/>
      <c r="CP51" s="288"/>
      <c r="CQ51" s="288"/>
      <c r="CR51" s="288"/>
      <c r="CS51" s="286"/>
      <c r="CT51" s="287"/>
      <c r="CU51" s="288"/>
      <c r="CV51" s="288"/>
      <c r="CW51" s="288"/>
      <c r="CX51" s="288"/>
      <c r="CY51" s="288"/>
      <c r="CZ51" s="288"/>
      <c r="DA51" s="288"/>
      <c r="DB51" s="288"/>
      <c r="DC51" s="288"/>
      <c r="DD51" s="288"/>
      <c r="DE51" s="286"/>
      <c r="DF51" s="287"/>
      <c r="DG51" s="288"/>
      <c r="DH51" s="288"/>
      <c r="DI51" s="288"/>
      <c r="DJ51" s="288"/>
      <c r="DK51" s="288"/>
      <c r="DL51" s="288"/>
      <c r="DM51" s="288"/>
      <c r="DN51" s="288"/>
      <c r="DO51" s="288"/>
      <c r="DP51" s="288"/>
      <c r="DQ51" s="286"/>
      <c r="DR51" s="287"/>
      <c r="DS51" s="288"/>
      <c r="DT51" s="288"/>
      <c r="DU51" s="288"/>
      <c r="DV51" s="288"/>
      <c r="DW51" s="288"/>
      <c r="DX51" s="288"/>
      <c r="DY51" s="288"/>
      <c r="DZ51" s="288"/>
      <c r="EA51" s="288"/>
      <c r="EB51" s="288"/>
      <c r="EC51" s="286"/>
      <c r="ED51" s="287"/>
      <c r="EE51" s="288"/>
      <c r="EF51" s="288"/>
      <c r="EG51" s="288"/>
      <c r="EH51" s="288"/>
      <c r="EI51" s="288"/>
      <c r="EJ51" s="288"/>
      <c r="EK51" s="288"/>
      <c r="EL51" s="288"/>
      <c r="EM51" s="288"/>
      <c r="EN51" s="288"/>
      <c r="EO51" s="286"/>
      <c r="EP51" s="287"/>
      <c r="EQ51" s="288"/>
      <c r="ER51" s="288"/>
      <c r="ES51" s="288"/>
      <c r="ET51" s="288"/>
      <c r="EU51" s="288"/>
      <c r="EV51" s="288"/>
      <c r="EW51" s="288"/>
      <c r="EX51" s="288"/>
      <c r="EY51" s="288"/>
      <c r="EZ51" s="288"/>
      <c r="FA51" s="286"/>
      <c r="FB51" s="287"/>
      <c r="FC51" s="288"/>
      <c r="FD51" s="288"/>
      <c r="FE51" s="288"/>
      <c r="FF51" s="288"/>
      <c r="FG51" s="288"/>
      <c r="FH51" s="288"/>
      <c r="FI51" s="288"/>
      <c r="FJ51" s="288"/>
      <c r="FK51" s="288"/>
      <c r="FL51" s="288"/>
      <c r="FM51" s="286"/>
      <c r="FN51" s="287"/>
      <c r="FO51" s="288"/>
      <c r="FP51" s="288"/>
      <c r="FQ51" s="288"/>
      <c r="FR51" s="288"/>
      <c r="FS51" s="288"/>
      <c r="FT51" s="288"/>
      <c r="FU51" s="288"/>
      <c r="FV51" s="288"/>
      <c r="FW51" s="288"/>
      <c r="FX51" s="288"/>
      <c r="FY51" s="286"/>
      <c r="FZ51" s="287"/>
      <c r="GA51" s="288"/>
      <c r="GB51" s="288"/>
      <c r="GC51" s="288"/>
      <c r="GD51" s="288"/>
      <c r="GE51" s="288"/>
      <c r="GF51" s="288"/>
      <c r="GG51" s="288"/>
      <c r="GH51" s="288"/>
      <c r="GI51" s="288"/>
      <c r="GJ51" s="288"/>
    </row>
    <row r="52" spans="1:194">
      <c r="A52" s="109" t="s">
        <v>331</v>
      </c>
      <c r="B52" s="55"/>
      <c r="C52" s="264" t="s">
        <v>300</v>
      </c>
      <c r="D52" s="264"/>
      <c r="E52" s="264"/>
      <c r="F52" s="264"/>
      <c r="G52" s="264"/>
      <c r="H52" s="264"/>
      <c r="I52" s="264"/>
      <c r="J52" s="264"/>
      <c r="K52" s="264"/>
      <c r="L52" s="264"/>
      <c r="M52" s="109" t="s">
        <v>331</v>
      </c>
      <c r="N52" s="55"/>
      <c r="O52" s="264" t="s">
        <v>300</v>
      </c>
      <c r="P52" s="264"/>
      <c r="Q52" s="264"/>
      <c r="R52" s="264"/>
      <c r="S52" s="264"/>
      <c r="T52" s="264"/>
      <c r="U52" s="264"/>
      <c r="V52" s="264"/>
      <c r="W52" s="264"/>
      <c r="X52" s="264"/>
      <c r="Y52" s="109" t="s">
        <v>331</v>
      </c>
      <c r="Z52" s="55"/>
      <c r="AA52" s="264" t="s">
        <v>300</v>
      </c>
      <c r="AB52" s="264"/>
      <c r="AC52" s="264"/>
      <c r="AD52" s="264"/>
      <c r="AE52" s="264"/>
      <c r="AF52" s="264"/>
      <c r="AG52" s="264"/>
      <c r="AH52" s="264"/>
      <c r="AI52" s="264"/>
      <c r="AJ52" s="264"/>
      <c r="AK52" s="109" t="s">
        <v>331</v>
      </c>
      <c r="AL52" s="55"/>
      <c r="AM52" s="264" t="s">
        <v>300</v>
      </c>
      <c r="AN52" s="264"/>
      <c r="AO52" s="264"/>
      <c r="AP52" s="264"/>
      <c r="AQ52" s="264"/>
      <c r="AR52" s="264"/>
      <c r="AS52" s="264"/>
      <c r="AT52" s="264"/>
      <c r="AU52" s="264"/>
      <c r="AV52" s="264"/>
      <c r="AW52" s="109" t="s">
        <v>331</v>
      </c>
      <c r="AX52" s="55"/>
      <c r="AY52" s="264" t="s">
        <v>300</v>
      </c>
      <c r="AZ52" s="264"/>
      <c r="BA52" s="264"/>
      <c r="BB52" s="264"/>
      <c r="BC52" s="264"/>
      <c r="BD52" s="264"/>
      <c r="BE52" s="264"/>
      <c r="BF52" s="264"/>
      <c r="BG52" s="264"/>
      <c r="BH52" s="264"/>
      <c r="BI52" s="109" t="s">
        <v>331</v>
      </c>
      <c r="BJ52" s="55"/>
      <c r="BK52" s="264" t="s">
        <v>300</v>
      </c>
      <c r="BL52" s="264"/>
      <c r="BM52" s="264"/>
      <c r="BN52" s="264"/>
      <c r="BO52" s="264"/>
      <c r="BP52" s="264"/>
      <c r="BQ52" s="264"/>
      <c r="BR52" s="264"/>
      <c r="BS52" s="264"/>
      <c r="BT52" s="264"/>
      <c r="BU52" s="109" t="s">
        <v>331</v>
      </c>
      <c r="BV52" s="55"/>
      <c r="BW52" s="264" t="s">
        <v>300</v>
      </c>
      <c r="BX52" s="264"/>
      <c r="BY52" s="264"/>
      <c r="BZ52" s="264"/>
      <c r="CA52" s="264"/>
      <c r="CB52" s="264"/>
      <c r="CC52" s="264"/>
      <c r="CD52" s="264"/>
      <c r="CE52" s="264"/>
      <c r="CF52" s="264"/>
      <c r="CG52" s="109" t="s">
        <v>331</v>
      </c>
      <c r="CH52" s="55"/>
      <c r="CI52" s="264" t="s">
        <v>300</v>
      </c>
      <c r="CJ52" s="264"/>
      <c r="CK52" s="264"/>
      <c r="CL52" s="264"/>
      <c r="CM52" s="264"/>
      <c r="CN52" s="264"/>
      <c r="CO52" s="264"/>
      <c r="CP52" s="264"/>
      <c r="CQ52" s="264"/>
      <c r="CR52" s="264"/>
      <c r="CS52" s="109" t="s">
        <v>331</v>
      </c>
      <c r="CT52" s="55"/>
      <c r="CU52" s="264" t="s">
        <v>300</v>
      </c>
      <c r="CV52" s="264"/>
      <c r="CW52" s="264"/>
      <c r="CX52" s="264"/>
      <c r="CY52" s="264"/>
      <c r="CZ52" s="264"/>
      <c r="DA52" s="264"/>
      <c r="DB52" s="264"/>
      <c r="DC52" s="264"/>
      <c r="DD52" s="264"/>
      <c r="DE52" s="109" t="s">
        <v>331</v>
      </c>
      <c r="DF52" s="55"/>
      <c r="DG52" s="264" t="s">
        <v>300</v>
      </c>
      <c r="DH52" s="264"/>
      <c r="DI52" s="264"/>
      <c r="DJ52" s="264"/>
      <c r="DK52" s="264"/>
      <c r="DL52" s="264"/>
      <c r="DM52" s="264"/>
      <c r="DN52" s="264"/>
      <c r="DO52" s="264"/>
      <c r="DP52" s="264"/>
      <c r="DQ52" s="109" t="s">
        <v>331</v>
      </c>
      <c r="DR52" s="55"/>
      <c r="DS52" s="264" t="s">
        <v>300</v>
      </c>
      <c r="DT52" s="264"/>
      <c r="DU52" s="264"/>
      <c r="DV52" s="264"/>
      <c r="DW52" s="264"/>
      <c r="DX52" s="264"/>
      <c r="DY52" s="264"/>
      <c r="DZ52" s="264"/>
      <c r="EA52" s="264"/>
      <c r="EB52" s="264"/>
      <c r="EC52" s="109" t="s">
        <v>331</v>
      </c>
      <c r="ED52" s="55"/>
      <c r="EE52" s="264" t="s">
        <v>300</v>
      </c>
      <c r="EF52" s="264"/>
      <c r="EG52" s="264"/>
      <c r="EH52" s="264"/>
      <c r="EI52" s="264"/>
      <c r="EJ52" s="264"/>
      <c r="EK52" s="264"/>
      <c r="EL52" s="264"/>
      <c r="EM52" s="264"/>
      <c r="EN52" s="264"/>
      <c r="EO52" s="109" t="s">
        <v>20</v>
      </c>
      <c r="EP52" s="55"/>
      <c r="EQ52" s="264" t="s">
        <v>300</v>
      </c>
      <c r="ER52" s="264"/>
      <c r="ES52" s="264"/>
      <c r="ET52" s="264"/>
      <c r="EU52" s="264"/>
      <c r="EV52" s="264"/>
      <c r="EW52" s="264"/>
      <c r="EX52" s="264"/>
      <c r="EY52" s="264"/>
      <c r="EZ52" s="264"/>
      <c r="FA52" s="109" t="s">
        <v>20</v>
      </c>
      <c r="FB52" s="55"/>
      <c r="FC52" s="264" t="s">
        <v>300</v>
      </c>
      <c r="FD52" s="264"/>
      <c r="FE52" s="264"/>
      <c r="FF52" s="264"/>
      <c r="FG52" s="264"/>
      <c r="FH52" s="264"/>
      <c r="FI52" s="264"/>
      <c r="FJ52" s="264"/>
      <c r="FK52" s="264"/>
      <c r="FL52" s="264"/>
      <c r="FM52" s="109" t="s">
        <v>20</v>
      </c>
      <c r="FN52" s="55"/>
      <c r="FO52" s="264" t="s">
        <v>300</v>
      </c>
      <c r="FP52" s="264"/>
      <c r="FQ52" s="264"/>
      <c r="FR52" s="264"/>
      <c r="FS52" s="264"/>
      <c r="FT52" s="264"/>
      <c r="FU52" s="264"/>
      <c r="FV52" s="264"/>
      <c r="FW52" s="264"/>
      <c r="FX52" s="264"/>
      <c r="FY52" s="109" t="s">
        <v>331</v>
      </c>
      <c r="FZ52" s="55"/>
      <c r="GA52" s="264" t="s">
        <v>300</v>
      </c>
      <c r="GB52" s="264"/>
      <c r="GC52" s="264"/>
      <c r="GD52" s="264"/>
      <c r="GE52" s="264"/>
      <c r="GF52" s="264"/>
      <c r="GG52" s="264"/>
      <c r="GH52" s="264"/>
      <c r="GI52" s="264"/>
      <c r="GJ52" s="264"/>
    </row>
    <row r="53" spans="1:194">
      <c r="A53" s="282" t="s">
        <v>332</v>
      </c>
      <c r="B53" s="151"/>
      <c r="C53" s="243" t="s">
        <v>279</v>
      </c>
      <c r="D53" s="244"/>
      <c r="E53" s="243" t="str">
        <f>'Gen CP'!$B58</f>
        <v>Research 2</v>
      </c>
      <c r="F53" s="244"/>
      <c r="G53" s="243" t="str">
        <f>'Gen CP'!$B58</f>
        <v>Research 2</v>
      </c>
      <c r="H53" s="244"/>
      <c r="I53" s="243" t="str">
        <f>'Gen CP'!$B58</f>
        <v>Research 2</v>
      </c>
      <c r="J53" s="244"/>
      <c r="K53" s="243" t="str">
        <f>'Gen CP'!$B58</f>
        <v>Research 2</v>
      </c>
      <c r="L53" s="244"/>
      <c r="M53" s="282" t="s">
        <v>332</v>
      </c>
      <c r="N53" s="151"/>
      <c r="O53" s="243" t="s">
        <v>279</v>
      </c>
      <c r="P53" s="244"/>
      <c r="Q53" s="243" t="str">
        <f>'Gen CP'!$C58</f>
        <v>Philo</v>
      </c>
      <c r="R53" s="244"/>
      <c r="S53" s="243" t="str">
        <f>'Gen CP'!$C58</f>
        <v>Philo</v>
      </c>
      <c r="T53" s="244"/>
      <c r="U53" s="243" t="str">
        <f>'Gen CP'!$C58</f>
        <v>Philo</v>
      </c>
      <c r="V53" s="244"/>
      <c r="W53" s="243" t="str">
        <f>'Gen CP'!$C58</f>
        <v>Philo</v>
      </c>
      <c r="X53" s="244"/>
      <c r="Y53" s="282" t="s">
        <v>332</v>
      </c>
      <c r="Z53" s="151"/>
      <c r="AA53" s="243" t="s">
        <v>279</v>
      </c>
      <c r="AB53" s="244"/>
      <c r="AC53" s="243" t="str">
        <f>'Gen CP'!$D58</f>
        <v>Philo</v>
      </c>
      <c r="AD53" s="244"/>
      <c r="AE53" s="243" t="str">
        <f>'Gen CP'!$D58</f>
        <v>Philo</v>
      </c>
      <c r="AF53" s="244"/>
      <c r="AG53" s="243" t="str">
        <f>'Gen CP'!$D58</f>
        <v>Philo</v>
      </c>
      <c r="AH53" s="244"/>
      <c r="AI53" s="243" t="str">
        <f>'Gen CP'!$D58</f>
        <v>Philo</v>
      </c>
      <c r="AJ53" s="244"/>
      <c r="AK53" s="282" t="s">
        <v>332</v>
      </c>
      <c r="AL53" s="151"/>
      <c r="AM53" s="243" t="s">
        <v>279</v>
      </c>
      <c r="AN53" s="244"/>
      <c r="AO53" s="243" t="str">
        <f>'Gen CP'!$E58</f>
        <v>PPG</v>
      </c>
      <c r="AP53" s="244"/>
      <c r="AQ53" s="243" t="str">
        <f>'Gen CP'!$E58</f>
        <v>PPG</v>
      </c>
      <c r="AR53" s="244"/>
      <c r="AS53" s="243" t="str">
        <f>'Gen CP'!$E58</f>
        <v>PPG</v>
      </c>
      <c r="AT53" s="244"/>
      <c r="AU53" s="243" t="str">
        <f>'Gen CP'!$E58</f>
        <v>PPG</v>
      </c>
      <c r="AV53" s="244"/>
      <c r="AW53" s="282" t="s">
        <v>332</v>
      </c>
      <c r="AX53" s="151"/>
      <c r="AY53" s="243" t="s">
        <v>279</v>
      </c>
      <c r="AZ53" s="244"/>
      <c r="BA53" s="243" t="str">
        <f>'Gen CP'!$F58</f>
        <v>Piling Larang</v>
      </c>
      <c r="BB53" s="244"/>
      <c r="BC53" s="243" t="str">
        <f>'Gen CP'!$F58</f>
        <v>Piling Larang</v>
      </c>
      <c r="BD53" s="244"/>
      <c r="BE53" s="243" t="str">
        <f>'Gen CP'!$F58</f>
        <v>Piling Larang</v>
      </c>
      <c r="BF53" s="244"/>
      <c r="BG53" s="243" t="str">
        <f>'Gen CP'!$F58</f>
        <v>Piling Larang</v>
      </c>
      <c r="BH53" s="244"/>
      <c r="BI53" s="282" t="s">
        <v>332</v>
      </c>
      <c r="BJ53" s="151"/>
      <c r="BK53" s="243" t="s">
        <v>279</v>
      </c>
      <c r="BL53" s="244"/>
      <c r="BM53" s="243" t="str">
        <f>'Gen CP'!$G58</f>
        <v>Philo</v>
      </c>
      <c r="BN53" s="244"/>
      <c r="BO53" s="243" t="str">
        <f>'Gen CP'!$G58</f>
        <v>Philo</v>
      </c>
      <c r="BP53" s="244"/>
      <c r="BQ53" s="243" t="str">
        <f>'Gen CP'!$G58</f>
        <v>Philo</v>
      </c>
      <c r="BR53" s="244"/>
      <c r="BS53" s="243" t="str">
        <f>'Gen CP'!$G58</f>
        <v>Philo</v>
      </c>
      <c r="BT53" s="244"/>
      <c r="BU53" s="282" t="s">
        <v>332</v>
      </c>
      <c r="BV53" s="151"/>
      <c r="BW53" s="243" t="s">
        <v>279</v>
      </c>
      <c r="BX53" s="244"/>
      <c r="BY53" s="243" t="str">
        <f>'Gen CP'!$H58</f>
        <v>CPAR</v>
      </c>
      <c r="BZ53" s="244"/>
      <c r="CA53" s="243" t="str">
        <f>'Gen CP'!$H58</f>
        <v>CPAR</v>
      </c>
      <c r="CB53" s="244"/>
      <c r="CC53" s="243" t="str">
        <f>'Gen CP'!$H58</f>
        <v>CPAR</v>
      </c>
      <c r="CD53" s="244"/>
      <c r="CE53" s="243" t="str">
        <f>'Gen CP'!$H58</f>
        <v>CPAR</v>
      </c>
      <c r="CF53" s="244"/>
      <c r="CG53" s="282" t="s">
        <v>332</v>
      </c>
      <c r="CH53" s="151"/>
      <c r="CI53" s="243" t="s">
        <v>279</v>
      </c>
      <c r="CJ53" s="244"/>
      <c r="CK53" s="243" t="str">
        <f>'Gen CP'!$I58</f>
        <v>CSS</v>
      </c>
      <c r="CL53" s="244"/>
      <c r="CM53" s="243" t="str">
        <f>'Gen CP'!$I58</f>
        <v>CSS</v>
      </c>
      <c r="CN53" s="244"/>
      <c r="CO53" s="243" t="str">
        <f>'Gen CP'!$I58</f>
        <v>CSS</v>
      </c>
      <c r="CP53" s="244"/>
      <c r="CQ53" s="243" t="str">
        <f>'Gen CP'!$I58</f>
        <v>CSS</v>
      </c>
      <c r="CR53" s="244"/>
      <c r="CS53" s="282" t="s">
        <v>332</v>
      </c>
      <c r="CT53" s="151"/>
      <c r="CU53" s="243" t="s">
        <v>279</v>
      </c>
      <c r="CV53" s="244"/>
      <c r="CW53" s="243" t="str">
        <f>'Gen CP'!$J58</f>
        <v>Research 2</v>
      </c>
      <c r="CX53" s="244"/>
      <c r="CY53" s="243" t="str">
        <f>'Gen CP'!$J58</f>
        <v>Research 2</v>
      </c>
      <c r="CZ53" s="244"/>
      <c r="DA53" s="243" t="str">
        <f>'Gen CP'!$J58</f>
        <v>Research 2</v>
      </c>
      <c r="DB53" s="244"/>
      <c r="DC53" s="243" t="str">
        <f>'Gen CP'!$J58</f>
        <v>Research 2</v>
      </c>
      <c r="DD53" s="244"/>
      <c r="DE53" s="282" t="s">
        <v>332</v>
      </c>
      <c r="DF53" s="151"/>
      <c r="DG53" s="243" t="s">
        <v>279</v>
      </c>
      <c r="DH53" s="244"/>
      <c r="DI53" s="243" t="str">
        <f>'Gen CP'!$K58</f>
        <v>CPAR</v>
      </c>
      <c r="DJ53" s="244"/>
      <c r="DK53" s="243" t="str">
        <f>'Gen CP'!$K58</f>
        <v>CPAR</v>
      </c>
      <c r="DL53" s="244"/>
      <c r="DM53" s="243" t="str">
        <f>'Gen CP'!$K58</f>
        <v>CPAR</v>
      </c>
      <c r="DN53" s="244"/>
      <c r="DO53" s="243" t="str">
        <f>'Gen CP'!$K58</f>
        <v>CPAR</v>
      </c>
      <c r="DP53" s="244"/>
      <c r="DQ53" s="282" t="s">
        <v>332</v>
      </c>
      <c r="DR53" s="151"/>
      <c r="DS53" s="243"/>
      <c r="DT53" s="244"/>
      <c r="DU53" s="243"/>
      <c r="DV53" s="244"/>
      <c r="DW53" s="243"/>
      <c r="DX53" s="244"/>
      <c r="DY53" s="243"/>
      <c r="DZ53" s="244"/>
      <c r="EA53" s="243"/>
      <c r="EB53" s="244"/>
      <c r="EC53" s="282" t="s">
        <v>332</v>
      </c>
      <c r="ED53" s="151"/>
      <c r="EE53" s="243"/>
      <c r="EF53" s="244"/>
      <c r="EG53" s="243"/>
      <c r="EH53" s="244"/>
      <c r="EI53" s="243"/>
      <c r="EJ53" s="244"/>
      <c r="EK53" s="243"/>
      <c r="EL53" s="244"/>
      <c r="EM53" s="264"/>
      <c r="EN53" s="264"/>
      <c r="EO53" s="274" t="s">
        <v>21</v>
      </c>
      <c r="EP53" s="151">
        <v>60</v>
      </c>
      <c r="EQ53" s="243"/>
      <c r="ER53" s="244"/>
      <c r="ES53" s="243"/>
      <c r="ET53" s="244"/>
      <c r="EU53" s="243"/>
      <c r="EV53" s="244"/>
      <c r="EW53" s="243"/>
      <c r="EX53" s="244"/>
      <c r="EY53" s="264"/>
      <c r="EZ53" s="264"/>
      <c r="FA53" s="274" t="s">
        <v>21</v>
      </c>
      <c r="FB53" s="151">
        <v>60</v>
      </c>
      <c r="FC53" s="243"/>
      <c r="FD53" s="244"/>
      <c r="FE53" s="243"/>
      <c r="FF53" s="244"/>
      <c r="FG53" s="243"/>
      <c r="FH53" s="244"/>
      <c r="FI53" s="243"/>
      <c r="FJ53" s="244"/>
      <c r="FK53" s="264"/>
      <c r="FL53" s="264"/>
      <c r="FM53" s="274" t="s">
        <v>21</v>
      </c>
      <c r="FN53" s="151">
        <v>60</v>
      </c>
      <c r="FO53" s="243"/>
      <c r="FP53" s="244"/>
      <c r="FQ53" s="243"/>
      <c r="FR53" s="244"/>
      <c r="FS53" s="243"/>
      <c r="FT53" s="244"/>
      <c r="FU53" s="243"/>
      <c r="FV53" s="244"/>
      <c r="FW53" s="264"/>
      <c r="FX53" s="264"/>
      <c r="FY53" s="282" t="s">
        <v>332</v>
      </c>
      <c r="FZ53" s="151"/>
      <c r="GA53" s="243"/>
      <c r="GB53" s="244"/>
      <c r="GC53" s="243"/>
      <c r="GD53" s="244"/>
      <c r="GE53" s="243"/>
      <c r="GF53" s="244"/>
      <c r="GG53" s="243"/>
      <c r="GH53" s="244"/>
      <c r="GI53" s="264"/>
      <c r="GJ53" s="264"/>
    </row>
    <row r="54" spans="1:194">
      <c r="A54" s="283"/>
      <c r="B54" s="152"/>
      <c r="C54" s="243" t="str">
        <f>'Gen CP'!$B59</f>
        <v>Bartolome H</v>
      </c>
      <c r="D54" s="244"/>
      <c r="E54" s="243" t="str">
        <f>'Gen CP'!$B59</f>
        <v>Bartolome H</v>
      </c>
      <c r="F54" s="244"/>
      <c r="G54" s="243" t="str">
        <f>'Gen CP'!$B59</f>
        <v>Bartolome H</v>
      </c>
      <c r="H54" s="244"/>
      <c r="I54" s="243" t="str">
        <f>'Gen CP'!$B59</f>
        <v>Bartolome H</v>
      </c>
      <c r="J54" s="244"/>
      <c r="K54" s="243" t="str">
        <f>'Gen CP'!$B59</f>
        <v>Bartolome H</v>
      </c>
      <c r="L54" s="244"/>
      <c r="M54" s="283"/>
      <c r="N54" s="152"/>
      <c r="O54" s="243" t="str">
        <f>'Gen CP'!$C59</f>
        <v>Orgil E</v>
      </c>
      <c r="P54" s="244"/>
      <c r="Q54" s="243" t="str">
        <f>'Gen CP'!$C59</f>
        <v>Orgil E</v>
      </c>
      <c r="R54" s="244"/>
      <c r="S54" s="243" t="str">
        <f>'Gen CP'!$C59</f>
        <v>Orgil E</v>
      </c>
      <c r="T54" s="244"/>
      <c r="U54" s="243" t="str">
        <f>'Gen CP'!$C59</f>
        <v>Orgil E</v>
      </c>
      <c r="V54" s="244"/>
      <c r="W54" s="243" t="str">
        <f>'Gen CP'!$C59</f>
        <v>Orgil E</v>
      </c>
      <c r="X54" s="244"/>
      <c r="Y54" s="283"/>
      <c r="Z54" s="152"/>
      <c r="AA54" s="243" t="str">
        <f>'Gen CP'!$D59</f>
        <v>Sarmiento F</v>
      </c>
      <c r="AB54" s="244"/>
      <c r="AC54" s="243" t="str">
        <f>'Gen CP'!$D59</f>
        <v>Sarmiento F</v>
      </c>
      <c r="AD54" s="244"/>
      <c r="AE54" s="243" t="str">
        <f>'Gen CP'!$D59</f>
        <v>Sarmiento F</v>
      </c>
      <c r="AF54" s="244"/>
      <c r="AG54" s="243" t="str">
        <f>'Gen CP'!$D59</f>
        <v>Sarmiento F</v>
      </c>
      <c r="AH54" s="244"/>
      <c r="AI54" s="243" t="str">
        <f>'Gen CP'!$D59</f>
        <v>Sarmiento F</v>
      </c>
      <c r="AJ54" s="244"/>
      <c r="AK54" s="283"/>
      <c r="AL54" s="152"/>
      <c r="AM54" s="243" t="str">
        <f>'Gen CP'!$E59</f>
        <v>Almadin H</v>
      </c>
      <c r="AN54" s="244"/>
      <c r="AO54" s="243" t="str">
        <f>'Gen CP'!$E59</f>
        <v>Almadin H</v>
      </c>
      <c r="AP54" s="244"/>
      <c r="AQ54" s="243" t="str">
        <f>'Gen CP'!$E59</f>
        <v>Almadin H</v>
      </c>
      <c r="AR54" s="244"/>
      <c r="AS54" s="243" t="str">
        <f>'Gen CP'!$E59</f>
        <v>Almadin H</v>
      </c>
      <c r="AT54" s="244"/>
      <c r="AU54" s="243" t="str">
        <f>'Gen CP'!$E59</f>
        <v>Almadin H</v>
      </c>
      <c r="AV54" s="244"/>
      <c r="AW54" s="283"/>
      <c r="AX54" s="152"/>
      <c r="AY54" s="243" t="str">
        <f>'Gen CP'!$F59</f>
        <v>Pascua I</v>
      </c>
      <c r="AZ54" s="244"/>
      <c r="BA54" s="243" t="str">
        <f>'Gen CP'!$F59</f>
        <v>Pascua I</v>
      </c>
      <c r="BB54" s="244"/>
      <c r="BC54" s="243" t="str">
        <f>'Gen CP'!$F59</f>
        <v>Pascua I</v>
      </c>
      <c r="BD54" s="244"/>
      <c r="BE54" s="243" t="str">
        <f>'Gen CP'!$F59</f>
        <v>Pascua I</v>
      </c>
      <c r="BF54" s="244"/>
      <c r="BG54" s="243" t="str">
        <f>'Gen CP'!$F59</f>
        <v>Pascua I</v>
      </c>
      <c r="BH54" s="244"/>
      <c r="BI54" s="283"/>
      <c r="BJ54" s="152"/>
      <c r="BK54" s="243" t="s">
        <v>519</v>
      </c>
      <c r="BL54" s="244"/>
      <c r="BM54" s="243" t="str">
        <f>'Gen CP'!$G59</f>
        <v>Tamondong A</v>
      </c>
      <c r="BN54" s="244"/>
      <c r="BO54" s="243" t="str">
        <f>'Gen CP'!$G59</f>
        <v>Tamondong A</v>
      </c>
      <c r="BP54" s="244"/>
      <c r="BQ54" s="243" t="str">
        <f>'Gen CP'!$G59</f>
        <v>Tamondong A</v>
      </c>
      <c r="BR54" s="244"/>
      <c r="BS54" s="243" t="str">
        <f>'Gen CP'!$G59</f>
        <v>Tamondong A</v>
      </c>
      <c r="BT54" s="244"/>
      <c r="BU54" s="283"/>
      <c r="BV54" s="152"/>
      <c r="BW54" s="243" t="str">
        <f>'Gen CP'!$H59</f>
        <v>De Leon I</v>
      </c>
      <c r="BX54" s="244"/>
      <c r="BY54" s="243" t="str">
        <f>'Gen CP'!$H59</f>
        <v>De Leon I</v>
      </c>
      <c r="BZ54" s="244"/>
      <c r="CA54" s="243" t="str">
        <f>'Gen CP'!$H59</f>
        <v>De Leon I</v>
      </c>
      <c r="CB54" s="244"/>
      <c r="CC54" s="243" t="str">
        <f>'Gen CP'!$H59</f>
        <v>De Leon I</v>
      </c>
      <c r="CD54" s="244"/>
      <c r="CE54" s="243" t="str">
        <f>'Gen CP'!$H59</f>
        <v>De Leon I</v>
      </c>
      <c r="CF54" s="244"/>
      <c r="CG54" s="283"/>
      <c r="CH54" s="152"/>
      <c r="CI54" s="243" t="str">
        <f>'Gen CP'!$I59</f>
        <v>Mercado R</v>
      </c>
      <c r="CJ54" s="244"/>
      <c r="CK54" s="243" t="str">
        <f>'Gen CP'!$I59</f>
        <v>Mercado R</v>
      </c>
      <c r="CL54" s="244"/>
      <c r="CM54" s="243" t="str">
        <f>'Gen CP'!$I59</f>
        <v>Mercado R</v>
      </c>
      <c r="CN54" s="244"/>
      <c r="CO54" s="243" t="str">
        <f>'Gen CP'!$I59</f>
        <v>Mercado R</v>
      </c>
      <c r="CP54" s="244"/>
      <c r="CQ54" s="243" t="str">
        <f>'Gen CP'!$I59</f>
        <v>Mercado R</v>
      </c>
      <c r="CR54" s="244"/>
      <c r="CS54" s="283"/>
      <c r="CT54" s="152"/>
      <c r="CU54" s="243" t="str">
        <f>'Gen CP'!$J59</f>
        <v>Marcelo OJ</v>
      </c>
      <c r="CV54" s="244"/>
      <c r="CW54" s="243" t="str">
        <f>'Gen CP'!$J59</f>
        <v>Marcelo OJ</v>
      </c>
      <c r="CX54" s="244"/>
      <c r="CY54" s="243" t="str">
        <f>'Gen CP'!$J59</f>
        <v>Marcelo OJ</v>
      </c>
      <c r="CZ54" s="244"/>
      <c r="DA54" s="243" t="str">
        <f>'Gen CP'!$J59</f>
        <v>Marcelo OJ</v>
      </c>
      <c r="DB54" s="244"/>
      <c r="DC54" s="243" t="str">
        <f>'Gen CP'!$J59</f>
        <v>Marcelo OJ</v>
      </c>
      <c r="DD54" s="244"/>
      <c r="DE54" s="283"/>
      <c r="DF54" s="152"/>
      <c r="DG54" s="243" t="str">
        <f>'Gen CP'!$K59</f>
        <v>Gardoce J</v>
      </c>
      <c r="DH54" s="244"/>
      <c r="DI54" s="243" t="str">
        <f>'Gen CP'!$K59</f>
        <v>Gardoce J</v>
      </c>
      <c r="DJ54" s="244"/>
      <c r="DK54" s="243" t="str">
        <f>'Gen CP'!$K59</f>
        <v>Gardoce J</v>
      </c>
      <c r="DL54" s="244"/>
      <c r="DM54" s="243" t="str">
        <f>'Gen CP'!$K59</f>
        <v>Gardoce J</v>
      </c>
      <c r="DN54" s="244"/>
      <c r="DO54" s="243" t="str">
        <f>'Gen CP'!$K59</f>
        <v>Gardoce J</v>
      </c>
      <c r="DP54" s="244"/>
      <c r="DQ54" s="283"/>
      <c r="DR54" s="152"/>
      <c r="DS54" s="243"/>
      <c r="DT54" s="244"/>
      <c r="DU54" s="243"/>
      <c r="DV54" s="244"/>
      <c r="DW54" s="243"/>
      <c r="DX54" s="244"/>
      <c r="DY54" s="243"/>
      <c r="DZ54" s="244"/>
      <c r="EA54" s="243"/>
      <c r="EB54" s="244"/>
      <c r="EC54" s="283"/>
      <c r="ED54" s="152"/>
      <c r="EE54" s="243"/>
      <c r="EF54" s="244"/>
      <c r="EG54" s="243"/>
      <c r="EH54" s="244"/>
      <c r="EI54" s="243"/>
      <c r="EJ54" s="244"/>
      <c r="EK54" s="243"/>
      <c r="EL54" s="244"/>
      <c r="EM54" s="264"/>
      <c r="EN54" s="264"/>
      <c r="EO54" s="275"/>
      <c r="EP54" s="152"/>
      <c r="EQ54" s="243"/>
      <c r="ER54" s="244"/>
      <c r="ES54" s="243"/>
      <c r="ET54" s="244"/>
      <c r="EU54" s="243"/>
      <c r="EV54" s="244"/>
      <c r="EW54" s="243"/>
      <c r="EX54" s="244"/>
      <c r="EY54" s="264"/>
      <c r="EZ54" s="264"/>
      <c r="FA54" s="275"/>
      <c r="FB54" s="152"/>
      <c r="FC54" s="243"/>
      <c r="FD54" s="244"/>
      <c r="FE54" s="243"/>
      <c r="FF54" s="244"/>
      <c r="FG54" s="243"/>
      <c r="FH54" s="244"/>
      <c r="FI54" s="243"/>
      <c r="FJ54" s="244"/>
      <c r="FK54" s="264"/>
      <c r="FL54" s="264"/>
      <c r="FM54" s="275"/>
      <c r="FN54" s="152"/>
      <c r="FO54" s="243"/>
      <c r="FP54" s="244"/>
      <c r="FQ54" s="243"/>
      <c r="FR54" s="244"/>
      <c r="FS54" s="243"/>
      <c r="FT54" s="244"/>
      <c r="FU54" s="243"/>
      <c r="FV54" s="244"/>
      <c r="FW54" s="264"/>
      <c r="FX54" s="264"/>
      <c r="FY54" s="283"/>
      <c r="FZ54" s="152"/>
      <c r="GA54" s="243"/>
      <c r="GB54" s="244"/>
      <c r="GC54" s="243"/>
      <c r="GD54" s="244"/>
      <c r="GE54" s="243"/>
      <c r="GF54" s="244"/>
      <c r="GG54" s="243"/>
      <c r="GH54" s="244"/>
      <c r="GI54" s="264"/>
      <c r="GJ54" s="264"/>
    </row>
    <row r="55" spans="1:194">
      <c r="A55" s="113"/>
      <c r="B55" s="114"/>
      <c r="C55" s="243"/>
      <c r="D55" s="244"/>
      <c r="E55" s="243"/>
      <c r="F55" s="244"/>
      <c r="G55" s="243"/>
      <c r="H55" s="244"/>
      <c r="I55" s="243"/>
      <c r="J55" s="244"/>
      <c r="K55" s="243"/>
      <c r="L55" s="244"/>
      <c r="M55" s="113"/>
      <c r="N55" s="114"/>
      <c r="O55" s="115"/>
      <c r="P55" s="116"/>
      <c r="Q55" s="115"/>
      <c r="R55" s="116"/>
      <c r="S55" s="115"/>
      <c r="T55" s="116"/>
      <c r="U55" s="115"/>
      <c r="V55" s="116"/>
      <c r="W55" s="243"/>
      <c r="X55" s="244"/>
      <c r="Y55" s="113"/>
      <c r="Z55" s="114"/>
      <c r="AA55" s="243"/>
      <c r="AB55" s="244"/>
      <c r="AC55" s="243"/>
      <c r="AD55" s="244"/>
      <c r="AE55" s="243"/>
      <c r="AF55" s="244"/>
      <c r="AG55" s="243"/>
      <c r="AH55" s="244"/>
      <c r="AI55" s="243"/>
      <c r="AJ55" s="244"/>
      <c r="AK55" s="113"/>
      <c r="AL55" s="114"/>
      <c r="AM55" s="115"/>
      <c r="AN55" s="116"/>
      <c r="AO55" s="115"/>
      <c r="AP55" s="116"/>
      <c r="AQ55" s="115"/>
      <c r="AR55" s="116"/>
      <c r="AS55" s="115"/>
      <c r="AT55" s="116"/>
      <c r="AU55" s="243"/>
      <c r="AV55" s="244"/>
      <c r="AW55" s="113"/>
      <c r="AX55" s="114"/>
      <c r="AY55" s="115"/>
      <c r="AZ55" s="116"/>
      <c r="BA55" s="115"/>
      <c r="BB55" s="116"/>
      <c r="BC55" s="115"/>
      <c r="BD55" s="116"/>
      <c r="BE55" s="115"/>
      <c r="BF55" s="116"/>
      <c r="BG55" s="243"/>
      <c r="BH55" s="244"/>
      <c r="BI55" s="113"/>
      <c r="BJ55" s="114"/>
      <c r="BK55" s="115"/>
      <c r="BL55" s="116"/>
      <c r="BM55" s="115"/>
      <c r="BN55" s="116"/>
      <c r="BO55" s="115"/>
      <c r="BP55" s="116"/>
      <c r="BQ55" s="115"/>
      <c r="BR55" s="116"/>
      <c r="BS55" s="243"/>
      <c r="BT55" s="244"/>
      <c r="BU55" s="113"/>
      <c r="BV55" s="114"/>
      <c r="BW55" s="115"/>
      <c r="BX55" s="116"/>
      <c r="BY55" s="115"/>
      <c r="BZ55" s="116"/>
      <c r="CA55" s="115"/>
      <c r="CB55" s="116"/>
      <c r="CC55" s="115"/>
      <c r="CD55" s="116"/>
      <c r="CE55" s="243"/>
      <c r="CF55" s="244"/>
      <c r="CG55" s="113"/>
      <c r="CH55" s="114"/>
      <c r="CI55" s="115"/>
      <c r="CJ55" s="116"/>
      <c r="CK55" s="115"/>
      <c r="CL55" s="116"/>
      <c r="CM55" s="115"/>
      <c r="CN55" s="116"/>
      <c r="CO55" s="115"/>
      <c r="CP55" s="116"/>
      <c r="CQ55" s="243"/>
      <c r="CR55" s="244"/>
      <c r="CS55" s="113"/>
      <c r="CT55" s="114"/>
      <c r="CU55" s="243"/>
      <c r="CV55" s="244"/>
      <c r="CW55" s="243"/>
      <c r="CX55" s="244"/>
      <c r="CY55" s="243"/>
      <c r="CZ55" s="244"/>
      <c r="DA55" s="243"/>
      <c r="DB55" s="244"/>
      <c r="DC55" s="243"/>
      <c r="DD55" s="244"/>
      <c r="DE55" s="113"/>
      <c r="DF55" s="114"/>
      <c r="DG55" s="115"/>
      <c r="DH55" s="116"/>
      <c r="DI55" s="115"/>
      <c r="DJ55" s="116"/>
      <c r="DK55" s="115"/>
      <c r="DL55" s="116"/>
      <c r="DM55" s="115"/>
      <c r="DN55" s="116"/>
      <c r="DO55" s="243"/>
      <c r="DP55" s="244"/>
      <c r="DQ55" s="113"/>
      <c r="DR55" s="114"/>
      <c r="DS55" s="115"/>
      <c r="DT55" s="116"/>
      <c r="DU55" s="115"/>
      <c r="DV55" s="116"/>
      <c r="DW55" s="115"/>
      <c r="DX55" s="116"/>
      <c r="DY55" s="115"/>
      <c r="DZ55" s="116"/>
      <c r="EA55" s="243"/>
      <c r="EB55" s="244"/>
      <c r="EC55" s="113"/>
      <c r="ED55" s="114"/>
      <c r="EE55" s="115"/>
      <c r="EF55" s="116"/>
      <c r="EG55" s="115"/>
      <c r="EH55" s="116"/>
      <c r="EI55" s="115"/>
      <c r="EJ55" s="116"/>
      <c r="EK55" s="115"/>
      <c r="EL55" s="116"/>
      <c r="EM55" s="243"/>
      <c r="EN55" s="244"/>
      <c r="EO55" s="119"/>
      <c r="EP55" s="114"/>
      <c r="EQ55" s="115"/>
      <c r="ER55" s="116"/>
      <c r="ES55" s="115"/>
      <c r="ET55" s="116"/>
      <c r="EU55" s="115"/>
      <c r="EV55" s="116"/>
      <c r="EW55" s="115"/>
      <c r="EX55" s="116"/>
      <c r="EY55" s="120"/>
      <c r="EZ55" s="120"/>
      <c r="FA55" s="119"/>
      <c r="FB55" s="114"/>
      <c r="FC55" s="115"/>
      <c r="FD55" s="116"/>
      <c r="FE55" s="115"/>
      <c r="FF55" s="116"/>
      <c r="FG55" s="115"/>
      <c r="FH55" s="116"/>
      <c r="FI55" s="115"/>
      <c r="FJ55" s="116"/>
      <c r="FK55" s="120"/>
      <c r="FL55" s="120"/>
      <c r="FM55" s="119"/>
      <c r="FN55" s="114"/>
      <c r="FO55" s="115"/>
      <c r="FP55" s="116"/>
      <c r="FQ55" s="115"/>
      <c r="FR55" s="116"/>
      <c r="FS55" s="115"/>
      <c r="FT55" s="116"/>
      <c r="FU55" s="115"/>
      <c r="FV55" s="116"/>
      <c r="FW55" s="120"/>
      <c r="FX55" s="120"/>
      <c r="FY55" s="113"/>
      <c r="FZ55" s="114"/>
      <c r="GA55" s="115"/>
      <c r="GB55" s="116"/>
      <c r="GC55" s="115"/>
      <c r="GD55" s="116"/>
      <c r="GE55" s="115"/>
      <c r="GF55" s="116"/>
      <c r="GG55" s="115"/>
      <c r="GH55" s="116"/>
      <c r="GI55" s="243"/>
      <c r="GJ55" s="244"/>
    </row>
    <row r="56" spans="1:194" ht="15" customHeight="1">
      <c r="A56" s="164" t="s">
        <v>345</v>
      </c>
      <c r="B56" s="137"/>
      <c r="C56" s="243" t="str">
        <f>'Gen CP'!$B60</f>
        <v>Philo</v>
      </c>
      <c r="D56" s="244"/>
      <c r="E56" s="243" t="str">
        <f>'Gen CP'!$B60</f>
        <v>Philo</v>
      </c>
      <c r="F56" s="244"/>
      <c r="G56" s="243" t="str">
        <f>'Gen CP'!$B60</f>
        <v>Philo</v>
      </c>
      <c r="H56" s="244"/>
      <c r="I56" s="243" t="str">
        <f>'Gen CP'!$B60</f>
        <v>Philo</v>
      </c>
      <c r="J56" s="244"/>
      <c r="K56" s="243" t="s">
        <v>375</v>
      </c>
      <c r="L56" s="244"/>
      <c r="M56" s="164" t="s">
        <v>345</v>
      </c>
      <c r="N56" s="137"/>
      <c r="O56" s="243" t="str">
        <f>'Gen CP'!$C60</f>
        <v>Piling Larang</v>
      </c>
      <c r="P56" s="244"/>
      <c r="Q56" s="243" t="s">
        <v>375</v>
      </c>
      <c r="R56" s="244"/>
      <c r="S56" s="243" t="str">
        <f>'Gen CP'!$C60</f>
        <v>Piling Larang</v>
      </c>
      <c r="T56" s="244"/>
      <c r="U56" s="243" t="str">
        <f>'Gen CP'!$C60</f>
        <v>Piling Larang</v>
      </c>
      <c r="V56" s="244"/>
      <c r="W56" s="243" t="str">
        <f>'Gen CP'!$C60</f>
        <v>Piling Larang</v>
      </c>
      <c r="X56" s="244"/>
      <c r="Y56" s="164" t="s">
        <v>345</v>
      </c>
      <c r="Z56" s="137"/>
      <c r="AA56" s="243" t="str">
        <f>'Gen CP'!$D60</f>
        <v>PPG</v>
      </c>
      <c r="AB56" s="244"/>
      <c r="AC56" s="243" t="str">
        <f>'Gen CP'!$D60</f>
        <v>PPG</v>
      </c>
      <c r="AD56" s="244"/>
      <c r="AE56" s="243" t="s">
        <v>375</v>
      </c>
      <c r="AF56" s="244"/>
      <c r="AG56" s="243" t="str">
        <f>'Gen CP'!$D60</f>
        <v>PPG</v>
      </c>
      <c r="AH56" s="244"/>
      <c r="AI56" s="243" t="str">
        <f>'Gen CP'!$D60</f>
        <v>PPG</v>
      </c>
      <c r="AJ56" s="244"/>
      <c r="AK56" s="164" t="s">
        <v>345</v>
      </c>
      <c r="AL56" s="137"/>
      <c r="AM56" s="243" t="str">
        <f>'Gen CP'!$E60</f>
        <v>DIASS</v>
      </c>
      <c r="AN56" s="244"/>
      <c r="AO56" s="243" t="str">
        <f>'Gen CP'!$E60</f>
        <v>DIASS</v>
      </c>
      <c r="AP56" s="244"/>
      <c r="AQ56" s="243" t="str">
        <f>'Gen CP'!$E60</f>
        <v>DIASS</v>
      </c>
      <c r="AR56" s="244"/>
      <c r="AS56" s="243" t="s">
        <v>375</v>
      </c>
      <c r="AT56" s="244"/>
      <c r="AU56" s="243" t="str">
        <f>'Gen CP'!$E60</f>
        <v>DIASS</v>
      </c>
      <c r="AV56" s="244"/>
      <c r="AW56" s="164" t="s">
        <v>345</v>
      </c>
      <c r="AX56" s="137"/>
      <c r="AY56" s="243" t="str">
        <f>'Gen CP'!$F60</f>
        <v>CPAR</v>
      </c>
      <c r="AZ56" s="244"/>
      <c r="BA56" s="243" t="str">
        <f>'Gen CP'!$F60</f>
        <v>CPAR</v>
      </c>
      <c r="BB56" s="244"/>
      <c r="BC56" s="243" t="str">
        <f>'Gen CP'!$F60</f>
        <v>CPAR</v>
      </c>
      <c r="BD56" s="244"/>
      <c r="BE56" s="243" t="str">
        <f>'Gen CP'!$F60</f>
        <v>CPAR</v>
      </c>
      <c r="BF56" s="244"/>
      <c r="BG56" s="243" t="str">
        <f>'Gen CP'!$F60</f>
        <v>CPAR</v>
      </c>
      <c r="BH56" s="244"/>
      <c r="BI56" s="164" t="s">
        <v>345</v>
      </c>
      <c r="BJ56" s="137"/>
      <c r="BK56" s="243" t="str">
        <f>'Gen CP'!$G60</f>
        <v>Agri-Crops NC II</v>
      </c>
      <c r="BL56" s="244"/>
      <c r="BM56" s="243" t="str">
        <f>'Gen CP'!$G60</f>
        <v>Agri-Crops NC II</v>
      </c>
      <c r="BN56" s="244"/>
      <c r="BO56" s="243" t="str">
        <f>'Gen CP'!$G60</f>
        <v>Agri-Crops NC II</v>
      </c>
      <c r="BP56" s="244"/>
      <c r="BQ56" s="243" t="str">
        <f>'Gen CP'!$G60</f>
        <v>Agri-Crops NC II</v>
      </c>
      <c r="BR56" s="244"/>
      <c r="BS56" s="243" t="str">
        <f>'Gen CP'!$G60</f>
        <v>Agri-Crops NC II</v>
      </c>
      <c r="BT56" s="244"/>
      <c r="BU56" s="164" t="s">
        <v>345</v>
      </c>
      <c r="BV56" s="137"/>
      <c r="BW56" s="254" t="str">
        <f>'Gen CP'!$H60</f>
        <v>MIL</v>
      </c>
      <c r="BX56" s="255"/>
      <c r="BY56" s="254" t="str">
        <f>'Gen CP'!$H60</f>
        <v>MIL</v>
      </c>
      <c r="BZ56" s="255"/>
      <c r="CA56" s="243" t="str">
        <f>'Gen CP'!$H60</f>
        <v>MIL</v>
      </c>
      <c r="CB56" s="244"/>
      <c r="CC56" s="243" t="str">
        <f>'Gen CP'!$H60</f>
        <v>MIL</v>
      </c>
      <c r="CD56" s="244"/>
      <c r="CE56" s="243" t="str">
        <f>'Gen CP'!$H60</f>
        <v>MIL</v>
      </c>
      <c r="CF56" s="244"/>
      <c r="CG56" s="164" t="s">
        <v>345</v>
      </c>
      <c r="CH56" s="137"/>
      <c r="CI56" s="243" t="str">
        <f>'Gen CP'!$I60</f>
        <v>CSS</v>
      </c>
      <c r="CJ56" s="244"/>
      <c r="CK56" s="243" t="str">
        <f>'Gen CP'!$I60</f>
        <v>CSS</v>
      </c>
      <c r="CL56" s="244"/>
      <c r="CM56" s="243" t="str">
        <f>'Gen CP'!$I60</f>
        <v>CSS</v>
      </c>
      <c r="CN56" s="244"/>
      <c r="CO56" s="243" t="str">
        <f>'Gen CP'!$I60</f>
        <v>CSS</v>
      </c>
      <c r="CP56" s="244"/>
      <c r="CQ56" s="243" t="str">
        <f>'Gen CP'!$I60</f>
        <v>CSS</v>
      </c>
      <c r="CR56" s="244"/>
      <c r="CS56" s="164" t="s">
        <v>345</v>
      </c>
      <c r="CT56" s="137"/>
      <c r="CU56" s="243" t="str">
        <f>CU59</f>
        <v>MIL</v>
      </c>
      <c r="CV56" s="244"/>
      <c r="CW56" s="289" t="s">
        <v>102</v>
      </c>
      <c r="CX56" s="290"/>
      <c r="CY56" s="243" t="str">
        <f>CY63</f>
        <v>PPG</v>
      </c>
      <c r="CZ56" s="244"/>
      <c r="DA56" s="243" t="str">
        <f>DA61</f>
        <v>CPAR</v>
      </c>
      <c r="DB56" s="244"/>
      <c r="DC56" s="243" t="s">
        <v>375</v>
      </c>
      <c r="DD56" s="244"/>
      <c r="DE56" s="164" t="s">
        <v>345</v>
      </c>
      <c r="DF56" s="137"/>
      <c r="DG56" s="243" t="str">
        <f>'Gen CP'!$K60</f>
        <v>Piling Larang</v>
      </c>
      <c r="DH56" s="244"/>
      <c r="DI56" s="243" t="str">
        <f>'Gen CP'!$K60</f>
        <v>Piling Larang</v>
      </c>
      <c r="DJ56" s="244"/>
      <c r="DK56" s="243" t="str">
        <f>'Gen CP'!$K60</f>
        <v>Piling Larang</v>
      </c>
      <c r="DL56" s="244"/>
      <c r="DM56" s="243" t="str">
        <f>'Gen CP'!$K60</f>
        <v>Piling Larang</v>
      </c>
      <c r="DN56" s="244"/>
      <c r="DO56" s="243" t="str">
        <f>'Gen CP'!$K60</f>
        <v>Piling Larang</v>
      </c>
      <c r="DP56" s="244"/>
      <c r="DQ56" s="164" t="s">
        <v>345</v>
      </c>
      <c r="DR56" s="137"/>
      <c r="DS56" s="243"/>
      <c r="DT56" s="244"/>
      <c r="DU56" s="243"/>
      <c r="DV56" s="244"/>
      <c r="DW56" s="243"/>
      <c r="DX56" s="244"/>
      <c r="DY56" s="243"/>
      <c r="DZ56" s="244"/>
      <c r="EA56" s="243"/>
      <c r="EB56" s="244"/>
      <c r="EC56" s="164" t="s">
        <v>345</v>
      </c>
      <c r="ED56" s="137"/>
      <c r="EE56" s="243"/>
      <c r="EF56" s="244"/>
      <c r="EG56" s="264"/>
      <c r="EH56" s="264"/>
      <c r="EI56" s="264"/>
      <c r="EJ56" s="264"/>
      <c r="EK56" s="264"/>
      <c r="EL56" s="264"/>
      <c r="EM56" s="243"/>
      <c r="EN56" s="244"/>
      <c r="EO56" s="265" t="s">
        <v>22</v>
      </c>
      <c r="EP56" s="137">
        <v>60</v>
      </c>
      <c r="EQ56" s="243"/>
      <c r="ER56" s="244"/>
      <c r="ES56" s="243"/>
      <c r="ET56" s="244"/>
      <c r="EU56" s="243"/>
      <c r="EV56" s="244"/>
      <c r="EW56" s="243"/>
      <c r="EX56" s="244"/>
      <c r="EY56" s="264"/>
      <c r="EZ56" s="264"/>
      <c r="FA56" s="265" t="s">
        <v>22</v>
      </c>
      <c r="FB56" s="137">
        <v>60</v>
      </c>
      <c r="FC56" s="243"/>
      <c r="FD56" s="244"/>
      <c r="FE56" s="243"/>
      <c r="FF56" s="244"/>
      <c r="FG56" s="243"/>
      <c r="FH56" s="244"/>
      <c r="FI56" s="243"/>
      <c r="FJ56" s="244"/>
      <c r="FK56" s="264"/>
      <c r="FL56" s="264"/>
      <c r="FM56" s="265" t="s">
        <v>22</v>
      </c>
      <c r="FN56" s="137">
        <v>60</v>
      </c>
      <c r="FO56" s="243"/>
      <c r="FP56" s="244"/>
      <c r="FQ56" s="243"/>
      <c r="FR56" s="244"/>
      <c r="FS56" s="243"/>
      <c r="FT56" s="244"/>
      <c r="FU56" s="243"/>
      <c r="FV56" s="244"/>
      <c r="FW56" s="264"/>
      <c r="FX56" s="264"/>
      <c r="FY56" s="164" t="s">
        <v>345</v>
      </c>
      <c r="FZ56" s="137"/>
      <c r="GA56" s="243"/>
      <c r="GB56" s="244"/>
      <c r="GC56" s="264"/>
      <c r="GD56" s="264"/>
      <c r="GE56" s="264"/>
      <c r="GF56" s="264"/>
      <c r="GG56" s="264"/>
      <c r="GH56" s="264"/>
      <c r="GI56" s="243"/>
      <c r="GJ56" s="244"/>
      <c r="GL56" s="1" t="s">
        <v>51</v>
      </c>
    </row>
    <row r="57" spans="1:194">
      <c r="A57" s="165"/>
      <c r="B57" s="137"/>
      <c r="C57" s="243" t="str">
        <f>'Gen CP'!$B61</f>
        <v>Orgil E</v>
      </c>
      <c r="D57" s="244"/>
      <c r="E57" s="243" t="str">
        <f>'Gen CP'!$B61</f>
        <v>Orgil E</v>
      </c>
      <c r="F57" s="244"/>
      <c r="G57" s="243" t="str">
        <f>'Gen CP'!$B61</f>
        <v>Orgil E</v>
      </c>
      <c r="H57" s="244"/>
      <c r="I57" s="243" t="str">
        <f>'Gen CP'!$B61</f>
        <v>Orgil E</v>
      </c>
      <c r="J57" s="244"/>
      <c r="K57" s="243" t="s">
        <v>381</v>
      </c>
      <c r="L57" s="244"/>
      <c r="M57" s="165"/>
      <c r="N57" s="137"/>
      <c r="O57" s="243" t="str">
        <f>'Gen CP'!$C61</f>
        <v>Lorenzo C</v>
      </c>
      <c r="P57" s="244"/>
      <c r="Q57" s="243" t="s">
        <v>381</v>
      </c>
      <c r="R57" s="244"/>
      <c r="S57" s="243" t="str">
        <f>'Gen CP'!$C61</f>
        <v>Lorenzo C</v>
      </c>
      <c r="T57" s="244"/>
      <c r="U57" s="243" t="str">
        <f>'Gen CP'!$C61</f>
        <v>Lorenzo C</v>
      </c>
      <c r="V57" s="244"/>
      <c r="W57" s="243" t="str">
        <f>'Gen CP'!$C61</f>
        <v>Lorenzo C</v>
      </c>
      <c r="X57" s="244"/>
      <c r="Y57" s="165"/>
      <c r="Z57" s="137"/>
      <c r="AA57" s="243" t="str">
        <f>'Gen CP'!$D61</f>
        <v>Almadin H</v>
      </c>
      <c r="AB57" s="244"/>
      <c r="AC57" s="243" t="str">
        <f>'Gen CP'!$D61</f>
        <v>Almadin H</v>
      </c>
      <c r="AD57" s="244"/>
      <c r="AE57" s="243" t="s">
        <v>381</v>
      </c>
      <c r="AF57" s="244"/>
      <c r="AG57" s="243" t="str">
        <f>'Gen CP'!$D61</f>
        <v>Almadin H</v>
      </c>
      <c r="AH57" s="244"/>
      <c r="AI57" s="243" t="str">
        <f>'Gen CP'!$D61</f>
        <v>Almadin H</v>
      </c>
      <c r="AJ57" s="244"/>
      <c r="AK57" s="165"/>
      <c r="AL57" s="137"/>
      <c r="AM57" s="243" t="str">
        <f>'Gen CP'!$E61</f>
        <v>Gardoce J</v>
      </c>
      <c r="AN57" s="244"/>
      <c r="AO57" s="243" t="str">
        <f>'Gen CP'!$E61</f>
        <v>Gardoce J</v>
      </c>
      <c r="AP57" s="244"/>
      <c r="AQ57" s="243" t="str">
        <f>'Gen CP'!$E61</f>
        <v>Gardoce J</v>
      </c>
      <c r="AR57" s="244"/>
      <c r="AS57" s="243" t="s">
        <v>381</v>
      </c>
      <c r="AT57" s="244"/>
      <c r="AU57" s="243" t="str">
        <f>'Gen CP'!$E61</f>
        <v>Gardoce J</v>
      </c>
      <c r="AV57" s="244"/>
      <c r="AW57" s="165"/>
      <c r="AX57" s="137"/>
      <c r="AY57" s="243" t="str">
        <f>'Gen CP'!$F61</f>
        <v>Hierco M</v>
      </c>
      <c r="AZ57" s="244"/>
      <c r="BA57" s="243" t="str">
        <f>'Gen CP'!$F61</f>
        <v>Hierco M</v>
      </c>
      <c r="BB57" s="244"/>
      <c r="BC57" s="243" t="str">
        <f>'Gen CP'!$F61</f>
        <v>Hierco M</v>
      </c>
      <c r="BD57" s="244"/>
      <c r="BE57" s="243" t="str">
        <f>'Gen CP'!$F61</f>
        <v>Hierco M</v>
      </c>
      <c r="BF57" s="244"/>
      <c r="BG57" s="243" t="str">
        <f>'Gen CP'!$F61</f>
        <v>Hierco M</v>
      </c>
      <c r="BH57" s="244"/>
      <c r="BI57" s="165"/>
      <c r="BJ57" s="137"/>
      <c r="BK57" s="243" t="str">
        <f>'Gen CP'!$G61</f>
        <v>Carillo R</v>
      </c>
      <c r="BL57" s="244"/>
      <c r="BM57" s="243" t="str">
        <f>'Gen CP'!$G61</f>
        <v>Carillo R</v>
      </c>
      <c r="BN57" s="244"/>
      <c r="BO57" s="243" t="str">
        <f>'Gen CP'!$G61</f>
        <v>Carillo R</v>
      </c>
      <c r="BP57" s="244"/>
      <c r="BQ57" s="243" t="str">
        <f>'Gen CP'!$G61</f>
        <v>Carillo R</v>
      </c>
      <c r="BR57" s="244"/>
      <c r="BS57" s="243" t="str">
        <f>'Gen CP'!$G61</f>
        <v>Carillo R</v>
      </c>
      <c r="BT57" s="244"/>
      <c r="BU57" s="165"/>
      <c r="BV57" s="137"/>
      <c r="BW57" s="254" t="str">
        <f>'Gen CP'!$H61</f>
        <v>Valdez R</v>
      </c>
      <c r="BX57" s="255"/>
      <c r="BY57" s="254" t="str">
        <f>'Gen CP'!$H61</f>
        <v>Valdez R</v>
      </c>
      <c r="BZ57" s="255"/>
      <c r="CA57" s="243" t="str">
        <f>'Gen CP'!$H61</f>
        <v>Valdez R</v>
      </c>
      <c r="CB57" s="244"/>
      <c r="CC57" s="243" t="str">
        <f>'Gen CP'!$H61</f>
        <v>Valdez R</v>
      </c>
      <c r="CD57" s="244"/>
      <c r="CE57" s="243" t="str">
        <f>'Gen CP'!$H61</f>
        <v>Valdez R</v>
      </c>
      <c r="CF57" s="244"/>
      <c r="CG57" s="165"/>
      <c r="CH57" s="137"/>
      <c r="CI57" s="243" t="str">
        <f>'Gen CP'!$I61</f>
        <v>Mercado R</v>
      </c>
      <c r="CJ57" s="244"/>
      <c r="CK57" s="243" t="str">
        <f>'Gen CP'!$I61</f>
        <v>Mercado R</v>
      </c>
      <c r="CL57" s="244"/>
      <c r="CM57" s="243" t="str">
        <f>'Gen CP'!$I61</f>
        <v>Mercado R</v>
      </c>
      <c r="CN57" s="244"/>
      <c r="CO57" s="243" t="str">
        <f>'Gen CP'!$I61</f>
        <v>Mercado R</v>
      </c>
      <c r="CP57" s="244"/>
      <c r="CQ57" s="243" t="str">
        <f>'Gen CP'!$I61</f>
        <v>Mercado R</v>
      </c>
      <c r="CR57" s="244"/>
      <c r="CS57" s="165"/>
      <c r="CT57" s="137"/>
      <c r="CU57" s="243" t="str">
        <f>CU60</f>
        <v>Mamaid MC</v>
      </c>
      <c r="CV57" s="244"/>
      <c r="CW57" s="289" t="s">
        <v>383</v>
      </c>
      <c r="CX57" s="290"/>
      <c r="CY57" s="243" t="str">
        <f>CY64</f>
        <v>Almadin H</v>
      </c>
      <c r="CZ57" s="244"/>
      <c r="DA57" s="243" t="str">
        <f>DA62</f>
        <v>Gardoce J</v>
      </c>
      <c r="DB57" s="244"/>
      <c r="DC57" s="243" t="s">
        <v>412</v>
      </c>
      <c r="DD57" s="244"/>
      <c r="DE57" s="165"/>
      <c r="DF57" s="137"/>
      <c r="DG57" s="243" t="str">
        <f>'Gen CP'!$K61</f>
        <v>Pascua I</v>
      </c>
      <c r="DH57" s="244"/>
      <c r="DI57" s="243" t="str">
        <f>'Gen CP'!$K61</f>
        <v>Pascua I</v>
      </c>
      <c r="DJ57" s="244"/>
      <c r="DK57" s="243" t="str">
        <f>'Gen CP'!$K61</f>
        <v>Pascua I</v>
      </c>
      <c r="DL57" s="244"/>
      <c r="DM57" s="243" t="str">
        <f>'Gen CP'!$K61</f>
        <v>Pascua I</v>
      </c>
      <c r="DN57" s="244"/>
      <c r="DO57" s="243" t="str">
        <f>'Gen CP'!$K61</f>
        <v>Pascua I</v>
      </c>
      <c r="DP57" s="244"/>
      <c r="DQ57" s="165"/>
      <c r="DR57" s="137"/>
      <c r="DS57" s="243"/>
      <c r="DT57" s="244"/>
      <c r="DU57" s="243"/>
      <c r="DV57" s="244"/>
      <c r="DW57" s="243"/>
      <c r="DX57" s="244"/>
      <c r="DY57" s="243"/>
      <c r="DZ57" s="244"/>
      <c r="EA57" s="243"/>
      <c r="EB57" s="244"/>
      <c r="EC57" s="165"/>
      <c r="ED57" s="137"/>
      <c r="EE57" s="243"/>
      <c r="EF57" s="244"/>
      <c r="EG57" s="264"/>
      <c r="EH57" s="264"/>
      <c r="EI57" s="264"/>
      <c r="EJ57" s="264"/>
      <c r="EK57" s="264"/>
      <c r="EL57" s="264"/>
      <c r="EM57" s="243"/>
      <c r="EN57" s="244"/>
      <c r="EO57" s="265"/>
      <c r="EP57" s="137"/>
      <c r="EQ57" s="243"/>
      <c r="ER57" s="244"/>
      <c r="ES57" s="243"/>
      <c r="ET57" s="244"/>
      <c r="EU57" s="243"/>
      <c r="EV57" s="244"/>
      <c r="EW57" s="243"/>
      <c r="EX57" s="244"/>
      <c r="EY57" s="264"/>
      <c r="EZ57" s="264"/>
      <c r="FA57" s="265"/>
      <c r="FB57" s="137"/>
      <c r="FC57" s="243"/>
      <c r="FD57" s="244"/>
      <c r="FE57" s="243"/>
      <c r="FF57" s="244"/>
      <c r="FG57" s="243"/>
      <c r="FH57" s="244"/>
      <c r="FI57" s="243"/>
      <c r="FJ57" s="244"/>
      <c r="FK57" s="264"/>
      <c r="FL57" s="264"/>
      <c r="FM57" s="265"/>
      <c r="FN57" s="137"/>
      <c r="FO57" s="243"/>
      <c r="FP57" s="244"/>
      <c r="FQ57" s="243"/>
      <c r="FR57" s="244"/>
      <c r="FS57" s="243"/>
      <c r="FT57" s="244"/>
      <c r="FU57" s="243"/>
      <c r="FV57" s="244"/>
      <c r="FW57" s="264"/>
      <c r="FX57" s="264"/>
      <c r="FY57" s="165"/>
      <c r="FZ57" s="137"/>
      <c r="GA57" s="243"/>
      <c r="GB57" s="244"/>
      <c r="GC57" s="264"/>
      <c r="GD57" s="264"/>
      <c r="GE57" s="264"/>
      <c r="GF57" s="264"/>
      <c r="GG57" s="264"/>
      <c r="GH57" s="264"/>
      <c r="GI57" s="243"/>
      <c r="GJ57" s="244"/>
    </row>
    <row r="58" spans="1:194">
      <c r="A58" s="117" t="s">
        <v>333</v>
      </c>
      <c r="B58" s="291" t="s">
        <v>179</v>
      </c>
      <c r="C58" s="291"/>
      <c r="D58" s="291"/>
      <c r="E58" s="291"/>
      <c r="F58" s="291"/>
      <c r="G58" s="291"/>
      <c r="H58" s="291"/>
      <c r="I58" s="291"/>
      <c r="J58" s="291"/>
      <c r="K58" s="291"/>
      <c r="L58" s="292"/>
      <c r="M58" s="117" t="s">
        <v>333</v>
      </c>
      <c r="N58" s="291" t="s">
        <v>179</v>
      </c>
      <c r="O58" s="291"/>
      <c r="P58" s="291"/>
      <c r="Q58" s="291"/>
      <c r="R58" s="291"/>
      <c r="S58" s="291"/>
      <c r="T58" s="291"/>
      <c r="U58" s="291"/>
      <c r="V58" s="291"/>
      <c r="W58" s="291"/>
      <c r="X58" s="292"/>
      <c r="Y58" s="117" t="s">
        <v>333</v>
      </c>
      <c r="Z58" s="291" t="s">
        <v>179</v>
      </c>
      <c r="AA58" s="291"/>
      <c r="AB58" s="291"/>
      <c r="AC58" s="291"/>
      <c r="AD58" s="291"/>
      <c r="AE58" s="291"/>
      <c r="AF58" s="291"/>
      <c r="AG58" s="291"/>
      <c r="AH58" s="291"/>
      <c r="AI58" s="291"/>
      <c r="AJ58" s="292"/>
      <c r="AK58" s="117" t="s">
        <v>333</v>
      </c>
      <c r="AL58" s="291" t="s">
        <v>179</v>
      </c>
      <c r="AM58" s="291"/>
      <c r="AN58" s="291"/>
      <c r="AO58" s="291"/>
      <c r="AP58" s="291"/>
      <c r="AQ58" s="291"/>
      <c r="AR58" s="291"/>
      <c r="AS58" s="291"/>
      <c r="AT58" s="291"/>
      <c r="AU58" s="291"/>
      <c r="AV58" s="292"/>
      <c r="AW58" s="117" t="s">
        <v>333</v>
      </c>
      <c r="AX58" s="291" t="s">
        <v>179</v>
      </c>
      <c r="AY58" s="291"/>
      <c r="AZ58" s="291"/>
      <c r="BA58" s="291"/>
      <c r="BB58" s="291"/>
      <c r="BC58" s="291"/>
      <c r="BD58" s="291"/>
      <c r="BE58" s="291"/>
      <c r="BF58" s="291"/>
      <c r="BG58" s="291"/>
      <c r="BH58" s="292"/>
      <c r="BI58" s="117" t="s">
        <v>333</v>
      </c>
      <c r="BJ58" s="291" t="s">
        <v>179</v>
      </c>
      <c r="BK58" s="291"/>
      <c r="BL58" s="291"/>
      <c r="BM58" s="291"/>
      <c r="BN58" s="291"/>
      <c r="BO58" s="291"/>
      <c r="BP58" s="291"/>
      <c r="BQ58" s="291"/>
      <c r="BR58" s="291"/>
      <c r="BS58" s="291"/>
      <c r="BT58" s="292"/>
      <c r="BU58" s="117" t="s">
        <v>333</v>
      </c>
      <c r="BV58" s="291" t="s">
        <v>179</v>
      </c>
      <c r="BW58" s="291"/>
      <c r="BX58" s="291"/>
      <c r="BY58" s="291"/>
      <c r="BZ58" s="291"/>
      <c r="CA58" s="291"/>
      <c r="CB58" s="291"/>
      <c r="CC58" s="291"/>
      <c r="CD58" s="291"/>
      <c r="CE58" s="291"/>
      <c r="CF58" s="292"/>
      <c r="CG58" s="117" t="s">
        <v>333</v>
      </c>
      <c r="CH58" s="291" t="s">
        <v>179</v>
      </c>
      <c r="CI58" s="291"/>
      <c r="CJ58" s="291"/>
      <c r="CK58" s="291"/>
      <c r="CL58" s="291"/>
      <c r="CM58" s="291"/>
      <c r="CN58" s="291"/>
      <c r="CO58" s="291"/>
      <c r="CP58" s="291"/>
      <c r="CQ58" s="291"/>
      <c r="CR58" s="292"/>
      <c r="CS58" s="117" t="s">
        <v>333</v>
      </c>
      <c r="CT58" s="291" t="s">
        <v>179</v>
      </c>
      <c r="CU58" s="291"/>
      <c r="CV58" s="291"/>
      <c r="CW58" s="291"/>
      <c r="CX58" s="291"/>
      <c r="CY58" s="291"/>
      <c r="CZ58" s="291"/>
      <c r="DA58" s="291"/>
      <c r="DB58" s="291"/>
      <c r="DC58" s="291"/>
      <c r="DD58" s="292"/>
      <c r="DE58" s="117" t="s">
        <v>333</v>
      </c>
      <c r="DF58" s="291" t="s">
        <v>179</v>
      </c>
      <c r="DG58" s="291"/>
      <c r="DH58" s="291"/>
      <c r="DI58" s="291"/>
      <c r="DJ58" s="291"/>
      <c r="DK58" s="291"/>
      <c r="DL58" s="291"/>
      <c r="DM58" s="291"/>
      <c r="DN58" s="291"/>
      <c r="DO58" s="291"/>
      <c r="DP58" s="292"/>
      <c r="DQ58" s="117" t="s">
        <v>333</v>
      </c>
      <c r="DR58" s="291" t="s">
        <v>179</v>
      </c>
      <c r="DS58" s="291"/>
      <c r="DT58" s="291"/>
      <c r="DU58" s="291"/>
      <c r="DV58" s="291"/>
      <c r="DW58" s="291"/>
      <c r="DX58" s="291"/>
      <c r="DY58" s="291"/>
      <c r="DZ58" s="291"/>
      <c r="EA58" s="291"/>
      <c r="EB58" s="292"/>
      <c r="EC58" s="117" t="s">
        <v>333</v>
      </c>
      <c r="ED58" s="291" t="s">
        <v>179</v>
      </c>
      <c r="EE58" s="291"/>
      <c r="EF58" s="291"/>
      <c r="EG58" s="291"/>
      <c r="EH58" s="291"/>
      <c r="EI58" s="291"/>
      <c r="EJ58" s="291"/>
      <c r="EK58" s="291"/>
      <c r="EL58" s="291"/>
      <c r="EM58" s="291"/>
      <c r="EN58" s="292"/>
      <c r="EO58" s="265" t="s">
        <v>179</v>
      </c>
      <c r="EP58" s="265"/>
      <c r="EQ58" s="265"/>
      <c r="ER58" s="265"/>
      <c r="ES58" s="265"/>
      <c r="ET58" s="265"/>
      <c r="EU58" s="265"/>
      <c r="EV58" s="265"/>
      <c r="EW58" s="265"/>
      <c r="EX58" s="265"/>
      <c r="EY58" s="265"/>
      <c r="EZ58" s="265"/>
      <c r="FA58" s="265" t="s">
        <v>179</v>
      </c>
      <c r="FB58" s="265"/>
      <c r="FC58" s="265"/>
      <c r="FD58" s="265"/>
      <c r="FE58" s="265"/>
      <c r="FF58" s="265"/>
      <c r="FG58" s="265"/>
      <c r="FH58" s="265"/>
      <c r="FI58" s="265"/>
      <c r="FJ58" s="265"/>
      <c r="FK58" s="265"/>
      <c r="FL58" s="265"/>
      <c r="FM58" s="265" t="s">
        <v>179</v>
      </c>
      <c r="FN58" s="265"/>
      <c r="FO58" s="265"/>
      <c r="FP58" s="265"/>
      <c r="FQ58" s="265"/>
      <c r="FR58" s="265"/>
      <c r="FS58" s="265"/>
      <c r="FT58" s="265"/>
      <c r="FU58" s="265"/>
      <c r="FV58" s="265"/>
      <c r="FW58" s="265"/>
      <c r="FX58" s="265"/>
      <c r="FY58" s="117" t="s">
        <v>333</v>
      </c>
      <c r="FZ58" s="291" t="s">
        <v>179</v>
      </c>
      <c r="GA58" s="291"/>
      <c r="GB58" s="291"/>
      <c r="GC58" s="291"/>
      <c r="GD58" s="291"/>
      <c r="GE58" s="291"/>
      <c r="GF58" s="291"/>
      <c r="GG58" s="291"/>
      <c r="GH58" s="291"/>
      <c r="GI58" s="291"/>
      <c r="GJ58" s="292"/>
    </row>
    <row r="59" spans="1:194" ht="15" customHeight="1">
      <c r="A59" s="137" t="s">
        <v>334</v>
      </c>
      <c r="B59" s="245"/>
      <c r="C59" s="243" t="str">
        <f>'Gen CP'!$B63</f>
        <v>CPAR</v>
      </c>
      <c r="D59" s="244"/>
      <c r="E59" s="243" t="str">
        <f>'Gen CP'!$B63</f>
        <v>CPAR</v>
      </c>
      <c r="F59" s="244"/>
      <c r="G59" s="254" t="str">
        <f>'Gen CP'!$B63</f>
        <v>CPAR</v>
      </c>
      <c r="H59" s="255"/>
      <c r="I59" s="243" t="str">
        <f>'Gen CP'!$B63</f>
        <v>CPAR</v>
      </c>
      <c r="J59" s="244"/>
      <c r="K59" s="243" t="str">
        <f>'Gen CP'!$B63</f>
        <v>CPAR</v>
      </c>
      <c r="L59" s="244"/>
      <c r="M59" s="137" t="s">
        <v>334</v>
      </c>
      <c r="N59" s="245"/>
      <c r="O59" s="243" t="str">
        <f>'Gen CP'!$C63</f>
        <v>Creative Non-Fiction</v>
      </c>
      <c r="P59" s="244"/>
      <c r="Q59" s="243" t="str">
        <f>'Gen CP'!$C63</f>
        <v>Creative Non-Fiction</v>
      </c>
      <c r="R59" s="244"/>
      <c r="S59" s="246" t="s">
        <v>392</v>
      </c>
      <c r="T59" s="247"/>
      <c r="U59" s="243" t="str">
        <f>'Gen CP'!$C63</f>
        <v>Creative Non-Fiction</v>
      </c>
      <c r="V59" s="244"/>
      <c r="W59" s="243" t="str">
        <f>'Gen CP'!$C63</f>
        <v>Creative Non-Fiction</v>
      </c>
      <c r="X59" s="244"/>
      <c r="Y59" s="137" t="s">
        <v>334</v>
      </c>
      <c r="Z59" s="245"/>
      <c r="AA59" s="243" t="str">
        <f>'Gen CP'!$D63</f>
        <v>Piling Larang</v>
      </c>
      <c r="AB59" s="244"/>
      <c r="AC59" s="243" t="str">
        <f>'Gen CP'!$D63</f>
        <v>Piling Larang</v>
      </c>
      <c r="AD59" s="244"/>
      <c r="AE59" s="243" t="str">
        <f>'Gen CP'!$D63</f>
        <v>Piling Larang</v>
      </c>
      <c r="AF59" s="244"/>
      <c r="AG59" s="243" t="str">
        <f>'Gen CP'!$D63</f>
        <v>Piling Larang</v>
      </c>
      <c r="AH59" s="244"/>
      <c r="AI59" s="243" t="str">
        <f>'Gen CP'!$D63</f>
        <v>Piling Larang</v>
      </c>
      <c r="AJ59" s="244"/>
      <c r="AK59" s="137" t="s">
        <v>334</v>
      </c>
      <c r="AL59" s="245"/>
      <c r="AM59" s="243" t="str">
        <f>'Gen CP'!$E63</f>
        <v>CPAR</v>
      </c>
      <c r="AN59" s="244"/>
      <c r="AO59" s="243" t="str">
        <f>'Gen CP'!$E63</f>
        <v>CPAR</v>
      </c>
      <c r="AP59" s="244"/>
      <c r="AQ59" s="243" t="str">
        <f>'Gen CP'!$E63</f>
        <v>CPAR</v>
      </c>
      <c r="AR59" s="244"/>
      <c r="AS59" s="243" t="str">
        <f>'Gen CP'!$E63</f>
        <v>CPAR</v>
      </c>
      <c r="AT59" s="244"/>
      <c r="AU59" s="243" t="str">
        <f>'Gen CP'!$E63</f>
        <v>CPAR</v>
      </c>
      <c r="AV59" s="244"/>
      <c r="AW59" s="137" t="s">
        <v>334</v>
      </c>
      <c r="AX59" s="245"/>
      <c r="AY59" s="243" t="str">
        <f>'Gen CP'!$F63</f>
        <v>DIASS</v>
      </c>
      <c r="AZ59" s="244"/>
      <c r="BA59" s="243" t="str">
        <f>'Gen CP'!$F63</f>
        <v>DIASS</v>
      </c>
      <c r="BB59" s="244"/>
      <c r="BC59" s="243" t="str">
        <f>'Gen CP'!$F63</f>
        <v>DIASS</v>
      </c>
      <c r="BD59" s="244"/>
      <c r="BE59" s="243" t="str">
        <f>'Gen CP'!$F63</f>
        <v>DIASS</v>
      </c>
      <c r="BF59" s="244"/>
      <c r="BG59" s="243" t="str">
        <f>'Gen CP'!$F63</f>
        <v>DIASS</v>
      </c>
      <c r="BH59" s="244"/>
      <c r="BI59" s="137" t="s">
        <v>334</v>
      </c>
      <c r="BJ59" s="245"/>
      <c r="BK59" s="243" t="str">
        <f>'Gen CP'!$G63</f>
        <v>Agri-Crops NC II</v>
      </c>
      <c r="BL59" s="244"/>
      <c r="BM59" s="243" t="s">
        <v>382</v>
      </c>
      <c r="BN59" s="244"/>
      <c r="BO59" s="243" t="str">
        <f>'Gen CP'!$G63</f>
        <v>Agri-Crops NC II</v>
      </c>
      <c r="BP59" s="244"/>
      <c r="BQ59" s="243" t="str">
        <f>'Gen CP'!$G63</f>
        <v>Agri-Crops NC II</v>
      </c>
      <c r="BR59" s="244"/>
      <c r="BS59" s="243" t="str">
        <f>'Gen CP'!$G63</f>
        <v>Agri-Crops NC II</v>
      </c>
      <c r="BT59" s="244"/>
      <c r="BU59" s="137" t="s">
        <v>334</v>
      </c>
      <c r="BV59" s="245"/>
      <c r="BW59" s="243" t="str">
        <f>'Gen CP'!$H63</f>
        <v>Piling Larang</v>
      </c>
      <c r="BX59" s="244"/>
      <c r="BY59" s="243" t="str">
        <f>'Gen CP'!$H63</f>
        <v>Piling Larang</v>
      </c>
      <c r="BZ59" s="244"/>
      <c r="CA59" s="254" t="str">
        <f>'Gen CP'!$H63</f>
        <v>Piling Larang</v>
      </c>
      <c r="CB59" s="255"/>
      <c r="CC59" s="243" t="str">
        <f>'Gen CP'!$H63</f>
        <v>Piling Larang</v>
      </c>
      <c r="CD59" s="244"/>
      <c r="CE59" s="243" t="str">
        <f>'Gen CP'!$H63</f>
        <v>Piling Larang</v>
      </c>
      <c r="CF59" s="244"/>
      <c r="CG59" s="137" t="s">
        <v>334</v>
      </c>
      <c r="CH59" s="245"/>
      <c r="CI59" s="243" t="str">
        <f>'Gen CP'!$I63</f>
        <v>Research 2</v>
      </c>
      <c r="CJ59" s="244"/>
      <c r="CK59" s="243" t="s">
        <v>375</v>
      </c>
      <c r="CL59" s="244"/>
      <c r="CM59" s="243" t="str">
        <f>'Gen CP'!$I63</f>
        <v>Research 2</v>
      </c>
      <c r="CN59" s="244"/>
      <c r="CO59" s="243" t="str">
        <f>'Gen CP'!$I63</f>
        <v>Research 2</v>
      </c>
      <c r="CP59" s="244"/>
      <c r="CQ59" s="243" t="str">
        <f>'Gen CP'!$I63</f>
        <v>Research 2</v>
      </c>
      <c r="CR59" s="244"/>
      <c r="CS59" s="137" t="s">
        <v>334</v>
      </c>
      <c r="CT59" s="245"/>
      <c r="CU59" s="243" t="str">
        <f t="shared" ref="CU59:CU64" si="0">CY59</f>
        <v>MIL</v>
      </c>
      <c r="CV59" s="244"/>
      <c r="CW59" s="289" t="s">
        <v>102</v>
      </c>
      <c r="CX59" s="290"/>
      <c r="CY59" s="243" t="str">
        <f>'Gen CP'!$J63</f>
        <v>MIL</v>
      </c>
      <c r="CZ59" s="244"/>
      <c r="DA59" s="243" t="str">
        <f>'Gen CP'!$J63</f>
        <v>MIL</v>
      </c>
      <c r="DB59" s="244"/>
      <c r="DC59" s="243" t="str">
        <f>'Gen CP'!$J63</f>
        <v>MIL</v>
      </c>
      <c r="DD59" s="244"/>
      <c r="DE59" s="137" t="s">
        <v>334</v>
      </c>
      <c r="DF59" s="245"/>
      <c r="DG59" s="243" t="str">
        <f>'Gen CP'!$K63</f>
        <v>21st Cen Lit</v>
      </c>
      <c r="DH59" s="244"/>
      <c r="DI59" s="243" t="str">
        <f>'Gen CP'!$K63</f>
        <v>21st Cen Lit</v>
      </c>
      <c r="DJ59" s="244"/>
      <c r="DK59" s="243" t="str">
        <f>'Gen CP'!$K63</f>
        <v>21st Cen Lit</v>
      </c>
      <c r="DL59" s="244"/>
      <c r="DM59" s="254" t="str">
        <f>'Gen CP'!$K63</f>
        <v>21st Cen Lit</v>
      </c>
      <c r="DN59" s="255"/>
      <c r="DO59" s="254" t="str">
        <f>'Gen CP'!$K63</f>
        <v>21st Cen Lit</v>
      </c>
      <c r="DP59" s="255"/>
      <c r="DQ59" s="137" t="s">
        <v>334</v>
      </c>
      <c r="DR59" s="245"/>
      <c r="DS59" s="243"/>
      <c r="DT59" s="244"/>
      <c r="DU59" s="243"/>
      <c r="DV59" s="244"/>
      <c r="DW59" s="243"/>
      <c r="DX59" s="244"/>
      <c r="DY59" s="243"/>
      <c r="DZ59" s="244"/>
      <c r="EA59" s="243"/>
      <c r="EB59" s="244"/>
      <c r="EC59" s="137" t="s">
        <v>334</v>
      </c>
      <c r="ED59" s="245"/>
      <c r="EE59" s="243"/>
      <c r="EF59" s="244"/>
      <c r="EG59" s="243"/>
      <c r="EH59" s="244"/>
      <c r="EI59" s="264"/>
      <c r="EJ59" s="264"/>
      <c r="EK59" s="243"/>
      <c r="EL59" s="244"/>
      <c r="EM59" s="243"/>
      <c r="EN59" s="244"/>
      <c r="EO59" s="265" t="s">
        <v>24</v>
      </c>
      <c r="EP59" s="245">
        <v>60</v>
      </c>
      <c r="EQ59" s="264"/>
      <c r="ER59" s="264"/>
      <c r="ES59" s="264"/>
      <c r="ET59" s="264"/>
      <c r="EU59" s="264"/>
      <c r="EV59" s="264"/>
      <c r="EW59" s="264"/>
      <c r="EX59" s="264"/>
      <c r="EY59" s="243"/>
      <c r="EZ59" s="244"/>
      <c r="FA59" s="265" t="s">
        <v>24</v>
      </c>
      <c r="FB59" s="245">
        <v>60</v>
      </c>
      <c r="FC59" s="264"/>
      <c r="FD59" s="264"/>
      <c r="FE59" s="264"/>
      <c r="FF59" s="264"/>
      <c r="FG59" s="264"/>
      <c r="FH59" s="264"/>
      <c r="FI59" s="264"/>
      <c r="FJ59" s="264"/>
      <c r="FK59" s="243"/>
      <c r="FL59" s="244"/>
      <c r="FM59" s="265" t="s">
        <v>24</v>
      </c>
      <c r="FN59" s="245">
        <v>60</v>
      </c>
      <c r="FO59" s="264"/>
      <c r="FP59" s="264"/>
      <c r="FQ59" s="264"/>
      <c r="FR59" s="264"/>
      <c r="FS59" s="264"/>
      <c r="FT59" s="264"/>
      <c r="FU59" s="264"/>
      <c r="FV59" s="264"/>
      <c r="FW59" s="243"/>
      <c r="FX59" s="244"/>
      <c r="FY59" s="137" t="s">
        <v>334</v>
      </c>
      <c r="FZ59" s="245"/>
      <c r="GA59" s="243"/>
      <c r="GB59" s="244"/>
      <c r="GC59" s="243"/>
      <c r="GD59" s="244"/>
      <c r="GE59" s="264"/>
      <c r="GF59" s="264"/>
      <c r="GG59" s="243"/>
      <c r="GH59" s="244"/>
      <c r="GI59" s="243"/>
      <c r="GJ59" s="244"/>
    </row>
    <row r="60" spans="1:194">
      <c r="A60" s="137"/>
      <c r="B60" s="245"/>
      <c r="C60" s="243" t="str">
        <f>'Gen CP'!$B64</f>
        <v>De Leon I</v>
      </c>
      <c r="D60" s="244"/>
      <c r="E60" s="243" t="str">
        <f>'Gen CP'!$B64</f>
        <v>De Leon I</v>
      </c>
      <c r="F60" s="244"/>
      <c r="G60" s="243" t="str">
        <f>'Gen CP'!$B64</f>
        <v>De Leon I</v>
      </c>
      <c r="H60" s="244"/>
      <c r="I60" s="243" t="str">
        <f>'Gen CP'!$B64</f>
        <v>De Leon I</v>
      </c>
      <c r="J60" s="244"/>
      <c r="K60" s="243" t="str">
        <f>'Gen CP'!$B64</f>
        <v>De Leon I</v>
      </c>
      <c r="L60" s="244"/>
      <c r="M60" s="137"/>
      <c r="N60" s="245"/>
      <c r="O60" s="243" t="str">
        <f>'Gen CP'!$C64</f>
        <v>Tamondong A</v>
      </c>
      <c r="P60" s="244"/>
      <c r="Q60" s="243" t="str">
        <f>'Gen CP'!$C64</f>
        <v>Tamondong A</v>
      </c>
      <c r="R60" s="244"/>
      <c r="S60" s="248"/>
      <c r="T60" s="249"/>
      <c r="U60" s="243" t="str">
        <f>'Gen CP'!$C64</f>
        <v>Tamondong A</v>
      </c>
      <c r="V60" s="244"/>
      <c r="W60" s="243" t="str">
        <f>'Gen CP'!$C64</f>
        <v>Tamondong A</v>
      </c>
      <c r="X60" s="244"/>
      <c r="Y60" s="137"/>
      <c r="Z60" s="245"/>
      <c r="AA60" s="243" t="str">
        <f>'Gen CP'!$D64</f>
        <v>Lorenzo C</v>
      </c>
      <c r="AB60" s="244"/>
      <c r="AC60" s="243" t="str">
        <f>'Gen CP'!$D64</f>
        <v>Lorenzo C</v>
      </c>
      <c r="AD60" s="244"/>
      <c r="AE60" s="243" t="str">
        <f>'Gen CP'!$D64</f>
        <v>Lorenzo C</v>
      </c>
      <c r="AF60" s="244"/>
      <c r="AG60" s="243" t="str">
        <f>'Gen CP'!$D64</f>
        <v>Lorenzo C</v>
      </c>
      <c r="AH60" s="244"/>
      <c r="AI60" s="243" t="str">
        <f>'Gen CP'!$D64</f>
        <v>Lorenzo C</v>
      </c>
      <c r="AJ60" s="244"/>
      <c r="AK60" s="137"/>
      <c r="AL60" s="245"/>
      <c r="AM60" s="243" t="str">
        <f>'Gen CP'!$E64</f>
        <v>Hierco M</v>
      </c>
      <c r="AN60" s="244"/>
      <c r="AO60" s="243" t="str">
        <f>'Gen CP'!$E64</f>
        <v>Hierco M</v>
      </c>
      <c r="AP60" s="244"/>
      <c r="AQ60" s="243" t="str">
        <f>'Gen CP'!$E64</f>
        <v>Hierco M</v>
      </c>
      <c r="AR60" s="244"/>
      <c r="AS60" s="243" t="str">
        <f>'Gen CP'!$E64</f>
        <v>Hierco M</v>
      </c>
      <c r="AT60" s="244"/>
      <c r="AU60" s="243" t="str">
        <f>'Gen CP'!$E64</f>
        <v>Hierco M</v>
      </c>
      <c r="AV60" s="244"/>
      <c r="AW60" s="137"/>
      <c r="AX60" s="245"/>
      <c r="AY60" s="243" t="str">
        <f>'Gen CP'!$F64</f>
        <v>Gardoce J</v>
      </c>
      <c r="AZ60" s="244"/>
      <c r="BA60" s="243" t="str">
        <f>'Gen CP'!$F64</f>
        <v>Gardoce J</v>
      </c>
      <c r="BB60" s="244"/>
      <c r="BC60" s="243" t="str">
        <f>'Gen CP'!$F64</f>
        <v>Gardoce J</v>
      </c>
      <c r="BD60" s="244"/>
      <c r="BE60" s="243" t="str">
        <f>'Gen CP'!$F64</f>
        <v>Gardoce J</v>
      </c>
      <c r="BF60" s="244"/>
      <c r="BG60" s="243" t="str">
        <f>'Gen CP'!$F64</f>
        <v>Gardoce J</v>
      </c>
      <c r="BH60" s="244"/>
      <c r="BI60" s="137"/>
      <c r="BJ60" s="245"/>
      <c r="BK60" s="243" t="str">
        <f>'Gen CP'!$G64</f>
        <v>Carillo R</v>
      </c>
      <c r="BL60" s="244"/>
      <c r="BM60" s="243" t="s">
        <v>281</v>
      </c>
      <c r="BN60" s="244"/>
      <c r="BO60" s="243" t="str">
        <f>'Gen CP'!$G64</f>
        <v>Carillo R</v>
      </c>
      <c r="BP60" s="244"/>
      <c r="BQ60" s="243" t="str">
        <f>'Gen CP'!$G64</f>
        <v>Carillo R</v>
      </c>
      <c r="BR60" s="244"/>
      <c r="BS60" s="243" t="str">
        <f>'Gen CP'!$G64</f>
        <v>Carillo R</v>
      </c>
      <c r="BT60" s="244"/>
      <c r="BU60" s="137"/>
      <c r="BV60" s="245"/>
      <c r="BW60" s="243" t="str">
        <f>'Gen CP'!$H64</f>
        <v>Pascua I</v>
      </c>
      <c r="BX60" s="244"/>
      <c r="BY60" s="243" t="str">
        <f>'Gen CP'!$H64</f>
        <v>Pascua I</v>
      </c>
      <c r="BZ60" s="244"/>
      <c r="CA60" s="254" t="str">
        <f>'Gen CP'!$H64</f>
        <v>Pascua I</v>
      </c>
      <c r="CB60" s="255"/>
      <c r="CC60" s="243" t="str">
        <f>'Gen CP'!$H64</f>
        <v>Pascua I</v>
      </c>
      <c r="CD60" s="244"/>
      <c r="CE60" s="243" t="str">
        <f>'Gen CP'!$H64</f>
        <v>Pascua I</v>
      </c>
      <c r="CF60" s="244"/>
      <c r="CG60" s="137"/>
      <c r="CH60" s="245"/>
      <c r="CI60" s="243" t="str">
        <f>'Gen CP'!$I64</f>
        <v>Bartolome H</v>
      </c>
      <c r="CJ60" s="244"/>
      <c r="CK60" s="243" t="s">
        <v>412</v>
      </c>
      <c r="CL60" s="244"/>
      <c r="CM60" s="243" t="str">
        <f>'Gen CP'!$I64</f>
        <v>Bartolome H</v>
      </c>
      <c r="CN60" s="244"/>
      <c r="CO60" s="243" t="str">
        <f>'Gen CP'!$I64</f>
        <v>Bartolome H</v>
      </c>
      <c r="CP60" s="244"/>
      <c r="CQ60" s="243" t="str">
        <f>'Gen CP'!$I64</f>
        <v>Bartolome H</v>
      </c>
      <c r="CR60" s="244"/>
      <c r="CS60" s="137"/>
      <c r="CT60" s="245"/>
      <c r="CU60" s="243" t="str">
        <f t="shared" si="0"/>
        <v>Mamaid MC</v>
      </c>
      <c r="CV60" s="244"/>
      <c r="CW60" s="289" t="s">
        <v>383</v>
      </c>
      <c r="CX60" s="290"/>
      <c r="CY60" s="243" t="str">
        <f>'Gen CP'!$J64</f>
        <v>Mamaid MC</v>
      </c>
      <c r="CZ60" s="244"/>
      <c r="DA60" s="243" t="str">
        <f>'Gen CP'!$J64</f>
        <v>Mamaid MC</v>
      </c>
      <c r="DB60" s="244"/>
      <c r="DC60" s="243" t="str">
        <f>'Gen CP'!$J64</f>
        <v>Mamaid MC</v>
      </c>
      <c r="DD60" s="244"/>
      <c r="DE60" s="137"/>
      <c r="DF60" s="245"/>
      <c r="DG60" s="243" t="str">
        <f>'Gen CP'!$K64</f>
        <v>Valdez R</v>
      </c>
      <c r="DH60" s="244"/>
      <c r="DI60" s="243" t="str">
        <f>'Gen CP'!$K64</f>
        <v>Valdez R</v>
      </c>
      <c r="DJ60" s="244"/>
      <c r="DK60" s="243" t="str">
        <f>'Gen CP'!$K64</f>
        <v>Valdez R</v>
      </c>
      <c r="DL60" s="244"/>
      <c r="DM60" s="254" t="str">
        <f>'Gen CP'!$K64</f>
        <v>Valdez R</v>
      </c>
      <c r="DN60" s="255"/>
      <c r="DO60" s="254" t="str">
        <f>'Gen CP'!$K64</f>
        <v>Valdez R</v>
      </c>
      <c r="DP60" s="255"/>
      <c r="DQ60" s="137"/>
      <c r="DR60" s="245"/>
      <c r="DS60" s="243"/>
      <c r="DT60" s="244"/>
      <c r="DU60" s="243"/>
      <c r="DV60" s="244"/>
      <c r="DW60" s="243"/>
      <c r="DX60" s="244"/>
      <c r="DY60" s="243"/>
      <c r="DZ60" s="244"/>
      <c r="EA60" s="243"/>
      <c r="EB60" s="244"/>
      <c r="EC60" s="137"/>
      <c r="ED60" s="245"/>
      <c r="EE60" s="264"/>
      <c r="EF60" s="264"/>
      <c r="EG60" s="264"/>
      <c r="EH60" s="264"/>
      <c r="EI60" s="264"/>
      <c r="EJ60" s="264"/>
      <c r="EK60" s="264"/>
      <c r="EL60" s="264"/>
      <c r="EM60" s="264"/>
      <c r="EN60" s="264"/>
      <c r="EO60" s="265"/>
      <c r="EP60" s="245"/>
      <c r="EQ60" s="264"/>
      <c r="ER60" s="264"/>
      <c r="ES60" s="264"/>
      <c r="ET60" s="264"/>
      <c r="EU60" s="264"/>
      <c r="EV60" s="264"/>
      <c r="EW60" s="264"/>
      <c r="EX60" s="264"/>
      <c r="EY60" s="264"/>
      <c r="EZ60" s="264"/>
      <c r="FA60" s="265"/>
      <c r="FB60" s="245"/>
      <c r="FC60" s="264"/>
      <c r="FD60" s="264"/>
      <c r="FE60" s="264"/>
      <c r="FF60" s="264"/>
      <c r="FG60" s="264"/>
      <c r="FH60" s="264"/>
      <c r="FI60" s="264"/>
      <c r="FJ60" s="264"/>
      <c r="FK60" s="264"/>
      <c r="FL60" s="264"/>
      <c r="FM60" s="265"/>
      <c r="FN60" s="245"/>
      <c r="FO60" s="264"/>
      <c r="FP60" s="264"/>
      <c r="FQ60" s="264"/>
      <c r="FR60" s="264"/>
      <c r="FS60" s="264"/>
      <c r="FT60" s="264"/>
      <c r="FU60" s="264"/>
      <c r="FV60" s="264"/>
      <c r="FW60" s="264"/>
      <c r="FX60" s="264"/>
      <c r="FY60" s="137"/>
      <c r="FZ60" s="245"/>
      <c r="GA60" s="264"/>
      <c r="GB60" s="264"/>
      <c r="GC60" s="264"/>
      <c r="GD60" s="264"/>
      <c r="GE60" s="264"/>
      <c r="GF60" s="264"/>
      <c r="GG60" s="264"/>
      <c r="GH60" s="264"/>
      <c r="GI60" s="264"/>
      <c r="GJ60" s="264"/>
      <c r="GL60" s="1" t="s">
        <v>51</v>
      </c>
    </row>
    <row r="61" spans="1:194">
      <c r="A61" s="164" t="s">
        <v>380</v>
      </c>
      <c r="B61" s="245"/>
      <c r="C61" s="243" t="str">
        <f>'Gen CP'!$B65</f>
        <v>Biology 1</v>
      </c>
      <c r="D61" s="244"/>
      <c r="E61" s="243" t="str">
        <f>'Gen CP'!$B65</f>
        <v>Biology 1</v>
      </c>
      <c r="F61" s="244"/>
      <c r="G61" s="243" t="str">
        <f>'Gen CP'!$B65</f>
        <v>Biology 1</v>
      </c>
      <c r="H61" s="244"/>
      <c r="I61" s="243" t="str">
        <f>'Gen CP'!$B65</f>
        <v>Biology 1</v>
      </c>
      <c r="J61" s="244"/>
      <c r="K61" s="243" t="str">
        <f>'Gen CP'!$B65</f>
        <v>Biology 1</v>
      </c>
      <c r="L61" s="244"/>
      <c r="M61" s="164" t="s">
        <v>380</v>
      </c>
      <c r="N61" s="245"/>
      <c r="O61" s="243" t="str">
        <f>'Gen CP'!$C65</f>
        <v>Research 2</v>
      </c>
      <c r="P61" s="244"/>
      <c r="Q61" s="243" t="str">
        <f>'Gen CP'!$C65</f>
        <v>Research 2</v>
      </c>
      <c r="R61" s="244"/>
      <c r="S61" s="243" t="str">
        <f>'Gen CP'!$C65</f>
        <v>Research 2</v>
      </c>
      <c r="T61" s="244"/>
      <c r="U61" s="254" t="str">
        <f>'Gen CP'!$C65</f>
        <v>Research 2</v>
      </c>
      <c r="V61" s="255"/>
      <c r="W61" s="243" t="str">
        <f>'Gen CP'!$C65</f>
        <v>Research 2</v>
      </c>
      <c r="X61" s="244"/>
      <c r="Y61" s="164" t="s">
        <v>380</v>
      </c>
      <c r="Z61" s="245"/>
      <c r="AA61" s="243" t="str">
        <f>'Gen CP'!$D65</f>
        <v>Research 2</v>
      </c>
      <c r="AB61" s="244"/>
      <c r="AC61" s="243" t="str">
        <f>'Gen CP'!$D65</f>
        <v>Research 2</v>
      </c>
      <c r="AD61" s="244"/>
      <c r="AE61" s="243" t="str">
        <f>'Gen CP'!$D65</f>
        <v>Research 2</v>
      </c>
      <c r="AF61" s="244"/>
      <c r="AG61" s="254" t="str">
        <f>'Gen CP'!$D65</f>
        <v>Research 2</v>
      </c>
      <c r="AH61" s="255"/>
      <c r="AI61" s="243" t="str">
        <f>'Gen CP'!$D65</f>
        <v>Research 2</v>
      </c>
      <c r="AJ61" s="244"/>
      <c r="AK61" s="164" t="s">
        <v>380</v>
      </c>
      <c r="AL61" s="245"/>
      <c r="AM61" s="243" t="str">
        <f>'Gen CP'!$E65</f>
        <v>Piling Larang</v>
      </c>
      <c r="AN61" s="244"/>
      <c r="AO61" s="243" t="str">
        <f>'Gen CP'!$E65</f>
        <v>Piling Larang</v>
      </c>
      <c r="AP61" s="244"/>
      <c r="AQ61" s="243" t="str">
        <f>'Gen CP'!$E65</f>
        <v>Piling Larang</v>
      </c>
      <c r="AR61" s="244"/>
      <c r="AS61" s="243" t="str">
        <f>'Gen CP'!$E65</f>
        <v>Piling Larang</v>
      </c>
      <c r="AT61" s="244"/>
      <c r="AU61" s="243" t="str">
        <f>'Gen CP'!$E65</f>
        <v>Piling Larang</v>
      </c>
      <c r="AV61" s="244"/>
      <c r="AW61" s="164" t="s">
        <v>380</v>
      </c>
      <c r="AX61" s="245"/>
      <c r="AY61" s="243" t="str">
        <f>'Gen CP'!$F65</f>
        <v>PPG</v>
      </c>
      <c r="AZ61" s="244"/>
      <c r="BA61" s="243" t="str">
        <f>'Gen CP'!$F65</f>
        <v>PPG</v>
      </c>
      <c r="BB61" s="244"/>
      <c r="BC61" s="243" t="str">
        <f>'Gen CP'!$F65</f>
        <v>PPG</v>
      </c>
      <c r="BD61" s="244"/>
      <c r="BE61" s="243" t="str">
        <f>'Gen CP'!$F65</f>
        <v>PPG</v>
      </c>
      <c r="BF61" s="244"/>
      <c r="BG61" s="243" t="str">
        <f>'Gen CP'!$F65</f>
        <v>PPG</v>
      </c>
      <c r="BH61" s="244"/>
      <c r="BI61" s="164" t="s">
        <v>380</v>
      </c>
      <c r="BJ61" s="245"/>
      <c r="BK61" s="243" t="str">
        <f>'Gen CP'!$G65</f>
        <v>Research 2</v>
      </c>
      <c r="BL61" s="244"/>
      <c r="BM61" s="243" t="str">
        <f>'Gen CP'!$G65</f>
        <v>Research 2</v>
      </c>
      <c r="BN61" s="244"/>
      <c r="BO61" s="243" t="str">
        <f>'Gen CP'!$G65</f>
        <v>Research 2</v>
      </c>
      <c r="BP61" s="244"/>
      <c r="BQ61" s="243" t="str">
        <f>'Gen CP'!$G65</f>
        <v>Research 2</v>
      </c>
      <c r="BR61" s="244"/>
      <c r="BS61" s="243" t="str">
        <f>'Gen CP'!$G65</f>
        <v>Research 2</v>
      </c>
      <c r="BT61" s="244"/>
      <c r="BU61" s="164" t="s">
        <v>380</v>
      </c>
      <c r="BV61" s="245"/>
      <c r="BW61" s="243" t="str">
        <f>'Gen CP'!$H65</f>
        <v>Philo</v>
      </c>
      <c r="BX61" s="244"/>
      <c r="BY61" s="243" t="str">
        <f>'Gen CP'!$H65</f>
        <v>Philo</v>
      </c>
      <c r="BZ61" s="244"/>
      <c r="CA61" s="243" t="str">
        <f>'Gen CP'!$H65</f>
        <v>Philo</v>
      </c>
      <c r="CB61" s="244"/>
      <c r="CC61" s="243" t="str">
        <f>'Gen CP'!$H65</f>
        <v>Philo</v>
      </c>
      <c r="CD61" s="244"/>
      <c r="CE61" s="243" t="str">
        <f>'Gen CP'!$H65</f>
        <v>Philo</v>
      </c>
      <c r="CF61" s="244"/>
      <c r="CG61" s="164" t="s">
        <v>380</v>
      </c>
      <c r="CH61" s="245"/>
      <c r="CI61" s="243" t="str">
        <f>'Gen CP'!$I65</f>
        <v>21st Cen Lit</v>
      </c>
      <c r="CJ61" s="244"/>
      <c r="CK61" s="243" t="str">
        <f>'Gen CP'!$I65</f>
        <v>21st Cen Lit</v>
      </c>
      <c r="CL61" s="244"/>
      <c r="CM61" s="243" t="str">
        <f>'Gen CP'!$I65</f>
        <v>21st Cen Lit</v>
      </c>
      <c r="CN61" s="244"/>
      <c r="CO61" s="243" t="str">
        <f>'Gen CP'!$I65</f>
        <v>21st Cen Lit</v>
      </c>
      <c r="CP61" s="244"/>
      <c r="CQ61" s="243" t="str">
        <f>'Gen CP'!$I65</f>
        <v>21st Cen Lit</v>
      </c>
      <c r="CR61" s="244"/>
      <c r="CS61" s="164" t="s">
        <v>380</v>
      </c>
      <c r="CT61" s="245"/>
      <c r="CU61" s="243" t="str">
        <f t="shared" si="0"/>
        <v>CPAR</v>
      </c>
      <c r="CV61" s="244"/>
      <c r="CW61" s="289" t="s">
        <v>102</v>
      </c>
      <c r="CX61" s="290"/>
      <c r="CY61" s="243" t="str">
        <f>'Gen CP'!$J65</f>
        <v>CPAR</v>
      </c>
      <c r="CZ61" s="244"/>
      <c r="DA61" s="243" t="str">
        <f>'Gen CP'!$J65</f>
        <v>CPAR</v>
      </c>
      <c r="DB61" s="244"/>
      <c r="DC61" s="243" t="str">
        <f>'Gen CP'!$J65</f>
        <v>CPAR</v>
      </c>
      <c r="DD61" s="244"/>
      <c r="DE61" s="164" t="s">
        <v>380</v>
      </c>
      <c r="DF61" s="245"/>
      <c r="DG61" s="243" t="str">
        <f>'Gen CP'!$K65</f>
        <v>MIL</v>
      </c>
      <c r="DH61" s="244"/>
      <c r="DI61" s="243" t="s">
        <v>375</v>
      </c>
      <c r="DJ61" s="244"/>
      <c r="DK61" s="243" t="str">
        <f>'Gen CP'!$K65</f>
        <v>MIL</v>
      </c>
      <c r="DL61" s="244"/>
      <c r="DM61" s="243" t="str">
        <f>'Gen CP'!$K65</f>
        <v>MIL</v>
      </c>
      <c r="DN61" s="244"/>
      <c r="DO61" s="243" t="str">
        <f>'Gen CP'!$K65</f>
        <v>MIL</v>
      </c>
      <c r="DP61" s="244"/>
      <c r="DQ61" s="137" t="s">
        <v>335</v>
      </c>
      <c r="DR61" s="245"/>
      <c r="DS61" s="243"/>
      <c r="DT61" s="244"/>
      <c r="DU61" s="243"/>
      <c r="DV61" s="244"/>
      <c r="DW61" s="243"/>
      <c r="DX61" s="244"/>
      <c r="DY61" s="243"/>
      <c r="DZ61" s="244"/>
      <c r="EA61" s="243"/>
      <c r="EB61" s="244"/>
      <c r="EC61" s="137" t="s">
        <v>335</v>
      </c>
      <c r="ED61" s="245"/>
      <c r="EE61" s="243"/>
      <c r="EF61" s="244"/>
      <c r="EG61" s="243"/>
      <c r="EH61" s="244"/>
      <c r="EI61" s="243"/>
      <c r="EJ61" s="244"/>
      <c r="EK61" s="243"/>
      <c r="EL61" s="244"/>
      <c r="EM61" s="264"/>
      <c r="EN61" s="264"/>
      <c r="EO61" s="265" t="s">
        <v>25</v>
      </c>
      <c r="EP61" s="245">
        <v>60</v>
      </c>
      <c r="EQ61" s="243"/>
      <c r="ER61" s="244"/>
      <c r="ES61" s="243"/>
      <c r="ET61" s="244"/>
      <c r="EU61" s="264"/>
      <c r="EV61" s="264"/>
      <c r="EW61" s="264"/>
      <c r="EX61" s="264"/>
      <c r="EY61" s="243"/>
      <c r="EZ61" s="244"/>
      <c r="FA61" s="265" t="s">
        <v>25</v>
      </c>
      <c r="FB61" s="245">
        <v>60</v>
      </c>
      <c r="FC61" s="243"/>
      <c r="FD61" s="244"/>
      <c r="FE61" s="243"/>
      <c r="FF61" s="244"/>
      <c r="FG61" s="264"/>
      <c r="FH61" s="264"/>
      <c r="FI61" s="264"/>
      <c r="FJ61" s="264"/>
      <c r="FK61" s="243"/>
      <c r="FL61" s="244"/>
      <c r="FM61" s="265" t="s">
        <v>25</v>
      </c>
      <c r="FN61" s="245">
        <v>60</v>
      </c>
      <c r="FO61" s="243"/>
      <c r="FP61" s="244"/>
      <c r="FQ61" s="243"/>
      <c r="FR61" s="244"/>
      <c r="FS61" s="264"/>
      <c r="FT61" s="264"/>
      <c r="FU61" s="264"/>
      <c r="FV61" s="264"/>
      <c r="FW61" s="243"/>
      <c r="FX61" s="244"/>
      <c r="FY61" s="137" t="s">
        <v>335</v>
      </c>
      <c r="FZ61" s="245"/>
      <c r="GA61" s="243"/>
      <c r="GB61" s="244"/>
      <c r="GC61" s="243"/>
      <c r="GD61" s="244"/>
      <c r="GE61" s="243"/>
      <c r="GF61" s="244"/>
      <c r="GG61" s="243"/>
      <c r="GH61" s="244"/>
      <c r="GI61" s="264"/>
      <c r="GJ61" s="264"/>
      <c r="GL61" s="1" t="s">
        <v>51</v>
      </c>
    </row>
    <row r="62" spans="1:194">
      <c r="A62" s="165"/>
      <c r="B62" s="245"/>
      <c r="C62" s="243" t="str">
        <f>'Gen CP'!$B66</f>
        <v>Hierco M</v>
      </c>
      <c r="D62" s="244"/>
      <c r="E62" s="243" t="str">
        <f>'Gen CP'!$B66</f>
        <v>Hierco M</v>
      </c>
      <c r="F62" s="244"/>
      <c r="G62" s="243" t="str">
        <f>'Gen CP'!$B66</f>
        <v>Hierco M</v>
      </c>
      <c r="H62" s="244"/>
      <c r="I62" s="243" t="str">
        <f>'Gen CP'!$B66</f>
        <v>Hierco M</v>
      </c>
      <c r="J62" s="244"/>
      <c r="K62" s="243" t="str">
        <f>'Gen CP'!$B66</f>
        <v>Hierco M</v>
      </c>
      <c r="L62" s="244"/>
      <c r="M62" s="165"/>
      <c r="N62" s="245"/>
      <c r="O62" s="243" t="str">
        <f>'Gen CP'!$C66</f>
        <v>Marcelo OJ</v>
      </c>
      <c r="P62" s="244"/>
      <c r="Q62" s="243" t="str">
        <f>'Gen CP'!$C66</f>
        <v>Marcelo OJ</v>
      </c>
      <c r="R62" s="244"/>
      <c r="S62" s="243" t="str">
        <f>'Gen CP'!$C66</f>
        <v>Marcelo OJ</v>
      </c>
      <c r="T62" s="244"/>
      <c r="U62" s="254" t="str">
        <f>'Gen CP'!$C66</f>
        <v>Marcelo OJ</v>
      </c>
      <c r="V62" s="255"/>
      <c r="W62" s="243" t="str">
        <f>'Gen CP'!$C66</f>
        <v>Marcelo OJ</v>
      </c>
      <c r="X62" s="244"/>
      <c r="Y62" s="165"/>
      <c r="Z62" s="245"/>
      <c r="AA62" s="243" t="str">
        <f>'Gen CP'!$D66</f>
        <v>Bartolome H</v>
      </c>
      <c r="AB62" s="244"/>
      <c r="AC62" s="243" t="str">
        <f>'Gen CP'!$D66</f>
        <v>Bartolome H</v>
      </c>
      <c r="AD62" s="244"/>
      <c r="AE62" s="243" t="str">
        <f>'Gen CP'!$D66</f>
        <v>Bartolome H</v>
      </c>
      <c r="AF62" s="244"/>
      <c r="AG62" s="254" t="str">
        <f>'Gen CP'!$D66</f>
        <v>Bartolome H</v>
      </c>
      <c r="AH62" s="255"/>
      <c r="AI62" s="243" t="str">
        <f>'Gen CP'!$D66</f>
        <v>Bartolome H</v>
      </c>
      <c r="AJ62" s="244"/>
      <c r="AK62" s="165"/>
      <c r="AL62" s="245"/>
      <c r="AM62" s="243" t="str">
        <f>'Gen CP'!$E66</f>
        <v>Lorenzo C</v>
      </c>
      <c r="AN62" s="244"/>
      <c r="AO62" s="243" t="str">
        <f>'Gen CP'!$E66</f>
        <v>Lorenzo C</v>
      </c>
      <c r="AP62" s="244"/>
      <c r="AQ62" s="243" t="str">
        <f>'Gen CP'!$E66</f>
        <v>Lorenzo C</v>
      </c>
      <c r="AR62" s="244"/>
      <c r="AS62" s="243" t="str">
        <f>'Gen CP'!$E66</f>
        <v>Lorenzo C</v>
      </c>
      <c r="AT62" s="244"/>
      <c r="AU62" s="243" t="str">
        <f>'Gen CP'!$E66</f>
        <v>Lorenzo C</v>
      </c>
      <c r="AV62" s="244"/>
      <c r="AW62" s="165"/>
      <c r="AX62" s="245"/>
      <c r="AY62" s="243" t="str">
        <f>'Gen CP'!$F66</f>
        <v>Almadin H</v>
      </c>
      <c r="AZ62" s="244"/>
      <c r="BA62" s="243" t="str">
        <f>'Gen CP'!$F66</f>
        <v>Almadin H</v>
      </c>
      <c r="BB62" s="244"/>
      <c r="BC62" s="243" t="str">
        <f>'Gen CP'!$F66</f>
        <v>Almadin H</v>
      </c>
      <c r="BD62" s="244"/>
      <c r="BE62" s="243" t="str">
        <f>'Gen CP'!$F66</f>
        <v>Almadin H</v>
      </c>
      <c r="BF62" s="244"/>
      <c r="BG62" s="243" t="str">
        <f>'Gen CP'!$F66</f>
        <v>Almadin H</v>
      </c>
      <c r="BH62" s="244"/>
      <c r="BI62" s="165"/>
      <c r="BJ62" s="245"/>
      <c r="BK62" s="243" t="str">
        <f>'Gen CP'!$G66</f>
        <v>Carillo R</v>
      </c>
      <c r="BL62" s="244"/>
      <c r="BM62" s="243" t="str">
        <f>'Gen CP'!$G66</f>
        <v>Carillo R</v>
      </c>
      <c r="BN62" s="244"/>
      <c r="BO62" s="243" t="str">
        <f>'Gen CP'!$G66</f>
        <v>Carillo R</v>
      </c>
      <c r="BP62" s="244"/>
      <c r="BQ62" s="243" t="str">
        <f>'Gen CP'!$G66</f>
        <v>Carillo R</v>
      </c>
      <c r="BR62" s="244"/>
      <c r="BS62" s="243" t="str">
        <f>'Gen CP'!$G66</f>
        <v>Carillo R</v>
      </c>
      <c r="BT62" s="244"/>
      <c r="BU62" s="165"/>
      <c r="BV62" s="245"/>
      <c r="BW62" s="243" t="str">
        <f>'Gen CP'!$H66</f>
        <v>Orgil E</v>
      </c>
      <c r="BX62" s="244"/>
      <c r="BY62" s="243" t="str">
        <f>'Gen CP'!$H66</f>
        <v>Orgil E</v>
      </c>
      <c r="BZ62" s="244"/>
      <c r="CA62" s="243" t="str">
        <f>'Gen CP'!$H66</f>
        <v>Orgil E</v>
      </c>
      <c r="CB62" s="244"/>
      <c r="CC62" s="243" t="str">
        <f>'Gen CP'!$H66</f>
        <v>Orgil E</v>
      </c>
      <c r="CD62" s="244"/>
      <c r="CE62" s="243" t="str">
        <f>'Gen CP'!$H66</f>
        <v>Orgil E</v>
      </c>
      <c r="CF62" s="244"/>
      <c r="CG62" s="165"/>
      <c r="CH62" s="245"/>
      <c r="CI62" s="243" t="str">
        <f>'Gen CP'!$I66</f>
        <v>Valdez R</v>
      </c>
      <c r="CJ62" s="244"/>
      <c r="CK62" s="243" t="str">
        <f>'Gen CP'!$I66</f>
        <v>Valdez R</v>
      </c>
      <c r="CL62" s="244"/>
      <c r="CM62" s="243" t="str">
        <f>'Gen CP'!$I66</f>
        <v>Valdez R</v>
      </c>
      <c r="CN62" s="244"/>
      <c r="CO62" s="243" t="str">
        <f>'Gen CP'!$I66</f>
        <v>Valdez R</v>
      </c>
      <c r="CP62" s="244"/>
      <c r="CQ62" s="243" t="str">
        <f>'Gen CP'!$I66</f>
        <v>Valdez R</v>
      </c>
      <c r="CR62" s="244"/>
      <c r="CS62" s="165"/>
      <c r="CT62" s="245"/>
      <c r="CU62" s="243" t="str">
        <f t="shared" si="0"/>
        <v>Gardoce J</v>
      </c>
      <c r="CV62" s="244"/>
      <c r="CW62" s="289" t="s">
        <v>383</v>
      </c>
      <c r="CX62" s="290"/>
      <c r="CY62" s="243" t="str">
        <f>'Gen CP'!$J66</f>
        <v>Gardoce J</v>
      </c>
      <c r="CZ62" s="244"/>
      <c r="DA62" s="243" t="str">
        <f>'Gen CP'!$J66</f>
        <v>Gardoce J</v>
      </c>
      <c r="DB62" s="244"/>
      <c r="DC62" s="243" t="str">
        <f>'Gen CP'!$J66</f>
        <v>Gardoce J</v>
      </c>
      <c r="DD62" s="244"/>
      <c r="DE62" s="165"/>
      <c r="DF62" s="245"/>
      <c r="DG62" s="243" t="str">
        <f>'Gen CP'!$K66</f>
        <v>Mamaid MC</v>
      </c>
      <c r="DH62" s="244"/>
      <c r="DI62" s="243" t="s">
        <v>381</v>
      </c>
      <c r="DJ62" s="244"/>
      <c r="DK62" s="243" t="str">
        <f>'Gen CP'!$K66</f>
        <v>Mamaid MC</v>
      </c>
      <c r="DL62" s="244"/>
      <c r="DM62" s="243" t="str">
        <f>'Gen CP'!$K66</f>
        <v>Mamaid MC</v>
      </c>
      <c r="DN62" s="244"/>
      <c r="DO62" s="243" t="str">
        <f>'Gen CP'!$K66</f>
        <v>Mamaid MC</v>
      </c>
      <c r="DP62" s="244"/>
      <c r="DQ62" s="137"/>
      <c r="DR62" s="245"/>
      <c r="DS62" s="243"/>
      <c r="DT62" s="244"/>
      <c r="DU62" s="243"/>
      <c r="DV62" s="244"/>
      <c r="DW62" s="243"/>
      <c r="DX62" s="244"/>
      <c r="DY62" s="243"/>
      <c r="DZ62" s="244"/>
      <c r="EA62" s="243"/>
      <c r="EB62" s="244"/>
      <c r="EC62" s="137"/>
      <c r="ED62" s="245"/>
      <c r="EE62" s="264"/>
      <c r="EF62" s="264"/>
      <c r="EG62" s="264"/>
      <c r="EH62" s="264"/>
      <c r="EI62" s="264"/>
      <c r="EJ62" s="264"/>
      <c r="EK62" s="264"/>
      <c r="EL62" s="264"/>
      <c r="EM62" s="264"/>
      <c r="EN62" s="264"/>
      <c r="EO62" s="265"/>
      <c r="EP62" s="245"/>
      <c r="EQ62" s="264"/>
      <c r="ER62" s="264"/>
      <c r="ES62" s="264"/>
      <c r="ET62" s="264"/>
      <c r="EU62" s="264"/>
      <c r="EV62" s="264"/>
      <c r="EW62" s="264"/>
      <c r="EX62" s="264"/>
      <c r="EY62" s="264"/>
      <c r="EZ62" s="264"/>
      <c r="FA62" s="265"/>
      <c r="FB62" s="245"/>
      <c r="FC62" s="264"/>
      <c r="FD62" s="264"/>
      <c r="FE62" s="264"/>
      <c r="FF62" s="264"/>
      <c r="FG62" s="264"/>
      <c r="FH62" s="264"/>
      <c r="FI62" s="264"/>
      <c r="FJ62" s="264"/>
      <c r="FK62" s="264"/>
      <c r="FL62" s="264"/>
      <c r="FM62" s="265"/>
      <c r="FN62" s="245"/>
      <c r="FO62" s="264"/>
      <c r="FP62" s="264"/>
      <c r="FQ62" s="264"/>
      <c r="FR62" s="264"/>
      <c r="FS62" s="264"/>
      <c r="FT62" s="264"/>
      <c r="FU62" s="264"/>
      <c r="FV62" s="264"/>
      <c r="FW62" s="264"/>
      <c r="FX62" s="264"/>
      <c r="FY62" s="137"/>
      <c r="FZ62" s="245"/>
      <c r="GA62" s="264"/>
      <c r="GB62" s="264"/>
      <c r="GC62" s="264"/>
      <c r="GD62" s="264"/>
      <c r="GE62" s="264"/>
      <c r="GF62" s="264"/>
      <c r="GG62" s="264"/>
      <c r="GH62" s="264"/>
      <c r="GI62" s="264"/>
      <c r="GJ62" s="264"/>
    </row>
    <row r="63" spans="1:194">
      <c r="A63" s="151" t="s">
        <v>338</v>
      </c>
      <c r="B63" s="245"/>
      <c r="C63" s="243" t="str">
        <f>'Gen CP'!$B67</f>
        <v>Piling Larang</v>
      </c>
      <c r="D63" s="244"/>
      <c r="E63" s="243" t="str">
        <f>'Gen CP'!$B67</f>
        <v>Piling Larang</v>
      </c>
      <c r="F63" s="244"/>
      <c r="G63" s="243" t="str">
        <f>'Gen CP'!$B67</f>
        <v>Piling Larang</v>
      </c>
      <c r="H63" s="244"/>
      <c r="I63" s="243" t="str">
        <f>'Gen CP'!$B67</f>
        <v>Piling Larang</v>
      </c>
      <c r="J63" s="244"/>
      <c r="K63" s="243" t="str">
        <f>'Gen CP'!$B67</f>
        <v>Piling Larang</v>
      </c>
      <c r="L63" s="244"/>
      <c r="M63" s="151" t="s">
        <v>338</v>
      </c>
      <c r="N63" s="245"/>
      <c r="O63" s="243" t="str">
        <f>'Gen CP'!$C67</f>
        <v>CPAR</v>
      </c>
      <c r="P63" s="244"/>
      <c r="Q63" s="243" t="str">
        <f>'Gen CP'!$C67</f>
        <v>CPAR</v>
      </c>
      <c r="R63" s="244"/>
      <c r="S63" s="243" t="str">
        <f>'Gen CP'!$C67</f>
        <v>CPAR</v>
      </c>
      <c r="T63" s="244"/>
      <c r="U63" s="243" t="str">
        <f>'Gen CP'!$C67</f>
        <v>CPAR</v>
      </c>
      <c r="V63" s="244"/>
      <c r="W63" s="243" t="str">
        <f>'Gen CP'!$C67</f>
        <v>CPAR</v>
      </c>
      <c r="X63" s="244"/>
      <c r="Y63" s="151" t="s">
        <v>338</v>
      </c>
      <c r="Z63" s="245"/>
      <c r="AA63" s="243" t="str">
        <f>'Gen CP'!$D67</f>
        <v>Creative Non-Fiction</v>
      </c>
      <c r="AB63" s="244"/>
      <c r="AC63" s="243" t="str">
        <f>'Gen CP'!$D67</f>
        <v>Creative Non-Fiction</v>
      </c>
      <c r="AD63" s="244"/>
      <c r="AE63" s="243" t="str">
        <f>'Gen CP'!$D67</f>
        <v>Creative Non-Fiction</v>
      </c>
      <c r="AF63" s="244"/>
      <c r="AG63" s="243" t="str">
        <f>'Gen CP'!$D67</f>
        <v>Creative Non-Fiction</v>
      </c>
      <c r="AH63" s="244"/>
      <c r="AI63" s="243" t="str">
        <f>'Gen CP'!$D67</f>
        <v>Creative Non-Fiction</v>
      </c>
      <c r="AJ63" s="244"/>
      <c r="AK63" s="151" t="s">
        <v>338</v>
      </c>
      <c r="AL63" s="245"/>
      <c r="AM63" s="243" t="str">
        <f>'Gen CP'!$E67</f>
        <v>World Religions</v>
      </c>
      <c r="AN63" s="244"/>
      <c r="AO63" s="243" t="str">
        <f>'Gen CP'!$E67</f>
        <v>World Religions</v>
      </c>
      <c r="AP63" s="244"/>
      <c r="AQ63" s="243" t="str">
        <f>'Gen CP'!$E67</f>
        <v>World Religions</v>
      </c>
      <c r="AR63" s="244"/>
      <c r="AS63" s="243" t="str">
        <f>'Gen CP'!$E67</f>
        <v>World Religions</v>
      </c>
      <c r="AT63" s="244"/>
      <c r="AU63" s="243" t="str">
        <f>'Gen CP'!$E67</f>
        <v>World Religions</v>
      </c>
      <c r="AV63" s="244"/>
      <c r="AW63" s="151" t="s">
        <v>338</v>
      </c>
      <c r="AX63" s="245"/>
      <c r="AY63" s="243" t="str">
        <f>'Gen CP'!$F67</f>
        <v>Research 2</v>
      </c>
      <c r="AZ63" s="244"/>
      <c r="BA63" s="243" t="str">
        <f>'Gen CP'!$F67</f>
        <v>Research 2</v>
      </c>
      <c r="BB63" s="244"/>
      <c r="BC63" s="243" t="str">
        <f>'Gen CP'!$F67</f>
        <v>Research 2</v>
      </c>
      <c r="BD63" s="244"/>
      <c r="BE63" s="243" t="str">
        <f>'Gen CP'!$F67</f>
        <v>Research 2</v>
      </c>
      <c r="BF63" s="244"/>
      <c r="BG63" s="243" t="str">
        <f>'Gen CP'!$F67</f>
        <v>Research 2</v>
      </c>
      <c r="BH63" s="244"/>
      <c r="BI63" s="151" t="s">
        <v>338</v>
      </c>
      <c r="BJ63" s="245"/>
      <c r="BK63" s="243" t="str">
        <f>'Gen CP'!$G67</f>
        <v>21st Cen Lit</v>
      </c>
      <c r="BL63" s="244"/>
      <c r="BM63" s="243" t="str">
        <f>'Gen CP'!$G67</f>
        <v>21st Cen Lit</v>
      </c>
      <c r="BN63" s="244"/>
      <c r="BO63" s="254" t="str">
        <f>'Gen CP'!$G67</f>
        <v>21st Cen Lit</v>
      </c>
      <c r="BP63" s="255"/>
      <c r="BQ63" s="243" t="str">
        <f>'Gen CP'!$G67</f>
        <v>21st Cen Lit</v>
      </c>
      <c r="BR63" s="244"/>
      <c r="BS63" s="243" t="str">
        <f>'Gen CP'!$G67</f>
        <v>21st Cen Lit</v>
      </c>
      <c r="BT63" s="244"/>
      <c r="BU63" s="151" t="s">
        <v>338</v>
      </c>
      <c r="BV63" s="245"/>
      <c r="BW63" s="243" t="str">
        <f>'Gen CP'!$H67</f>
        <v>21st Cen Lit</v>
      </c>
      <c r="BX63" s="244"/>
      <c r="BY63" s="243" t="str">
        <f>'Gen CP'!$H67</f>
        <v>21st Cen Lit</v>
      </c>
      <c r="BZ63" s="244"/>
      <c r="CA63" s="243" t="str">
        <f>'Gen CP'!$H67</f>
        <v>21st Cen Lit</v>
      </c>
      <c r="CB63" s="244"/>
      <c r="CC63" s="243" t="str">
        <f>'Gen CP'!$H67</f>
        <v>21st Cen Lit</v>
      </c>
      <c r="CD63" s="244"/>
      <c r="CE63" s="243" t="str">
        <f>'Gen CP'!$H67</f>
        <v>21st Cen Lit</v>
      </c>
      <c r="CF63" s="244"/>
      <c r="CG63" s="151" t="s">
        <v>338</v>
      </c>
      <c r="CH63" s="245"/>
      <c r="CI63" s="243" t="str">
        <f>'Gen CP'!$I67</f>
        <v>CPAR</v>
      </c>
      <c r="CJ63" s="244"/>
      <c r="CK63" s="243" t="str">
        <f>'Gen CP'!$I67</f>
        <v>CPAR</v>
      </c>
      <c r="CL63" s="244"/>
      <c r="CM63" s="243" t="str">
        <f>'Gen CP'!$I67</f>
        <v>CPAR</v>
      </c>
      <c r="CN63" s="244"/>
      <c r="CO63" s="243" t="str">
        <f>'Gen CP'!$I67</f>
        <v>CPAR</v>
      </c>
      <c r="CP63" s="244"/>
      <c r="CQ63" s="243" t="str">
        <f>'Gen CP'!$I67</f>
        <v>CPAR</v>
      </c>
      <c r="CR63" s="244"/>
      <c r="CS63" s="151" t="s">
        <v>338</v>
      </c>
      <c r="CT63" s="245"/>
      <c r="CU63" s="243" t="str">
        <f t="shared" si="0"/>
        <v>PPG</v>
      </c>
      <c r="CV63" s="244"/>
      <c r="CW63" s="289" t="s">
        <v>102</v>
      </c>
      <c r="CX63" s="290"/>
      <c r="CY63" s="243" t="str">
        <f>'Gen CP'!$J67</f>
        <v>PPG</v>
      </c>
      <c r="CZ63" s="244"/>
      <c r="DA63" s="243" t="str">
        <f>'Gen CP'!$J67</f>
        <v>PPG</v>
      </c>
      <c r="DB63" s="244"/>
      <c r="DC63" s="243" t="str">
        <f>'Gen CP'!$J67</f>
        <v>PPG</v>
      </c>
      <c r="DD63" s="244"/>
      <c r="DE63" s="151" t="s">
        <v>338</v>
      </c>
      <c r="DF63" s="245"/>
      <c r="DG63" s="243" t="str">
        <f>'Gen CP'!$K67</f>
        <v>Philo</v>
      </c>
      <c r="DH63" s="244"/>
      <c r="DI63" s="243" t="str">
        <f>'Gen CP'!$K67</f>
        <v>Philo</v>
      </c>
      <c r="DJ63" s="244"/>
      <c r="DK63" s="243" t="str">
        <f>'Gen CP'!$K67</f>
        <v>Philo</v>
      </c>
      <c r="DL63" s="244"/>
      <c r="DM63" s="243" t="str">
        <f>'Gen CP'!$K67</f>
        <v>Philo</v>
      </c>
      <c r="DN63" s="244"/>
      <c r="DO63" s="243" t="str">
        <f>'Gen CP'!$K67</f>
        <v>Philo</v>
      </c>
      <c r="DP63" s="244"/>
      <c r="DQ63" s="151" t="s">
        <v>338</v>
      </c>
      <c r="DR63" s="245"/>
      <c r="DS63" s="243"/>
      <c r="DT63" s="244"/>
      <c r="DU63" s="243"/>
      <c r="DV63" s="244"/>
      <c r="DW63" s="243"/>
      <c r="DX63" s="244"/>
      <c r="DY63" s="243"/>
      <c r="DZ63" s="244"/>
      <c r="EA63" s="243"/>
      <c r="EB63" s="244"/>
      <c r="EC63" s="151" t="s">
        <v>338</v>
      </c>
      <c r="ED63" s="245"/>
      <c r="EE63" s="264"/>
      <c r="EF63" s="264"/>
      <c r="EG63" s="243"/>
      <c r="EH63" s="244"/>
      <c r="EI63" s="264"/>
      <c r="EJ63" s="264"/>
      <c r="EK63" s="264"/>
      <c r="EL63" s="264"/>
      <c r="EM63" s="264"/>
      <c r="EN63" s="264"/>
      <c r="EO63" s="265" t="s">
        <v>306</v>
      </c>
      <c r="EP63" s="245">
        <v>60</v>
      </c>
      <c r="EQ63" s="266"/>
      <c r="ER63" s="266"/>
      <c r="ES63" s="266"/>
      <c r="ET63" s="266"/>
      <c r="EU63" s="264"/>
      <c r="EV63" s="264"/>
      <c r="EW63" s="266"/>
      <c r="EX63" s="266"/>
      <c r="EY63" s="266"/>
      <c r="EZ63" s="266"/>
      <c r="FA63" s="265" t="s">
        <v>306</v>
      </c>
      <c r="FB63" s="245">
        <v>60</v>
      </c>
      <c r="FC63" s="266"/>
      <c r="FD63" s="266"/>
      <c r="FE63" s="266"/>
      <c r="FF63" s="266"/>
      <c r="FG63" s="264"/>
      <c r="FH63" s="264"/>
      <c r="FI63" s="266"/>
      <c r="FJ63" s="266"/>
      <c r="FK63" s="266"/>
      <c r="FL63" s="266"/>
      <c r="FM63" s="265" t="s">
        <v>306</v>
      </c>
      <c r="FN63" s="245">
        <v>60</v>
      </c>
      <c r="FO63" s="266"/>
      <c r="FP63" s="266"/>
      <c r="FQ63" s="266"/>
      <c r="FR63" s="266"/>
      <c r="FS63" s="264"/>
      <c r="FT63" s="264"/>
      <c r="FU63" s="266"/>
      <c r="FV63" s="266"/>
      <c r="FW63" s="266"/>
      <c r="FX63" s="266"/>
      <c r="FY63" s="151" t="s">
        <v>338</v>
      </c>
      <c r="FZ63" s="245"/>
      <c r="GA63" s="264"/>
      <c r="GB63" s="264"/>
      <c r="GC63" s="243"/>
      <c r="GD63" s="244"/>
      <c r="GE63" s="264"/>
      <c r="GF63" s="264"/>
      <c r="GG63" s="264"/>
      <c r="GH63" s="264"/>
      <c r="GI63" s="264"/>
      <c r="GJ63" s="264"/>
    </row>
    <row r="64" spans="1:194">
      <c r="A64" s="152"/>
      <c r="B64" s="245"/>
      <c r="C64" s="243" t="str">
        <f>'Gen CP'!$B68</f>
        <v>Lorenzo C</v>
      </c>
      <c r="D64" s="244"/>
      <c r="E64" s="243" t="str">
        <f>'Gen CP'!$B68</f>
        <v>Lorenzo C</v>
      </c>
      <c r="F64" s="244"/>
      <c r="G64" s="243" t="str">
        <f>'Gen CP'!$B68</f>
        <v>Lorenzo C</v>
      </c>
      <c r="H64" s="244"/>
      <c r="I64" s="243" t="str">
        <f>'Gen CP'!$B68</f>
        <v>Lorenzo C</v>
      </c>
      <c r="J64" s="244"/>
      <c r="K64" s="243" t="str">
        <f>'Gen CP'!$B68</f>
        <v>Lorenzo C</v>
      </c>
      <c r="L64" s="244"/>
      <c r="M64" s="152"/>
      <c r="N64" s="245"/>
      <c r="O64" s="243" t="str">
        <f>'Gen CP'!$C68</f>
        <v>De Leon I</v>
      </c>
      <c r="P64" s="244"/>
      <c r="Q64" s="243" t="str">
        <f>'Gen CP'!$C68</f>
        <v>De Leon I</v>
      </c>
      <c r="R64" s="244"/>
      <c r="S64" s="243" t="str">
        <f>'Gen CP'!$C68</f>
        <v>De Leon I</v>
      </c>
      <c r="T64" s="244"/>
      <c r="U64" s="243" t="str">
        <f>'Gen CP'!$C68</f>
        <v>De Leon I</v>
      </c>
      <c r="V64" s="244"/>
      <c r="W64" s="243" t="str">
        <f>'Gen CP'!$C68</f>
        <v>De Leon I</v>
      </c>
      <c r="X64" s="244"/>
      <c r="Y64" s="152"/>
      <c r="Z64" s="245"/>
      <c r="AA64" s="243" t="str">
        <f>'Gen CP'!$D68</f>
        <v>Tamondong A</v>
      </c>
      <c r="AB64" s="244"/>
      <c r="AC64" s="243" t="str">
        <f>'Gen CP'!$D68</f>
        <v>Tamondong A</v>
      </c>
      <c r="AD64" s="244"/>
      <c r="AE64" s="243" t="str">
        <f>'Gen CP'!$D68</f>
        <v>Tamondong A</v>
      </c>
      <c r="AF64" s="244"/>
      <c r="AG64" s="243" t="str">
        <f>'Gen CP'!$D68</f>
        <v>Tamondong A</v>
      </c>
      <c r="AH64" s="244"/>
      <c r="AI64" s="243" t="str">
        <f>'Gen CP'!$D68</f>
        <v>Tamondong A</v>
      </c>
      <c r="AJ64" s="244"/>
      <c r="AK64" s="152"/>
      <c r="AL64" s="245"/>
      <c r="AM64" s="243" t="str">
        <f>'Gen CP'!$E68</f>
        <v>Carillo R</v>
      </c>
      <c r="AN64" s="244"/>
      <c r="AO64" s="243" t="str">
        <f>'Gen CP'!$E68</f>
        <v>Carillo R</v>
      </c>
      <c r="AP64" s="244"/>
      <c r="AQ64" s="243" t="str">
        <f>'Gen CP'!$E68</f>
        <v>Carillo R</v>
      </c>
      <c r="AR64" s="244"/>
      <c r="AS64" s="243" t="str">
        <f>'Gen CP'!$E68</f>
        <v>Carillo R</v>
      </c>
      <c r="AT64" s="244"/>
      <c r="AU64" s="243" t="str">
        <f>'Gen CP'!$E68</f>
        <v>Carillo R</v>
      </c>
      <c r="AV64" s="244"/>
      <c r="AW64" s="152"/>
      <c r="AX64" s="245"/>
      <c r="AY64" s="243" t="str">
        <f>'Gen CP'!$F68</f>
        <v>Bartolome H</v>
      </c>
      <c r="AZ64" s="244"/>
      <c r="BA64" s="243" t="str">
        <f>'Gen CP'!$F68</f>
        <v>Bartolome H</v>
      </c>
      <c r="BB64" s="244"/>
      <c r="BC64" s="243" t="str">
        <f>'Gen CP'!$F68</f>
        <v>Bartolome H</v>
      </c>
      <c r="BD64" s="244"/>
      <c r="BE64" s="243" t="str">
        <f>'Gen CP'!$F68</f>
        <v>Bartolome H</v>
      </c>
      <c r="BF64" s="244"/>
      <c r="BG64" s="243" t="str">
        <f>'Gen CP'!$F68</f>
        <v>Bartolome H</v>
      </c>
      <c r="BH64" s="244"/>
      <c r="BI64" s="152"/>
      <c r="BJ64" s="245"/>
      <c r="BK64" s="243" t="str">
        <f>'Gen CP'!$G68</f>
        <v>Maniquiz T</v>
      </c>
      <c r="BL64" s="244"/>
      <c r="BM64" s="243" t="str">
        <f>'Gen CP'!$G68</f>
        <v>Maniquiz T</v>
      </c>
      <c r="BN64" s="244"/>
      <c r="BO64" s="254" t="str">
        <f>'Gen CP'!$G68</f>
        <v>Maniquiz T</v>
      </c>
      <c r="BP64" s="255"/>
      <c r="BQ64" s="243" t="str">
        <f>'Gen CP'!$G68</f>
        <v>Maniquiz T</v>
      </c>
      <c r="BR64" s="244"/>
      <c r="BS64" s="243" t="str">
        <f>'Gen CP'!$G68</f>
        <v>Maniquiz T</v>
      </c>
      <c r="BT64" s="244"/>
      <c r="BU64" s="152"/>
      <c r="BV64" s="245"/>
      <c r="BW64" s="243" t="str">
        <f>'Gen CP'!$H68</f>
        <v>Valdez R</v>
      </c>
      <c r="BX64" s="244"/>
      <c r="BY64" s="243" t="str">
        <f>'Gen CP'!$H68</f>
        <v>Valdez R</v>
      </c>
      <c r="BZ64" s="244"/>
      <c r="CA64" s="243" t="str">
        <f>'Gen CP'!$H68</f>
        <v>Valdez R</v>
      </c>
      <c r="CB64" s="244"/>
      <c r="CC64" s="243" t="str">
        <f>'Gen CP'!$H68</f>
        <v>Valdez R</v>
      </c>
      <c r="CD64" s="244"/>
      <c r="CE64" s="243" t="str">
        <f>'Gen CP'!$H68</f>
        <v>Valdez R</v>
      </c>
      <c r="CF64" s="244"/>
      <c r="CG64" s="152"/>
      <c r="CH64" s="245"/>
      <c r="CI64" s="243" t="str">
        <f>'Gen CP'!$I68</f>
        <v>Hierco M</v>
      </c>
      <c r="CJ64" s="244"/>
      <c r="CK64" s="243" t="str">
        <f>'Gen CP'!$I68</f>
        <v>Hierco M</v>
      </c>
      <c r="CL64" s="244"/>
      <c r="CM64" s="243" t="str">
        <f>'Gen CP'!$I68</f>
        <v>Hierco M</v>
      </c>
      <c r="CN64" s="244"/>
      <c r="CO64" s="243" t="str">
        <f>'Gen CP'!$I68</f>
        <v>Hierco M</v>
      </c>
      <c r="CP64" s="244"/>
      <c r="CQ64" s="243" t="str">
        <f>'Gen CP'!$I68</f>
        <v>Hierco M</v>
      </c>
      <c r="CR64" s="244"/>
      <c r="CS64" s="152"/>
      <c r="CT64" s="245"/>
      <c r="CU64" s="243" t="str">
        <f t="shared" si="0"/>
        <v>Almadin H</v>
      </c>
      <c r="CV64" s="244"/>
      <c r="CW64" s="289" t="s">
        <v>383</v>
      </c>
      <c r="CX64" s="290"/>
      <c r="CY64" s="243" t="str">
        <f>'Gen CP'!$J68</f>
        <v>Almadin H</v>
      </c>
      <c r="CZ64" s="244"/>
      <c r="DA64" s="243" t="str">
        <f>'Gen CP'!$J68</f>
        <v>Almadin H</v>
      </c>
      <c r="DB64" s="244"/>
      <c r="DC64" s="243" t="str">
        <f>'Gen CP'!$J68</f>
        <v>Almadin H</v>
      </c>
      <c r="DD64" s="244"/>
      <c r="DE64" s="152"/>
      <c r="DF64" s="245"/>
      <c r="DG64" s="243" t="str">
        <f>'Gen CP'!$K68</f>
        <v>Mamaid MC</v>
      </c>
      <c r="DH64" s="244"/>
      <c r="DI64" s="243" t="str">
        <f>'Gen CP'!$K68</f>
        <v>Mamaid MC</v>
      </c>
      <c r="DJ64" s="244"/>
      <c r="DK64" s="243" t="str">
        <f>'Gen CP'!$K68</f>
        <v>Mamaid MC</v>
      </c>
      <c r="DL64" s="244"/>
      <c r="DM64" s="243" t="str">
        <f>'Gen CP'!$K68</f>
        <v>Mamaid MC</v>
      </c>
      <c r="DN64" s="244"/>
      <c r="DO64" s="243" t="str">
        <f>'Gen CP'!$K68</f>
        <v>Mamaid MC</v>
      </c>
      <c r="DP64" s="244"/>
      <c r="DQ64" s="152"/>
      <c r="DR64" s="245"/>
      <c r="DS64" s="243"/>
      <c r="DT64" s="244"/>
      <c r="DU64" s="243"/>
      <c r="DV64" s="244"/>
      <c r="DW64" s="243"/>
      <c r="DX64" s="244"/>
      <c r="DY64" s="243"/>
      <c r="DZ64" s="244"/>
      <c r="EA64" s="243"/>
      <c r="EB64" s="244"/>
      <c r="EC64" s="152"/>
      <c r="ED64" s="245"/>
      <c r="EE64" s="264"/>
      <c r="EF64" s="264"/>
      <c r="EG64" s="243"/>
      <c r="EH64" s="244"/>
      <c r="EI64" s="264"/>
      <c r="EJ64" s="264"/>
      <c r="EK64" s="264"/>
      <c r="EL64" s="264"/>
      <c r="EM64" s="264"/>
      <c r="EN64" s="264"/>
      <c r="EO64" s="265"/>
      <c r="EP64" s="245"/>
      <c r="EQ64" s="264"/>
      <c r="ER64" s="264"/>
      <c r="ES64" s="264"/>
      <c r="ET64" s="264"/>
      <c r="EU64" s="264"/>
      <c r="EV64" s="264"/>
      <c r="EW64" s="264"/>
      <c r="EX64" s="264"/>
      <c r="EY64" s="264"/>
      <c r="EZ64" s="264"/>
      <c r="FA64" s="265"/>
      <c r="FB64" s="245"/>
      <c r="FC64" s="264"/>
      <c r="FD64" s="264"/>
      <c r="FE64" s="264"/>
      <c r="FF64" s="264"/>
      <c r="FG64" s="264"/>
      <c r="FH64" s="264"/>
      <c r="FI64" s="264"/>
      <c r="FJ64" s="264"/>
      <c r="FK64" s="264"/>
      <c r="FL64" s="264"/>
      <c r="FM64" s="265"/>
      <c r="FN64" s="245"/>
      <c r="FO64" s="264"/>
      <c r="FP64" s="264"/>
      <c r="FQ64" s="264"/>
      <c r="FR64" s="264"/>
      <c r="FS64" s="264"/>
      <c r="FT64" s="264"/>
      <c r="FU64" s="264"/>
      <c r="FV64" s="264"/>
      <c r="FW64" s="264"/>
      <c r="FX64" s="264"/>
      <c r="FY64" s="152"/>
      <c r="FZ64" s="245"/>
      <c r="GA64" s="264"/>
      <c r="GB64" s="264"/>
      <c r="GC64" s="243"/>
      <c r="GD64" s="244"/>
      <c r="GE64" s="264"/>
      <c r="GF64" s="264"/>
      <c r="GG64" s="264"/>
      <c r="GH64" s="264"/>
      <c r="GI64" s="264"/>
      <c r="GJ64" s="264"/>
    </row>
    <row r="65" spans="1:194">
      <c r="A65" s="117" t="s">
        <v>26</v>
      </c>
      <c r="B65" s="251" t="s">
        <v>305</v>
      </c>
      <c r="C65" s="252"/>
      <c r="D65" s="252"/>
      <c r="E65" s="252"/>
      <c r="F65" s="252"/>
      <c r="G65" s="252"/>
      <c r="H65" s="252"/>
      <c r="I65" s="252"/>
      <c r="J65" s="252"/>
      <c r="K65" s="252"/>
      <c r="L65" s="253"/>
      <c r="M65" s="117" t="s">
        <v>26</v>
      </c>
      <c r="N65" s="251" t="s">
        <v>305</v>
      </c>
      <c r="O65" s="252"/>
      <c r="P65" s="252"/>
      <c r="Q65" s="252"/>
      <c r="R65" s="252"/>
      <c r="S65" s="252"/>
      <c r="T65" s="252"/>
      <c r="U65" s="252"/>
      <c r="V65" s="252"/>
      <c r="W65" s="252"/>
      <c r="X65" s="253"/>
      <c r="Y65" s="117" t="s">
        <v>26</v>
      </c>
      <c r="Z65" s="251" t="s">
        <v>305</v>
      </c>
      <c r="AA65" s="252"/>
      <c r="AB65" s="252"/>
      <c r="AC65" s="252"/>
      <c r="AD65" s="252"/>
      <c r="AE65" s="252"/>
      <c r="AF65" s="252"/>
      <c r="AG65" s="252"/>
      <c r="AH65" s="252"/>
      <c r="AI65" s="252"/>
      <c r="AJ65" s="253"/>
      <c r="AK65" s="117" t="s">
        <v>26</v>
      </c>
      <c r="AL65" s="251" t="s">
        <v>305</v>
      </c>
      <c r="AM65" s="252"/>
      <c r="AN65" s="252"/>
      <c r="AO65" s="252"/>
      <c r="AP65" s="252"/>
      <c r="AQ65" s="252"/>
      <c r="AR65" s="252"/>
      <c r="AS65" s="252"/>
      <c r="AT65" s="252"/>
      <c r="AU65" s="252"/>
      <c r="AV65" s="253"/>
      <c r="AW65" s="117" t="s">
        <v>26</v>
      </c>
      <c r="AX65" s="251" t="s">
        <v>305</v>
      </c>
      <c r="AY65" s="252"/>
      <c r="AZ65" s="252"/>
      <c r="BA65" s="252"/>
      <c r="BB65" s="252"/>
      <c r="BC65" s="252"/>
      <c r="BD65" s="252"/>
      <c r="BE65" s="252"/>
      <c r="BF65" s="252"/>
      <c r="BG65" s="252"/>
      <c r="BH65" s="253"/>
      <c r="BI65" s="117" t="s">
        <v>26</v>
      </c>
      <c r="BJ65" s="251" t="s">
        <v>305</v>
      </c>
      <c r="BK65" s="252"/>
      <c r="BL65" s="252"/>
      <c r="BM65" s="252"/>
      <c r="BN65" s="252"/>
      <c r="BO65" s="252"/>
      <c r="BP65" s="252"/>
      <c r="BQ65" s="252"/>
      <c r="BR65" s="252"/>
      <c r="BS65" s="252"/>
      <c r="BT65" s="253"/>
      <c r="BU65" s="117" t="s">
        <v>26</v>
      </c>
      <c r="BV65" s="251" t="s">
        <v>305</v>
      </c>
      <c r="BW65" s="252"/>
      <c r="BX65" s="252"/>
      <c r="BY65" s="252"/>
      <c r="BZ65" s="252"/>
      <c r="CA65" s="252"/>
      <c r="CB65" s="252"/>
      <c r="CC65" s="252"/>
      <c r="CD65" s="252"/>
      <c r="CE65" s="252"/>
      <c r="CF65" s="253"/>
      <c r="CG65" s="117" t="s">
        <v>26</v>
      </c>
      <c r="CH65" s="251" t="s">
        <v>305</v>
      </c>
      <c r="CI65" s="252"/>
      <c r="CJ65" s="252"/>
      <c r="CK65" s="252"/>
      <c r="CL65" s="252"/>
      <c r="CM65" s="252"/>
      <c r="CN65" s="252"/>
      <c r="CO65" s="252"/>
      <c r="CP65" s="252"/>
      <c r="CQ65" s="252"/>
      <c r="CR65" s="253"/>
      <c r="CS65" s="117" t="s">
        <v>26</v>
      </c>
      <c r="CT65" s="251" t="s">
        <v>305</v>
      </c>
      <c r="CU65" s="252"/>
      <c r="CV65" s="252"/>
      <c r="CW65" s="252"/>
      <c r="CX65" s="252"/>
      <c r="CY65" s="252"/>
      <c r="CZ65" s="252"/>
      <c r="DA65" s="252"/>
      <c r="DB65" s="252"/>
      <c r="DC65" s="252"/>
      <c r="DD65" s="253"/>
      <c r="DE65" s="117" t="s">
        <v>26</v>
      </c>
      <c r="DF65" s="251" t="s">
        <v>305</v>
      </c>
      <c r="DG65" s="252"/>
      <c r="DH65" s="252"/>
      <c r="DI65" s="252"/>
      <c r="DJ65" s="252"/>
      <c r="DK65" s="252"/>
      <c r="DL65" s="252"/>
      <c r="DM65" s="252"/>
      <c r="DN65" s="252"/>
      <c r="DO65" s="252"/>
      <c r="DP65" s="253"/>
      <c r="DQ65" s="117" t="s">
        <v>26</v>
      </c>
      <c r="DR65" s="251" t="s">
        <v>305</v>
      </c>
      <c r="DS65" s="252"/>
      <c r="DT65" s="252"/>
      <c r="DU65" s="252"/>
      <c r="DV65" s="252"/>
      <c r="DW65" s="252"/>
      <c r="DX65" s="252"/>
      <c r="DY65" s="252"/>
      <c r="DZ65" s="252"/>
      <c r="EA65" s="252"/>
      <c r="EB65" s="253"/>
      <c r="EC65" s="117" t="s">
        <v>26</v>
      </c>
      <c r="ED65" s="251" t="s">
        <v>305</v>
      </c>
      <c r="EE65" s="252"/>
      <c r="EF65" s="252"/>
      <c r="EG65" s="252"/>
      <c r="EH65" s="252"/>
      <c r="EI65" s="252"/>
      <c r="EJ65" s="252"/>
      <c r="EK65" s="252"/>
      <c r="EL65" s="252"/>
      <c r="EM65" s="252"/>
      <c r="EN65" s="253"/>
      <c r="EO65" s="117"/>
      <c r="EP65" s="121"/>
      <c r="EQ65" s="120"/>
      <c r="ER65" s="120"/>
      <c r="ES65" s="120"/>
      <c r="ET65" s="120"/>
      <c r="EU65" s="115"/>
      <c r="EV65" s="116"/>
      <c r="EW65" s="120"/>
      <c r="EX65" s="120"/>
      <c r="EY65" s="120"/>
      <c r="EZ65" s="120"/>
      <c r="FA65" s="117"/>
      <c r="FB65" s="121"/>
      <c r="FC65" s="120"/>
      <c r="FD65" s="120"/>
      <c r="FE65" s="120"/>
      <c r="FF65" s="120"/>
      <c r="FG65" s="115"/>
      <c r="FH65" s="116"/>
      <c r="FI65" s="120"/>
      <c r="FJ65" s="120"/>
      <c r="FK65" s="120"/>
      <c r="FL65" s="120"/>
      <c r="FM65" s="117"/>
      <c r="FN65" s="121"/>
      <c r="FO65" s="120"/>
      <c r="FP65" s="120"/>
      <c r="FQ65" s="120"/>
      <c r="FR65" s="120"/>
      <c r="FS65" s="115"/>
      <c r="FT65" s="116"/>
      <c r="FU65" s="120"/>
      <c r="FV65" s="120"/>
      <c r="FW65" s="120"/>
      <c r="FX65" s="120"/>
      <c r="FY65" s="117" t="s">
        <v>26</v>
      </c>
      <c r="FZ65" s="251" t="s">
        <v>305</v>
      </c>
      <c r="GA65" s="252"/>
      <c r="GB65" s="252"/>
      <c r="GC65" s="252"/>
      <c r="GD65" s="252"/>
      <c r="GE65" s="252"/>
      <c r="GF65" s="252"/>
      <c r="GG65" s="252"/>
      <c r="GH65" s="252"/>
      <c r="GI65" s="252"/>
      <c r="GJ65" s="253"/>
      <c r="GL65" s="1" t="s">
        <v>51</v>
      </c>
    </row>
    <row r="66" spans="1:194">
      <c r="A66" s="164" t="s">
        <v>342</v>
      </c>
      <c r="B66" s="245"/>
      <c r="C66" s="243" t="str">
        <f>'Gen CP'!$B70</f>
        <v>MIL</v>
      </c>
      <c r="D66" s="244"/>
      <c r="E66" s="243" t="str">
        <f>'Gen CP'!$B70</f>
        <v>MIL</v>
      </c>
      <c r="F66" s="244"/>
      <c r="G66" s="243" t="str">
        <f>'Gen CP'!$B70</f>
        <v>MIL</v>
      </c>
      <c r="H66" s="244"/>
      <c r="I66" s="243" t="str">
        <f>'Gen CP'!$B70</f>
        <v>MIL</v>
      </c>
      <c r="J66" s="244"/>
      <c r="K66" s="243" t="s">
        <v>154</v>
      </c>
      <c r="L66" s="244"/>
      <c r="M66" s="164" t="s">
        <v>342</v>
      </c>
      <c r="N66" s="245"/>
      <c r="O66" s="243" t="str">
        <f>'Gen CP'!$C70</f>
        <v>DIASS</v>
      </c>
      <c r="P66" s="244"/>
      <c r="Q66" s="243" t="str">
        <f>'Gen CP'!$C70</f>
        <v>DIASS</v>
      </c>
      <c r="R66" s="244"/>
      <c r="S66" s="243" t="str">
        <f>'Gen CP'!$C70</f>
        <v>DIASS</v>
      </c>
      <c r="T66" s="244"/>
      <c r="U66" s="243" t="str">
        <f>'Gen CP'!$C70</f>
        <v>DIASS</v>
      </c>
      <c r="V66" s="244"/>
      <c r="W66" s="243" t="str">
        <f>'Gen CP'!$C70</f>
        <v>DIASS</v>
      </c>
      <c r="X66" s="244"/>
      <c r="Y66" s="164" t="s">
        <v>342</v>
      </c>
      <c r="Z66" s="245"/>
      <c r="AA66" s="243" t="str">
        <f>'Gen CP'!$D70</f>
        <v>World Religions</v>
      </c>
      <c r="AB66" s="244"/>
      <c r="AC66" s="243" t="str">
        <f>'Gen CP'!$D70</f>
        <v>World Religions</v>
      </c>
      <c r="AD66" s="244"/>
      <c r="AE66" s="243" t="str">
        <f>'Gen CP'!$D70</f>
        <v>World Religions</v>
      </c>
      <c r="AF66" s="244"/>
      <c r="AG66" s="243" t="str">
        <f>'Gen CP'!$D70</f>
        <v>World Religions</v>
      </c>
      <c r="AH66" s="244"/>
      <c r="AI66" s="243" t="str">
        <f>'Gen CP'!$D70</f>
        <v>World Religions</v>
      </c>
      <c r="AJ66" s="244"/>
      <c r="AK66" s="164" t="s">
        <v>342</v>
      </c>
      <c r="AL66" s="245"/>
      <c r="AM66" s="243" t="str">
        <f>'Gen CP'!$E70</f>
        <v>Creative Non-Fiction</v>
      </c>
      <c r="AN66" s="244"/>
      <c r="AO66" s="243" t="str">
        <f>'Gen CP'!$E70</f>
        <v>Creative Non-Fiction</v>
      </c>
      <c r="AP66" s="244"/>
      <c r="AQ66" s="243" t="str">
        <f>'Gen CP'!$E70</f>
        <v>Creative Non-Fiction</v>
      </c>
      <c r="AR66" s="244"/>
      <c r="AS66" s="243" t="str">
        <f>'Gen CP'!$E70</f>
        <v>Creative Non-Fiction</v>
      </c>
      <c r="AT66" s="244"/>
      <c r="AU66" s="243" t="str">
        <f>'Gen CP'!$E70</f>
        <v>Creative Non-Fiction</v>
      </c>
      <c r="AV66" s="244"/>
      <c r="AW66" s="164" t="s">
        <v>342</v>
      </c>
      <c r="AX66" s="245"/>
      <c r="AY66" s="243" t="str">
        <f>'Gen CP'!$F70</f>
        <v>Philo</v>
      </c>
      <c r="AZ66" s="244"/>
      <c r="BA66" s="243" t="str">
        <f>'Gen CP'!$F70</f>
        <v>Philo</v>
      </c>
      <c r="BB66" s="244"/>
      <c r="BC66" s="243" t="str">
        <f>'Gen CP'!$F70</f>
        <v>Philo</v>
      </c>
      <c r="BD66" s="244"/>
      <c r="BE66" s="243" t="str">
        <f>'Gen CP'!$F70</f>
        <v>Philo</v>
      </c>
      <c r="BF66" s="244"/>
      <c r="BG66" s="243" t="str">
        <f>'Gen CP'!$F70</f>
        <v>Philo</v>
      </c>
      <c r="BH66" s="244"/>
      <c r="BI66" s="164" t="s">
        <v>342</v>
      </c>
      <c r="BJ66" s="245"/>
      <c r="BK66" s="243" t="str">
        <f>'Gen CP'!$G70</f>
        <v>Piling Larang</v>
      </c>
      <c r="BL66" s="244"/>
      <c r="BM66" s="243" t="str">
        <f>'Gen CP'!$G70</f>
        <v>Piling Larang</v>
      </c>
      <c r="BN66" s="244"/>
      <c r="BO66" s="243" t="str">
        <f>'Gen CP'!$G70</f>
        <v>Piling Larang</v>
      </c>
      <c r="BP66" s="244"/>
      <c r="BQ66" s="243" t="str">
        <f>'Gen CP'!$G70</f>
        <v>Piling Larang</v>
      </c>
      <c r="BR66" s="244"/>
      <c r="BS66" s="243" t="str">
        <f>'Gen CP'!$G70</f>
        <v>Piling Larang</v>
      </c>
      <c r="BT66" s="244"/>
      <c r="BU66" s="164" t="s">
        <v>342</v>
      </c>
      <c r="BV66" s="245"/>
      <c r="BW66" s="243" t="str">
        <f>'Gen CP'!$H70</f>
        <v>Research 2</v>
      </c>
      <c r="BX66" s="244"/>
      <c r="BY66" s="254" t="str">
        <f>'Gen CP'!$H70</f>
        <v>Research 2</v>
      </c>
      <c r="BZ66" s="255"/>
      <c r="CA66" s="243" t="str">
        <f>'Gen CP'!$H70</f>
        <v>Research 2</v>
      </c>
      <c r="CB66" s="244"/>
      <c r="CC66" s="243" t="str">
        <f>'Gen CP'!$H70</f>
        <v>Research 2</v>
      </c>
      <c r="CD66" s="244"/>
      <c r="CE66" s="243" t="str">
        <f>'Gen CP'!$H70</f>
        <v>Research 2</v>
      </c>
      <c r="CF66" s="244"/>
      <c r="CG66" s="164" t="s">
        <v>342</v>
      </c>
      <c r="CH66" s="245"/>
      <c r="CI66" s="243" t="str">
        <f>'Gen CP'!$I70</f>
        <v>MIL</v>
      </c>
      <c r="CJ66" s="244"/>
      <c r="CK66" s="243" t="str">
        <f>'Gen CP'!$I70</f>
        <v>MIL</v>
      </c>
      <c r="CL66" s="244"/>
      <c r="CM66" s="254" t="str">
        <f>'Gen CP'!$I70</f>
        <v>MIL</v>
      </c>
      <c r="CN66" s="255"/>
      <c r="CO66" s="243" t="str">
        <f>'Gen CP'!$I70</f>
        <v>MIL</v>
      </c>
      <c r="CP66" s="244"/>
      <c r="CQ66" s="243" t="str">
        <f>'Gen CP'!$I70</f>
        <v>MIL</v>
      </c>
      <c r="CR66" s="244"/>
      <c r="CS66" s="164" t="s">
        <v>342</v>
      </c>
      <c r="CT66" s="245"/>
      <c r="CU66" s="246" t="str">
        <f>'Gen CP'!$J70</f>
        <v>21st Cen Lit</v>
      </c>
      <c r="CV66" s="247"/>
      <c r="CW66" s="246" t="str">
        <f>'Gen CP'!$J70</f>
        <v>21st Cen Lit</v>
      </c>
      <c r="CX66" s="247"/>
      <c r="CY66" s="246" t="str">
        <f>'Gen CP'!$J70</f>
        <v>21st Cen Lit</v>
      </c>
      <c r="CZ66" s="247"/>
      <c r="DA66" s="246" t="str">
        <f>'Gen CP'!$J70</f>
        <v>21st Cen Lit</v>
      </c>
      <c r="DB66" s="247"/>
      <c r="DC66" s="246" t="str">
        <f>'Gen CP'!$J70</f>
        <v>21st Cen Lit</v>
      </c>
      <c r="DD66" s="247"/>
      <c r="DE66" s="164" t="s">
        <v>342</v>
      </c>
      <c r="DF66" s="245"/>
      <c r="DG66" s="243" t="str">
        <f>'Gen CP'!$K70</f>
        <v>Cookery</v>
      </c>
      <c r="DH66" s="244"/>
      <c r="DI66" s="243" t="str">
        <f>'Gen CP'!$K70</f>
        <v>Cookery</v>
      </c>
      <c r="DJ66" s="244"/>
      <c r="DK66" s="243" t="str">
        <f>'Gen CP'!$K70</f>
        <v>Cookery</v>
      </c>
      <c r="DL66" s="244"/>
      <c r="DM66" s="243" t="str">
        <f>'Gen CP'!$K70</f>
        <v>Cookery</v>
      </c>
      <c r="DN66" s="244"/>
      <c r="DO66" s="243" t="str">
        <f>'Gen CP'!$K70</f>
        <v>Cookery</v>
      </c>
      <c r="DP66" s="244"/>
      <c r="DQ66" s="164" t="s">
        <v>342</v>
      </c>
      <c r="DR66" s="245"/>
      <c r="DS66" s="243"/>
      <c r="DT66" s="244"/>
      <c r="DU66" s="243"/>
      <c r="DV66" s="244"/>
      <c r="DW66" s="243"/>
      <c r="DX66" s="244"/>
      <c r="DY66" s="243"/>
      <c r="DZ66" s="244"/>
      <c r="EA66" s="243"/>
      <c r="EB66" s="244"/>
      <c r="EC66" s="164" t="s">
        <v>342</v>
      </c>
      <c r="ED66" s="245"/>
      <c r="EE66" s="243"/>
      <c r="EF66" s="244"/>
      <c r="EG66" s="264"/>
      <c r="EH66" s="264"/>
      <c r="EI66" s="243"/>
      <c r="EJ66" s="244"/>
      <c r="EK66" s="243"/>
      <c r="EL66" s="244"/>
      <c r="EM66" s="264"/>
      <c r="EN66" s="264"/>
      <c r="EO66" s="265" t="s">
        <v>28</v>
      </c>
      <c r="EP66" s="245">
        <v>60</v>
      </c>
      <c r="EQ66" s="264"/>
      <c r="ER66" s="264"/>
      <c r="ES66" s="264"/>
      <c r="ET66" s="264"/>
      <c r="EU66" s="243"/>
      <c r="EV66" s="244"/>
      <c r="EW66" s="264"/>
      <c r="EX66" s="264"/>
      <c r="EY66" s="264"/>
      <c r="EZ66" s="264"/>
      <c r="FA66" s="265" t="s">
        <v>28</v>
      </c>
      <c r="FB66" s="245">
        <v>60</v>
      </c>
      <c r="FC66" s="264"/>
      <c r="FD66" s="264"/>
      <c r="FE66" s="264"/>
      <c r="FF66" s="264"/>
      <c r="FG66" s="243"/>
      <c r="FH66" s="244"/>
      <c r="FI66" s="264"/>
      <c r="FJ66" s="264"/>
      <c r="FK66" s="264"/>
      <c r="FL66" s="264"/>
      <c r="FM66" s="265" t="s">
        <v>28</v>
      </c>
      <c r="FN66" s="245">
        <v>60</v>
      </c>
      <c r="FO66" s="264"/>
      <c r="FP66" s="264"/>
      <c r="FQ66" s="264"/>
      <c r="FR66" s="264"/>
      <c r="FS66" s="243"/>
      <c r="FT66" s="244"/>
      <c r="FU66" s="264"/>
      <c r="FV66" s="264"/>
      <c r="FW66" s="264"/>
      <c r="FX66" s="264"/>
      <c r="FY66" s="164" t="s">
        <v>342</v>
      </c>
      <c r="FZ66" s="245"/>
      <c r="GA66" s="243"/>
      <c r="GB66" s="244"/>
      <c r="GC66" s="264"/>
      <c r="GD66" s="264"/>
      <c r="GE66" s="243"/>
      <c r="GF66" s="244"/>
      <c r="GG66" s="243"/>
      <c r="GH66" s="244"/>
      <c r="GI66" s="264"/>
      <c r="GJ66" s="264"/>
    </row>
    <row r="67" spans="1:194">
      <c r="A67" s="165"/>
      <c r="B67" s="245"/>
      <c r="C67" s="243" t="str">
        <f>'Gen CP'!$B71</f>
        <v>Sarmiento F</v>
      </c>
      <c r="D67" s="244"/>
      <c r="E67" s="243" t="str">
        <f>'Gen CP'!$B71</f>
        <v>Sarmiento F</v>
      </c>
      <c r="F67" s="244"/>
      <c r="G67" s="243" t="str">
        <f>'Gen CP'!$B71</f>
        <v>Sarmiento F</v>
      </c>
      <c r="H67" s="244"/>
      <c r="I67" s="243" t="str">
        <f>'Gen CP'!$B71</f>
        <v>Sarmiento F</v>
      </c>
      <c r="J67" s="244"/>
      <c r="K67" s="243" t="s">
        <v>40</v>
      </c>
      <c r="L67" s="244"/>
      <c r="M67" s="165"/>
      <c r="N67" s="245"/>
      <c r="O67" s="243" t="str">
        <f>'Gen CP'!$C71</f>
        <v>Gardoce J</v>
      </c>
      <c r="P67" s="244"/>
      <c r="Q67" s="243" t="str">
        <f>'Gen CP'!$C71</f>
        <v>Gardoce J</v>
      </c>
      <c r="R67" s="244"/>
      <c r="S67" s="243" t="str">
        <f>'Gen CP'!$C71</f>
        <v>Gardoce J</v>
      </c>
      <c r="T67" s="244"/>
      <c r="U67" s="243" t="str">
        <f>'Gen CP'!$C71</f>
        <v>Gardoce J</v>
      </c>
      <c r="V67" s="244"/>
      <c r="W67" s="243" t="str">
        <f>'Gen CP'!$C71</f>
        <v>Gardoce J</v>
      </c>
      <c r="X67" s="244"/>
      <c r="Y67" s="165"/>
      <c r="Z67" s="245"/>
      <c r="AA67" s="243" t="str">
        <f>'Gen CP'!$D71</f>
        <v>Carillo R</v>
      </c>
      <c r="AB67" s="244"/>
      <c r="AC67" s="243" t="str">
        <f>'Gen CP'!$D71</f>
        <v>Carillo R</v>
      </c>
      <c r="AD67" s="244"/>
      <c r="AE67" s="243" t="str">
        <f>'Gen CP'!$D71</f>
        <v>Carillo R</v>
      </c>
      <c r="AF67" s="244"/>
      <c r="AG67" s="243" t="str">
        <f>'Gen CP'!$D71</f>
        <v>Carillo R</v>
      </c>
      <c r="AH67" s="244"/>
      <c r="AI67" s="243" t="str">
        <f>'Gen CP'!$D71</f>
        <v>Carillo R</v>
      </c>
      <c r="AJ67" s="244"/>
      <c r="AK67" s="165"/>
      <c r="AL67" s="245"/>
      <c r="AM67" s="243" t="str">
        <f>'Gen CP'!$E71</f>
        <v>Tamondong A</v>
      </c>
      <c r="AN67" s="244"/>
      <c r="AO67" s="243" t="str">
        <f>'Gen CP'!$E71</f>
        <v>Tamondong A</v>
      </c>
      <c r="AP67" s="244"/>
      <c r="AQ67" s="243" t="str">
        <f>'Gen CP'!$E71</f>
        <v>Tamondong A</v>
      </c>
      <c r="AR67" s="244"/>
      <c r="AS67" s="243" t="str">
        <f>'Gen CP'!$E71</f>
        <v>Tamondong A</v>
      </c>
      <c r="AT67" s="244"/>
      <c r="AU67" s="243" t="str">
        <f>'Gen CP'!$E71</f>
        <v>Tamondong A</v>
      </c>
      <c r="AV67" s="244"/>
      <c r="AW67" s="165"/>
      <c r="AX67" s="245"/>
      <c r="AY67" s="243" t="str">
        <f>'Gen CP'!$F71</f>
        <v>Mamaid MC</v>
      </c>
      <c r="AZ67" s="244"/>
      <c r="BA67" s="243" t="str">
        <f>'Gen CP'!$F71</f>
        <v>Mamaid MC</v>
      </c>
      <c r="BB67" s="244"/>
      <c r="BC67" s="243" t="str">
        <f>'Gen CP'!$F71</f>
        <v>Mamaid MC</v>
      </c>
      <c r="BD67" s="244"/>
      <c r="BE67" s="243" t="str">
        <f>'Gen CP'!$F71</f>
        <v>Mamaid MC</v>
      </c>
      <c r="BF67" s="244"/>
      <c r="BG67" s="243" t="str">
        <f>'Gen CP'!$F71</f>
        <v>Mamaid MC</v>
      </c>
      <c r="BH67" s="244"/>
      <c r="BI67" s="165"/>
      <c r="BJ67" s="245"/>
      <c r="BK67" s="243" t="str">
        <f>'Gen CP'!$G71</f>
        <v>Lorenzo C</v>
      </c>
      <c r="BL67" s="244"/>
      <c r="BM67" s="243" t="str">
        <f>'Gen CP'!$G71</f>
        <v>Lorenzo C</v>
      </c>
      <c r="BN67" s="244"/>
      <c r="BO67" s="243" t="str">
        <f>'Gen CP'!$G71</f>
        <v>Lorenzo C</v>
      </c>
      <c r="BP67" s="244"/>
      <c r="BQ67" s="243" t="str">
        <f>'Gen CP'!$G71</f>
        <v>Lorenzo C</v>
      </c>
      <c r="BR67" s="244"/>
      <c r="BS67" s="243" t="str">
        <f>'Gen CP'!$G71</f>
        <v>Lorenzo C</v>
      </c>
      <c r="BT67" s="244"/>
      <c r="BU67" s="165"/>
      <c r="BV67" s="245"/>
      <c r="BW67" s="243" t="str">
        <f>'Gen CP'!$H71</f>
        <v>Bartolome H</v>
      </c>
      <c r="BX67" s="244"/>
      <c r="BY67" s="254" t="str">
        <f>'Gen CP'!$H71</f>
        <v>Bartolome H</v>
      </c>
      <c r="BZ67" s="255"/>
      <c r="CA67" s="243" t="str">
        <f>'Gen CP'!$H71</f>
        <v>Bartolome H</v>
      </c>
      <c r="CB67" s="244"/>
      <c r="CC67" s="243" t="str">
        <f>'Gen CP'!$H71</f>
        <v>Bartolome H</v>
      </c>
      <c r="CD67" s="244"/>
      <c r="CE67" s="243" t="str">
        <f>'Gen CP'!$H71</f>
        <v>Bartolome H</v>
      </c>
      <c r="CF67" s="244"/>
      <c r="CG67" s="165"/>
      <c r="CH67" s="245"/>
      <c r="CI67" s="243" t="str">
        <f>'Gen CP'!$I71</f>
        <v>De Leon I</v>
      </c>
      <c r="CJ67" s="244"/>
      <c r="CK67" s="243" t="str">
        <f>'Gen CP'!$I71</f>
        <v>De Leon I</v>
      </c>
      <c r="CL67" s="244"/>
      <c r="CM67" s="254" t="str">
        <f>'Gen CP'!$I71</f>
        <v>De Leon I</v>
      </c>
      <c r="CN67" s="255"/>
      <c r="CO67" s="243" t="str">
        <f>'Gen CP'!$I71</f>
        <v>De Leon I</v>
      </c>
      <c r="CP67" s="244"/>
      <c r="CQ67" s="243" t="str">
        <f>'Gen CP'!$I71</f>
        <v>De Leon I</v>
      </c>
      <c r="CR67" s="244"/>
      <c r="CS67" s="165"/>
      <c r="CT67" s="245"/>
      <c r="CU67" s="246" t="str">
        <f>'Gen CP'!$J71</f>
        <v>Valdez R</v>
      </c>
      <c r="CV67" s="247"/>
      <c r="CW67" s="246" t="str">
        <f>'Gen CP'!$J71</f>
        <v>Valdez R</v>
      </c>
      <c r="CX67" s="247"/>
      <c r="CY67" s="246" t="str">
        <f>'Gen CP'!$J71</f>
        <v>Valdez R</v>
      </c>
      <c r="CZ67" s="247"/>
      <c r="DA67" s="246" t="str">
        <f>'Gen CP'!$J71</f>
        <v>Valdez R</v>
      </c>
      <c r="DB67" s="247"/>
      <c r="DC67" s="246" t="str">
        <f>'Gen CP'!$J71</f>
        <v>Valdez R</v>
      </c>
      <c r="DD67" s="247"/>
      <c r="DE67" s="165"/>
      <c r="DF67" s="245"/>
      <c r="DG67" s="243" t="str">
        <f>'Gen CP'!$K71</f>
        <v>Maniquiz T</v>
      </c>
      <c r="DH67" s="244"/>
      <c r="DI67" s="243" t="str">
        <f>'Gen CP'!$K71</f>
        <v>Maniquiz T</v>
      </c>
      <c r="DJ67" s="244"/>
      <c r="DK67" s="243" t="str">
        <f>'Gen CP'!$K71</f>
        <v>Maniquiz T</v>
      </c>
      <c r="DL67" s="244"/>
      <c r="DM67" s="243" t="str">
        <f>'Gen CP'!$K71</f>
        <v>Maniquiz T</v>
      </c>
      <c r="DN67" s="244"/>
      <c r="DO67" s="243" t="str">
        <f>'Gen CP'!$K71</f>
        <v>Maniquiz T</v>
      </c>
      <c r="DP67" s="244"/>
      <c r="DQ67" s="165"/>
      <c r="DR67" s="245"/>
      <c r="DS67" s="243"/>
      <c r="DT67" s="244"/>
      <c r="DU67" s="243"/>
      <c r="DV67" s="244"/>
      <c r="DW67" s="243"/>
      <c r="DX67" s="244"/>
      <c r="DY67" s="243"/>
      <c r="DZ67" s="244"/>
      <c r="EA67" s="243"/>
      <c r="EB67" s="244"/>
      <c r="EC67" s="165"/>
      <c r="ED67" s="245"/>
      <c r="EE67" s="243"/>
      <c r="EF67" s="244"/>
      <c r="EG67" s="264"/>
      <c r="EH67" s="264"/>
      <c r="EI67" s="243"/>
      <c r="EJ67" s="244"/>
      <c r="EK67" s="243"/>
      <c r="EL67" s="244"/>
      <c r="EM67" s="264"/>
      <c r="EN67" s="264"/>
      <c r="EO67" s="265"/>
      <c r="EP67" s="245"/>
      <c r="EQ67" s="264"/>
      <c r="ER67" s="264"/>
      <c r="ES67" s="264"/>
      <c r="ET67" s="264"/>
      <c r="EU67" s="264"/>
      <c r="EV67" s="264"/>
      <c r="EW67" s="264"/>
      <c r="EX67" s="264"/>
      <c r="EY67" s="264"/>
      <c r="EZ67" s="264"/>
      <c r="FA67" s="265"/>
      <c r="FB67" s="245"/>
      <c r="FC67" s="264"/>
      <c r="FD67" s="264"/>
      <c r="FE67" s="264"/>
      <c r="FF67" s="264"/>
      <c r="FG67" s="264"/>
      <c r="FH67" s="264"/>
      <c r="FI67" s="264"/>
      <c r="FJ67" s="264"/>
      <c r="FK67" s="264"/>
      <c r="FL67" s="264"/>
      <c r="FM67" s="265"/>
      <c r="FN67" s="245"/>
      <c r="FO67" s="264"/>
      <c r="FP67" s="264"/>
      <c r="FQ67" s="264"/>
      <c r="FR67" s="264"/>
      <c r="FS67" s="264"/>
      <c r="FT67" s="264"/>
      <c r="FU67" s="264"/>
      <c r="FV67" s="264"/>
      <c r="FW67" s="264"/>
      <c r="FX67" s="264"/>
      <c r="FY67" s="165"/>
      <c r="FZ67" s="245"/>
      <c r="GA67" s="243"/>
      <c r="GB67" s="244"/>
      <c r="GC67" s="264"/>
      <c r="GD67" s="264"/>
      <c r="GE67" s="243"/>
      <c r="GF67" s="244"/>
      <c r="GG67" s="243"/>
      <c r="GH67" s="244"/>
      <c r="GI67" s="264"/>
      <c r="GJ67" s="264"/>
    </row>
    <row r="68" spans="1:194" ht="15" customHeight="1">
      <c r="A68" s="164" t="s">
        <v>343</v>
      </c>
      <c r="B68" s="245" t="s">
        <v>51</v>
      </c>
      <c r="C68" s="243" t="str">
        <f>'Gen CP'!$B72</f>
        <v>21st Cen Lit</v>
      </c>
      <c r="D68" s="244"/>
      <c r="E68" s="243" t="str">
        <f>'Gen CP'!$B72</f>
        <v>21st Cen Lit</v>
      </c>
      <c r="F68" s="244"/>
      <c r="G68" s="243" t="str">
        <f>'Gen CP'!$B72</f>
        <v>21st Cen Lit</v>
      </c>
      <c r="H68" s="244"/>
      <c r="I68" s="243" t="str">
        <f>'Gen CP'!$B72</f>
        <v>21st Cen Lit</v>
      </c>
      <c r="J68" s="244"/>
      <c r="K68" s="243" t="str">
        <f>'Gen CP'!$B72</f>
        <v>21st Cen Lit</v>
      </c>
      <c r="L68" s="244"/>
      <c r="M68" s="164" t="s">
        <v>343</v>
      </c>
      <c r="N68" s="245" t="s">
        <v>51</v>
      </c>
      <c r="O68" s="243" t="str">
        <f>'Gen CP'!$C72</f>
        <v>PPG</v>
      </c>
      <c r="P68" s="244"/>
      <c r="Q68" s="243" t="s">
        <v>382</v>
      </c>
      <c r="R68" s="244"/>
      <c r="S68" s="243" t="str">
        <f>'Gen CP'!$C72</f>
        <v>PPG</v>
      </c>
      <c r="T68" s="244"/>
      <c r="U68" s="243" t="str">
        <f>'Gen CP'!$C72</f>
        <v>PPG</v>
      </c>
      <c r="V68" s="244"/>
      <c r="W68" s="243" t="str">
        <f>'Gen CP'!$C72</f>
        <v>PPG</v>
      </c>
      <c r="X68" s="244"/>
      <c r="Y68" s="164" t="s">
        <v>343</v>
      </c>
      <c r="Z68" s="245" t="s">
        <v>51</v>
      </c>
      <c r="AA68" s="243" t="str">
        <f>'Gen CP'!$D72</f>
        <v>DIASS</v>
      </c>
      <c r="AB68" s="244"/>
      <c r="AC68" s="243" t="str">
        <f>'Gen CP'!$D72</f>
        <v>DIASS</v>
      </c>
      <c r="AD68" s="244"/>
      <c r="AE68" s="243" t="s">
        <v>382</v>
      </c>
      <c r="AF68" s="244"/>
      <c r="AG68" s="243" t="str">
        <f>'Gen CP'!$D72</f>
        <v>DIASS</v>
      </c>
      <c r="AH68" s="244"/>
      <c r="AI68" s="243" t="str">
        <f>'Gen CP'!$D72</f>
        <v>DIASS</v>
      </c>
      <c r="AJ68" s="244"/>
      <c r="AK68" s="164" t="s">
        <v>343</v>
      </c>
      <c r="AL68" s="245" t="s">
        <v>51</v>
      </c>
      <c r="AM68" s="243" t="str">
        <f>'Gen CP'!$E72</f>
        <v>Research 2</v>
      </c>
      <c r="AN68" s="244"/>
      <c r="AO68" s="243" t="str">
        <f>'Gen CP'!$E72</f>
        <v>Research 2</v>
      </c>
      <c r="AP68" s="244"/>
      <c r="AQ68" s="243" t="str">
        <f>'Gen CP'!$E72</f>
        <v>Research 2</v>
      </c>
      <c r="AR68" s="244"/>
      <c r="AS68" s="243" t="str">
        <f>'Gen CP'!$E72</f>
        <v>Research 2</v>
      </c>
      <c r="AT68" s="244"/>
      <c r="AU68" s="243" t="str">
        <f>'Gen CP'!$E72</f>
        <v>Research 2</v>
      </c>
      <c r="AV68" s="244"/>
      <c r="AW68" s="164" t="s">
        <v>343</v>
      </c>
      <c r="AX68" s="245" t="s">
        <v>51</v>
      </c>
      <c r="AY68" s="243" t="str">
        <f>'Gen CP'!$F72</f>
        <v>World Religions</v>
      </c>
      <c r="AZ68" s="244"/>
      <c r="BA68" s="243" t="s">
        <v>375</v>
      </c>
      <c r="BB68" s="244"/>
      <c r="BC68" s="243" t="str">
        <f>'Gen CP'!$F72</f>
        <v>World Religions</v>
      </c>
      <c r="BD68" s="244"/>
      <c r="BE68" s="243" t="str">
        <f>'Gen CP'!$F72</f>
        <v>World Religions</v>
      </c>
      <c r="BF68" s="244"/>
      <c r="BG68" s="243" t="str">
        <f>'Gen CP'!$F72</f>
        <v>World Religions</v>
      </c>
      <c r="BH68" s="244"/>
      <c r="BI68" s="164" t="s">
        <v>343</v>
      </c>
      <c r="BJ68" s="245" t="s">
        <v>51</v>
      </c>
      <c r="BK68" s="243" t="str">
        <f>'Gen CP'!$G72</f>
        <v>MIL</v>
      </c>
      <c r="BL68" s="244"/>
      <c r="BM68" s="243" t="str">
        <f>'Gen CP'!$G72</f>
        <v>MIL</v>
      </c>
      <c r="BN68" s="244"/>
      <c r="BO68" s="243" t="s">
        <v>375</v>
      </c>
      <c r="BP68" s="244"/>
      <c r="BQ68" s="254" t="str">
        <f>'Gen CP'!$G72</f>
        <v>MIL</v>
      </c>
      <c r="BR68" s="255"/>
      <c r="BS68" s="254" t="str">
        <f>'Gen CP'!$G72</f>
        <v>MIL</v>
      </c>
      <c r="BT68" s="255"/>
      <c r="BU68" s="299" t="s">
        <v>520</v>
      </c>
      <c r="BV68" s="245" t="s">
        <v>51</v>
      </c>
      <c r="BW68" s="243" t="str">
        <f>'Gen CP'!$H72</f>
        <v>SMAW NC II</v>
      </c>
      <c r="BX68" s="244"/>
      <c r="BY68" s="243" t="str">
        <f>'Gen CP'!$H72</f>
        <v>SMAW NC II</v>
      </c>
      <c r="BZ68" s="244"/>
      <c r="CA68" s="243" t="str">
        <f>'Gen CP'!$H72</f>
        <v>SMAW NC II</v>
      </c>
      <c r="CB68" s="244"/>
      <c r="CC68" s="243" t="str">
        <f>'Gen CP'!$H72</f>
        <v>SMAW NC II</v>
      </c>
      <c r="CD68" s="244"/>
      <c r="CE68" s="243" t="s">
        <v>375</v>
      </c>
      <c r="CF68" s="244"/>
      <c r="CG68" s="164" t="s">
        <v>343</v>
      </c>
      <c r="CH68" s="245" t="s">
        <v>51</v>
      </c>
      <c r="CI68" s="243" t="str">
        <f>'Gen CP'!$I72</f>
        <v>Piling Larang</v>
      </c>
      <c r="CJ68" s="244"/>
      <c r="CK68" s="243" t="str">
        <f>'Gen CP'!$I72</f>
        <v>Piling Larang</v>
      </c>
      <c r="CL68" s="244"/>
      <c r="CM68" s="243" t="str">
        <f>'Gen CP'!$I72</f>
        <v>Piling Larang</v>
      </c>
      <c r="CN68" s="244"/>
      <c r="CO68" s="243" t="str">
        <f>'Gen CP'!$I72</f>
        <v>Piling Larang</v>
      </c>
      <c r="CP68" s="244"/>
      <c r="CQ68" s="243" t="s">
        <v>314</v>
      </c>
      <c r="CR68" s="244"/>
      <c r="CS68" s="164" t="s">
        <v>343</v>
      </c>
      <c r="CT68" s="245" t="s">
        <v>51</v>
      </c>
      <c r="CU68" s="243" t="str">
        <f>'Gen CP'!$J72</f>
        <v>Philo</v>
      </c>
      <c r="CV68" s="244"/>
      <c r="CW68" s="243" t="str">
        <f>'Gen CP'!$J72</f>
        <v>Philo</v>
      </c>
      <c r="CX68" s="244"/>
      <c r="CY68" s="243" t="str">
        <f>'Gen CP'!$J72</f>
        <v>Philo</v>
      </c>
      <c r="CZ68" s="244"/>
      <c r="DA68" s="243" t="str">
        <f>'Gen CP'!$J72</f>
        <v>Philo</v>
      </c>
      <c r="DB68" s="244"/>
      <c r="DC68" s="243" t="str">
        <f>'Gen CP'!$J72</f>
        <v>Philo</v>
      </c>
      <c r="DD68" s="244"/>
      <c r="DE68" s="164" t="s">
        <v>343</v>
      </c>
      <c r="DF68" s="245" t="s">
        <v>51</v>
      </c>
      <c r="DG68" s="243" t="str">
        <f>'Gen CP'!$K72</f>
        <v>Cookery</v>
      </c>
      <c r="DH68" s="244"/>
      <c r="DI68" s="243" t="str">
        <f>'Gen CP'!$K72</f>
        <v>Cookery</v>
      </c>
      <c r="DJ68" s="244"/>
      <c r="DK68" s="243" t="str">
        <f>'Gen CP'!$K72</f>
        <v>Cookery</v>
      </c>
      <c r="DL68" s="244"/>
      <c r="DM68" s="243" t="str">
        <f>'Gen CP'!$K72</f>
        <v>Cookery</v>
      </c>
      <c r="DN68" s="244"/>
      <c r="DO68" s="243" t="str">
        <f>'Gen CP'!$K72</f>
        <v>Cookery</v>
      </c>
      <c r="DP68" s="244"/>
      <c r="DQ68" s="164" t="s">
        <v>343</v>
      </c>
      <c r="DR68" s="245" t="s">
        <v>51</v>
      </c>
      <c r="DS68" s="243"/>
      <c r="DT68" s="244"/>
      <c r="DU68" s="243"/>
      <c r="DV68" s="244"/>
      <c r="DW68" s="243"/>
      <c r="DX68" s="244"/>
      <c r="DY68" s="243"/>
      <c r="DZ68" s="244"/>
      <c r="EA68" s="243"/>
      <c r="EB68" s="244"/>
      <c r="EC68" s="164" t="s">
        <v>343</v>
      </c>
      <c r="ED68" s="245" t="s">
        <v>51</v>
      </c>
      <c r="EE68" s="264"/>
      <c r="EF68" s="264"/>
      <c r="EG68" s="264"/>
      <c r="EH68" s="264"/>
      <c r="EI68" s="264"/>
      <c r="EJ68" s="264"/>
      <c r="EK68" s="264"/>
      <c r="EL68" s="264"/>
      <c r="EM68" s="243"/>
      <c r="EN68" s="244"/>
      <c r="EO68" s="274" t="s">
        <v>29</v>
      </c>
      <c r="EP68" s="121"/>
      <c r="EQ68" s="243"/>
      <c r="ER68" s="244"/>
      <c r="ES68" s="115"/>
      <c r="ET68" s="116"/>
      <c r="EU68" s="243"/>
      <c r="EV68" s="244"/>
      <c r="EW68" s="243"/>
      <c r="EX68" s="244"/>
      <c r="EY68" s="276" t="s">
        <v>315</v>
      </c>
      <c r="EZ68" s="277"/>
      <c r="FA68" s="274" t="s">
        <v>29</v>
      </c>
      <c r="FB68" s="121"/>
      <c r="FC68" s="243"/>
      <c r="FD68" s="244"/>
      <c r="FE68" s="115"/>
      <c r="FF68" s="116"/>
      <c r="FG68" s="243"/>
      <c r="FH68" s="244"/>
      <c r="FI68" s="243"/>
      <c r="FJ68" s="244"/>
      <c r="FK68" s="276" t="s">
        <v>315</v>
      </c>
      <c r="FL68" s="277"/>
      <c r="FM68" s="274" t="s">
        <v>29</v>
      </c>
      <c r="FN68" s="121"/>
      <c r="FO68" s="243"/>
      <c r="FP68" s="244"/>
      <c r="FQ68" s="115"/>
      <c r="FR68" s="116"/>
      <c r="FS68" s="243"/>
      <c r="FT68" s="244"/>
      <c r="FU68" s="243"/>
      <c r="FV68" s="244"/>
      <c r="FW68" s="276" t="s">
        <v>315</v>
      </c>
      <c r="FX68" s="277"/>
      <c r="FY68" s="164" t="s">
        <v>343</v>
      </c>
      <c r="FZ68" s="245" t="s">
        <v>51</v>
      </c>
      <c r="GA68" s="264"/>
      <c r="GB68" s="264"/>
      <c r="GC68" s="264"/>
      <c r="GD68" s="264"/>
      <c r="GE68" s="264"/>
      <c r="GF68" s="264"/>
      <c r="GG68" s="264"/>
      <c r="GH68" s="264"/>
      <c r="GI68" s="243"/>
      <c r="GJ68" s="244"/>
    </row>
    <row r="69" spans="1:194">
      <c r="A69" s="165"/>
      <c r="B69" s="245"/>
      <c r="C69" s="243" t="str">
        <f>'Gen CP'!$B73</f>
        <v>Crisostomo R</v>
      </c>
      <c r="D69" s="244"/>
      <c r="E69" s="243" t="str">
        <f>'Gen CP'!$B73</f>
        <v>Crisostomo R</v>
      </c>
      <c r="F69" s="244"/>
      <c r="G69" s="243" t="str">
        <f>'Gen CP'!$B73</f>
        <v>Crisostomo R</v>
      </c>
      <c r="H69" s="244"/>
      <c r="I69" s="243" t="str">
        <f>'Gen CP'!$B73</f>
        <v>Crisostomo R</v>
      </c>
      <c r="J69" s="244"/>
      <c r="K69" s="243" t="str">
        <f>'Gen CP'!$B73</f>
        <v>Crisostomo R</v>
      </c>
      <c r="L69" s="244"/>
      <c r="M69" s="165"/>
      <c r="N69" s="245"/>
      <c r="O69" s="243" t="str">
        <f>'Gen CP'!$C73</f>
        <v>Almadin H</v>
      </c>
      <c r="P69" s="244"/>
      <c r="Q69" s="243" t="s">
        <v>281</v>
      </c>
      <c r="R69" s="244"/>
      <c r="S69" s="243" t="str">
        <f>'Gen CP'!$C73</f>
        <v>Almadin H</v>
      </c>
      <c r="T69" s="244"/>
      <c r="U69" s="243" t="str">
        <f>'Gen CP'!$C73</f>
        <v>Almadin H</v>
      </c>
      <c r="V69" s="244"/>
      <c r="W69" s="243" t="str">
        <f>'Gen CP'!$C73</f>
        <v>Almadin H</v>
      </c>
      <c r="X69" s="244"/>
      <c r="Y69" s="165"/>
      <c r="Z69" s="245"/>
      <c r="AA69" s="243" t="str">
        <f>'Gen CP'!$D73</f>
        <v>Gardoce J</v>
      </c>
      <c r="AB69" s="244"/>
      <c r="AC69" s="243" t="str">
        <f>'Gen CP'!$D73</f>
        <v>Gardoce J</v>
      </c>
      <c r="AD69" s="244"/>
      <c r="AE69" s="243" t="s">
        <v>386</v>
      </c>
      <c r="AF69" s="244"/>
      <c r="AG69" s="243" t="str">
        <f>'Gen CP'!$D73</f>
        <v>Gardoce J</v>
      </c>
      <c r="AH69" s="244"/>
      <c r="AI69" s="243" t="str">
        <f>'Gen CP'!$D73</f>
        <v>Gardoce J</v>
      </c>
      <c r="AJ69" s="244"/>
      <c r="AK69" s="165"/>
      <c r="AL69" s="245"/>
      <c r="AM69" s="243" t="str">
        <f>'Gen CP'!$E73</f>
        <v>Marcelo OJ</v>
      </c>
      <c r="AN69" s="244"/>
      <c r="AO69" s="243" t="str">
        <f>'Gen CP'!$E73</f>
        <v>Marcelo OJ</v>
      </c>
      <c r="AP69" s="244"/>
      <c r="AQ69" s="243" t="str">
        <f>'Gen CP'!$E73</f>
        <v>Marcelo OJ</v>
      </c>
      <c r="AR69" s="244"/>
      <c r="AS69" s="243" t="str">
        <f>'Gen CP'!$E73</f>
        <v>Marcelo OJ</v>
      </c>
      <c r="AT69" s="244"/>
      <c r="AU69" s="243" t="str">
        <f>'Gen CP'!$E73</f>
        <v>Marcelo OJ</v>
      </c>
      <c r="AV69" s="244"/>
      <c r="AW69" s="165"/>
      <c r="AX69" s="245"/>
      <c r="AY69" s="243" t="str">
        <f>'Gen CP'!$F73</f>
        <v>Carillo R</v>
      </c>
      <c r="AZ69" s="244"/>
      <c r="BA69" s="243" t="s">
        <v>381</v>
      </c>
      <c r="BB69" s="244"/>
      <c r="BC69" s="243" t="str">
        <f>'Gen CP'!$F73</f>
        <v>Carillo R</v>
      </c>
      <c r="BD69" s="244"/>
      <c r="BE69" s="243" t="str">
        <f>'Gen CP'!$F73</f>
        <v>Carillo R</v>
      </c>
      <c r="BF69" s="244"/>
      <c r="BG69" s="243" t="str">
        <f>'Gen CP'!$F73</f>
        <v>Carillo R</v>
      </c>
      <c r="BH69" s="244"/>
      <c r="BI69" s="165"/>
      <c r="BJ69" s="245"/>
      <c r="BK69" s="243" t="str">
        <f>'Gen CP'!$G73</f>
        <v>Valdez R</v>
      </c>
      <c r="BL69" s="244"/>
      <c r="BM69" s="243" t="str">
        <f>'Gen CP'!$G73</f>
        <v>Valdez R</v>
      </c>
      <c r="BN69" s="244"/>
      <c r="BO69" s="243" t="s">
        <v>381</v>
      </c>
      <c r="BP69" s="244"/>
      <c r="BQ69" s="254" t="str">
        <f>'Gen CP'!$G73</f>
        <v>Valdez R</v>
      </c>
      <c r="BR69" s="255"/>
      <c r="BS69" s="254" t="str">
        <f>'Gen CP'!$G73</f>
        <v>Valdez R</v>
      </c>
      <c r="BT69" s="255"/>
      <c r="BU69" s="300"/>
      <c r="BV69" s="245"/>
      <c r="BW69" s="243" t="str">
        <f>'Gen CP'!$H73</f>
        <v>Sarmiento F</v>
      </c>
      <c r="BX69" s="244"/>
      <c r="BY69" s="243" t="str">
        <f>'Gen CP'!$H73</f>
        <v>Sarmiento F</v>
      </c>
      <c r="BZ69" s="244"/>
      <c r="CA69" s="243" t="str">
        <f>'Gen CP'!$H73</f>
        <v>Sarmiento F</v>
      </c>
      <c r="CB69" s="244"/>
      <c r="CC69" s="243" t="str">
        <f>'Gen CP'!$H73</f>
        <v>Sarmiento F</v>
      </c>
      <c r="CD69" s="244"/>
      <c r="CE69" s="243" t="s">
        <v>381</v>
      </c>
      <c r="CF69" s="244"/>
      <c r="CG69" s="165"/>
      <c r="CH69" s="245"/>
      <c r="CI69" s="243" t="str">
        <f>'Gen CP'!$I73</f>
        <v>Lorenzo C</v>
      </c>
      <c r="CJ69" s="244"/>
      <c r="CK69" s="243" t="str">
        <f>'Gen CP'!$I73</f>
        <v>Lorenzo C</v>
      </c>
      <c r="CL69" s="244"/>
      <c r="CM69" s="243" t="str">
        <f>'Gen CP'!$I73</f>
        <v>Lorenzo C</v>
      </c>
      <c r="CN69" s="244"/>
      <c r="CO69" s="243" t="str">
        <f>'Gen CP'!$I73</f>
        <v>Lorenzo C</v>
      </c>
      <c r="CP69" s="244"/>
      <c r="CQ69" s="243" t="s">
        <v>18</v>
      </c>
      <c r="CR69" s="244"/>
      <c r="CS69" s="165"/>
      <c r="CT69" s="245"/>
      <c r="CU69" s="243" t="str">
        <f>'Gen CP'!$J73</f>
        <v>Domingo V</v>
      </c>
      <c r="CV69" s="244"/>
      <c r="CW69" s="243" t="str">
        <f>'Gen CP'!$J73</f>
        <v>Domingo V</v>
      </c>
      <c r="CX69" s="244"/>
      <c r="CY69" s="243" t="str">
        <f>'Gen CP'!$J73</f>
        <v>Domingo V</v>
      </c>
      <c r="CZ69" s="244"/>
      <c r="DA69" s="243" t="str">
        <f>'Gen CP'!$J73</f>
        <v>Domingo V</v>
      </c>
      <c r="DB69" s="244"/>
      <c r="DC69" s="243" t="str">
        <f>'Gen CP'!$J73</f>
        <v>Domingo V</v>
      </c>
      <c r="DD69" s="244"/>
      <c r="DE69" s="165"/>
      <c r="DF69" s="245"/>
      <c r="DG69" s="243" t="str">
        <f>'Gen CP'!$K73</f>
        <v>Maniquiz T</v>
      </c>
      <c r="DH69" s="244"/>
      <c r="DI69" s="243" t="str">
        <f>'Gen CP'!$K73</f>
        <v>Maniquiz T</v>
      </c>
      <c r="DJ69" s="244"/>
      <c r="DK69" s="243" t="str">
        <f>'Gen CP'!$K73</f>
        <v>Maniquiz T</v>
      </c>
      <c r="DL69" s="244"/>
      <c r="DM69" s="243" t="str">
        <f>'Gen CP'!$K73</f>
        <v>Maniquiz T</v>
      </c>
      <c r="DN69" s="244"/>
      <c r="DO69" s="243" t="str">
        <f>'Gen CP'!$K73</f>
        <v>Maniquiz T</v>
      </c>
      <c r="DP69" s="244"/>
      <c r="DQ69" s="165"/>
      <c r="DR69" s="245"/>
      <c r="DS69" s="243"/>
      <c r="DT69" s="244"/>
      <c r="DU69" s="243"/>
      <c r="DV69" s="244"/>
      <c r="DW69" s="243"/>
      <c r="DX69" s="244"/>
      <c r="DY69" s="243"/>
      <c r="DZ69" s="244"/>
      <c r="EA69" s="243"/>
      <c r="EB69" s="244"/>
      <c r="EC69" s="165"/>
      <c r="ED69" s="245"/>
      <c r="EE69" s="264"/>
      <c r="EF69" s="264"/>
      <c r="EG69" s="264"/>
      <c r="EH69" s="264"/>
      <c r="EI69" s="264"/>
      <c r="EJ69" s="264"/>
      <c r="EK69" s="264"/>
      <c r="EL69" s="264"/>
      <c r="EM69" s="243"/>
      <c r="EN69" s="244"/>
      <c r="EO69" s="275"/>
      <c r="EP69" s="121"/>
      <c r="EQ69" s="243"/>
      <c r="ER69" s="244"/>
      <c r="ES69" s="115"/>
      <c r="ET69" s="116"/>
      <c r="EU69" s="243"/>
      <c r="EV69" s="244"/>
      <c r="EW69" s="243"/>
      <c r="EX69" s="244"/>
      <c r="EY69" s="278"/>
      <c r="EZ69" s="279"/>
      <c r="FA69" s="275"/>
      <c r="FB69" s="121"/>
      <c r="FC69" s="243"/>
      <c r="FD69" s="244"/>
      <c r="FE69" s="115"/>
      <c r="FF69" s="116"/>
      <c r="FG69" s="243"/>
      <c r="FH69" s="244"/>
      <c r="FI69" s="243"/>
      <c r="FJ69" s="244"/>
      <c r="FK69" s="278"/>
      <c r="FL69" s="279"/>
      <c r="FM69" s="275"/>
      <c r="FN69" s="121"/>
      <c r="FO69" s="243"/>
      <c r="FP69" s="244"/>
      <c r="FQ69" s="115"/>
      <c r="FR69" s="116"/>
      <c r="FS69" s="243"/>
      <c r="FT69" s="244"/>
      <c r="FU69" s="243"/>
      <c r="FV69" s="244"/>
      <c r="FW69" s="278"/>
      <c r="FX69" s="279"/>
      <c r="FY69" s="165"/>
      <c r="FZ69" s="245"/>
      <c r="GA69" s="264"/>
      <c r="GB69" s="264"/>
      <c r="GC69" s="264"/>
      <c r="GD69" s="264"/>
      <c r="GE69" s="264"/>
      <c r="GF69" s="264"/>
      <c r="GG69" s="264"/>
      <c r="GH69" s="264"/>
      <c r="GI69" s="243"/>
      <c r="GJ69" s="244"/>
    </row>
    <row r="70" spans="1:194" ht="15" customHeight="1">
      <c r="A70" s="119" t="s">
        <v>390</v>
      </c>
      <c r="B70" s="251" t="s">
        <v>179</v>
      </c>
      <c r="C70" s="252"/>
      <c r="D70" s="252"/>
      <c r="E70" s="252"/>
      <c r="F70" s="252"/>
      <c r="G70" s="252"/>
      <c r="H70" s="252"/>
      <c r="I70" s="252"/>
      <c r="J70" s="252"/>
      <c r="K70" s="252"/>
      <c r="L70" s="253"/>
      <c r="M70" s="119" t="s">
        <v>390</v>
      </c>
      <c r="N70" s="251" t="s">
        <v>179</v>
      </c>
      <c r="O70" s="252"/>
      <c r="P70" s="252"/>
      <c r="Q70" s="252"/>
      <c r="R70" s="252"/>
      <c r="S70" s="252"/>
      <c r="T70" s="252"/>
      <c r="U70" s="252"/>
      <c r="V70" s="252"/>
      <c r="W70" s="252"/>
      <c r="X70" s="253"/>
      <c r="Y70" s="119" t="s">
        <v>390</v>
      </c>
      <c r="Z70" s="251" t="s">
        <v>179</v>
      </c>
      <c r="AA70" s="252"/>
      <c r="AB70" s="252"/>
      <c r="AC70" s="252"/>
      <c r="AD70" s="252"/>
      <c r="AE70" s="252"/>
      <c r="AF70" s="252"/>
      <c r="AG70" s="252"/>
      <c r="AH70" s="252"/>
      <c r="AI70" s="252"/>
      <c r="AJ70" s="253"/>
      <c r="AK70" s="119" t="s">
        <v>390</v>
      </c>
      <c r="AL70" s="251" t="s">
        <v>179</v>
      </c>
      <c r="AM70" s="252"/>
      <c r="AN70" s="252"/>
      <c r="AO70" s="252"/>
      <c r="AP70" s="252"/>
      <c r="AQ70" s="252"/>
      <c r="AR70" s="252"/>
      <c r="AS70" s="252"/>
      <c r="AT70" s="252"/>
      <c r="AU70" s="252"/>
      <c r="AV70" s="253"/>
      <c r="AW70" s="119" t="s">
        <v>390</v>
      </c>
      <c r="AX70" s="251" t="s">
        <v>179</v>
      </c>
      <c r="AY70" s="252"/>
      <c r="AZ70" s="252"/>
      <c r="BA70" s="252"/>
      <c r="BB70" s="252"/>
      <c r="BC70" s="252"/>
      <c r="BD70" s="252"/>
      <c r="BE70" s="252"/>
      <c r="BF70" s="252"/>
      <c r="BG70" s="252"/>
      <c r="BH70" s="253"/>
      <c r="BI70" s="119" t="s">
        <v>390</v>
      </c>
      <c r="BJ70" s="251" t="s">
        <v>179</v>
      </c>
      <c r="BK70" s="252"/>
      <c r="BL70" s="252"/>
      <c r="BM70" s="252"/>
      <c r="BN70" s="252"/>
      <c r="BO70" s="252"/>
      <c r="BP70" s="252"/>
      <c r="BQ70" s="252"/>
      <c r="BR70" s="252"/>
      <c r="BS70" s="252"/>
      <c r="BT70" s="253"/>
      <c r="BU70" s="119" t="s">
        <v>390</v>
      </c>
      <c r="BV70" s="251" t="s">
        <v>179</v>
      </c>
      <c r="BW70" s="252"/>
      <c r="BX70" s="252"/>
      <c r="BY70" s="252"/>
      <c r="BZ70" s="252"/>
      <c r="CA70" s="252"/>
      <c r="CB70" s="252"/>
      <c r="CC70" s="252"/>
      <c r="CD70" s="252"/>
      <c r="CE70" s="252"/>
      <c r="CF70" s="253"/>
      <c r="CG70" s="119" t="s">
        <v>390</v>
      </c>
      <c r="CH70" s="251" t="s">
        <v>179</v>
      </c>
      <c r="CI70" s="252"/>
      <c r="CJ70" s="252"/>
      <c r="CK70" s="252"/>
      <c r="CL70" s="252"/>
      <c r="CM70" s="252"/>
      <c r="CN70" s="252"/>
      <c r="CO70" s="252"/>
      <c r="CP70" s="252"/>
      <c r="CQ70" s="252"/>
      <c r="CR70" s="253"/>
      <c r="CS70" s="119" t="s">
        <v>390</v>
      </c>
      <c r="CT70" s="251" t="s">
        <v>179</v>
      </c>
      <c r="CU70" s="252"/>
      <c r="CV70" s="252"/>
      <c r="CW70" s="252"/>
      <c r="CX70" s="252"/>
      <c r="CY70" s="252"/>
      <c r="CZ70" s="252"/>
      <c r="DA70" s="252"/>
      <c r="DB70" s="252"/>
      <c r="DC70" s="252"/>
      <c r="DD70" s="253"/>
      <c r="DE70" s="119" t="s">
        <v>390</v>
      </c>
      <c r="DF70" s="251" t="s">
        <v>179</v>
      </c>
      <c r="DG70" s="252"/>
      <c r="DH70" s="252"/>
      <c r="DI70" s="252"/>
      <c r="DJ70" s="252"/>
      <c r="DK70" s="252"/>
      <c r="DL70" s="252"/>
      <c r="DM70" s="252"/>
      <c r="DN70" s="252"/>
      <c r="DO70" s="252"/>
      <c r="DP70" s="253"/>
      <c r="DQ70" s="119" t="s">
        <v>336</v>
      </c>
      <c r="DR70" s="251" t="s">
        <v>179</v>
      </c>
      <c r="DS70" s="252"/>
      <c r="DT70" s="252"/>
      <c r="DU70" s="252"/>
      <c r="DV70" s="252"/>
      <c r="DW70" s="252"/>
      <c r="DX70" s="252"/>
      <c r="DY70" s="252"/>
      <c r="DZ70" s="253"/>
      <c r="EA70" s="267" t="s">
        <v>339</v>
      </c>
      <c r="EB70" s="268"/>
      <c r="EC70" s="119" t="s">
        <v>336</v>
      </c>
      <c r="ED70" s="251" t="s">
        <v>179</v>
      </c>
      <c r="EE70" s="252"/>
      <c r="EF70" s="252"/>
      <c r="EG70" s="252"/>
      <c r="EH70" s="252"/>
      <c r="EI70" s="252"/>
      <c r="EJ70" s="252"/>
      <c r="EK70" s="252"/>
      <c r="EL70" s="253"/>
      <c r="EM70" s="267" t="s">
        <v>339</v>
      </c>
      <c r="EN70" s="268"/>
      <c r="EO70" s="119"/>
      <c r="EP70" s="121"/>
      <c r="EQ70" s="115"/>
      <c r="ER70" s="116"/>
      <c r="ES70" s="115"/>
      <c r="ET70" s="116"/>
      <c r="EU70" s="115"/>
      <c r="EV70" s="116"/>
      <c r="EW70" s="115"/>
      <c r="EX70" s="116"/>
      <c r="EY70" s="278"/>
      <c r="EZ70" s="279"/>
      <c r="FA70" s="119"/>
      <c r="FB70" s="121"/>
      <c r="FC70" s="115"/>
      <c r="FD70" s="116"/>
      <c r="FE70" s="115"/>
      <c r="FF70" s="116"/>
      <c r="FG70" s="115"/>
      <c r="FH70" s="116"/>
      <c r="FI70" s="115"/>
      <c r="FJ70" s="116"/>
      <c r="FK70" s="278"/>
      <c r="FL70" s="279"/>
      <c r="FM70" s="119"/>
      <c r="FN70" s="121"/>
      <c r="FO70" s="115"/>
      <c r="FP70" s="116"/>
      <c r="FQ70" s="115"/>
      <c r="FR70" s="116"/>
      <c r="FS70" s="115"/>
      <c r="FT70" s="116"/>
      <c r="FU70" s="115"/>
      <c r="FV70" s="116"/>
      <c r="FW70" s="278"/>
      <c r="FX70" s="279"/>
      <c r="FY70" s="119" t="s">
        <v>336</v>
      </c>
      <c r="FZ70" s="251" t="s">
        <v>179</v>
      </c>
      <c r="GA70" s="252"/>
      <c r="GB70" s="252"/>
      <c r="GC70" s="252"/>
      <c r="GD70" s="252"/>
      <c r="GE70" s="252"/>
      <c r="GF70" s="252"/>
      <c r="GG70" s="252"/>
      <c r="GH70" s="253"/>
      <c r="GI70" s="267" t="s">
        <v>339</v>
      </c>
      <c r="GJ70" s="268"/>
    </row>
    <row r="71" spans="1:194" ht="15" customHeight="1">
      <c r="A71" s="137" t="s">
        <v>29</v>
      </c>
      <c r="B71" s="245"/>
      <c r="C71" s="243" t="str">
        <f>'Gen CP'!$B75</f>
        <v>Physics 1</v>
      </c>
      <c r="D71" s="244"/>
      <c r="E71" s="243" t="str">
        <f>'Gen CP'!$B75</f>
        <v>Physics 1</v>
      </c>
      <c r="F71" s="244"/>
      <c r="G71" s="243" t="str">
        <f>'Gen CP'!$B75</f>
        <v>Physics 1</v>
      </c>
      <c r="H71" s="244"/>
      <c r="I71" s="243" t="str">
        <f>'Gen CP'!$B75</f>
        <v>Physics 1</v>
      </c>
      <c r="J71" s="244"/>
      <c r="K71" s="289" t="str">
        <f>K53</f>
        <v>Research 2</v>
      </c>
      <c r="L71" s="290"/>
      <c r="M71" s="137" t="s">
        <v>29</v>
      </c>
      <c r="N71" s="245"/>
      <c r="O71" s="243" t="str">
        <f>'Gen CP'!$C75</f>
        <v>World Religions</v>
      </c>
      <c r="P71" s="244"/>
      <c r="Q71" s="243" t="str">
        <f>'Gen CP'!$C75</f>
        <v>World Religions</v>
      </c>
      <c r="R71" s="244"/>
      <c r="S71" s="243" t="str">
        <f>'Gen CP'!$C75</f>
        <v>World Religions</v>
      </c>
      <c r="T71" s="244"/>
      <c r="U71" s="243" t="str">
        <f>'Gen CP'!$C75</f>
        <v>World Religions</v>
      </c>
      <c r="V71" s="244"/>
      <c r="W71" s="289" t="str">
        <f>W53</f>
        <v>Philo</v>
      </c>
      <c r="X71" s="290"/>
      <c r="Y71" s="137" t="s">
        <v>29</v>
      </c>
      <c r="Z71" s="245"/>
      <c r="AA71" s="243" t="str">
        <f>'Gen CP'!$D75</f>
        <v>CPAR</v>
      </c>
      <c r="AB71" s="244"/>
      <c r="AC71" s="243" t="str">
        <f>'Gen CP'!$D75</f>
        <v>CPAR</v>
      </c>
      <c r="AD71" s="244"/>
      <c r="AE71" s="243" t="str">
        <f>'Gen CP'!$D75</f>
        <v>CPAR</v>
      </c>
      <c r="AF71" s="244"/>
      <c r="AG71" s="243" t="str">
        <f>'Gen CP'!$D75</f>
        <v>CPAR</v>
      </c>
      <c r="AH71" s="244"/>
      <c r="AI71" s="289" t="str">
        <f>AI53</f>
        <v>Philo</v>
      </c>
      <c r="AJ71" s="290"/>
      <c r="AK71" s="137" t="s">
        <v>29</v>
      </c>
      <c r="AL71" s="245"/>
      <c r="AM71" s="243" t="str">
        <f>'Gen CP'!$E75</f>
        <v>Philo</v>
      </c>
      <c r="AN71" s="244"/>
      <c r="AO71" s="243" t="str">
        <f>'Gen CP'!$E75</f>
        <v>Philo</v>
      </c>
      <c r="AP71" s="244"/>
      <c r="AQ71" s="243" t="str">
        <f>'Gen CP'!$E75</f>
        <v>Philo</v>
      </c>
      <c r="AR71" s="244"/>
      <c r="AS71" s="243" t="str">
        <f>'Gen CP'!$E75</f>
        <v>Philo</v>
      </c>
      <c r="AT71" s="244"/>
      <c r="AU71" s="289" t="str">
        <f>AU53</f>
        <v>PPG</v>
      </c>
      <c r="AV71" s="290"/>
      <c r="AW71" s="137" t="s">
        <v>29</v>
      </c>
      <c r="AX71" s="245" t="s">
        <v>51</v>
      </c>
      <c r="AY71" s="243" t="str">
        <f>'Gen CP'!$F75</f>
        <v>Creative Non-Fiction</v>
      </c>
      <c r="AZ71" s="244"/>
      <c r="BA71" s="243" t="str">
        <f>'Gen CP'!$F75</f>
        <v>Creative Non-Fiction</v>
      </c>
      <c r="BB71" s="244"/>
      <c r="BC71" s="243" t="str">
        <f>'Gen CP'!$F75</f>
        <v>Creative Non-Fiction</v>
      </c>
      <c r="BD71" s="244"/>
      <c r="BE71" s="243" t="str">
        <f>'Gen CP'!$F75</f>
        <v>Creative Non-Fiction</v>
      </c>
      <c r="BF71" s="244"/>
      <c r="BG71" s="289" t="str">
        <f>BG53</f>
        <v>Piling Larang</v>
      </c>
      <c r="BH71" s="290"/>
      <c r="BI71" s="137" t="s">
        <v>29</v>
      </c>
      <c r="BJ71" s="245"/>
      <c r="BK71" s="243" t="str">
        <f>'Gen CP'!$G75</f>
        <v>CPAR</v>
      </c>
      <c r="BL71" s="244"/>
      <c r="BM71" s="243" t="str">
        <f>'Gen CP'!$G75</f>
        <v>CPAR</v>
      </c>
      <c r="BN71" s="244"/>
      <c r="BO71" s="243" t="str">
        <f>'Gen CP'!$G75</f>
        <v>CPAR</v>
      </c>
      <c r="BP71" s="244"/>
      <c r="BQ71" s="243" t="str">
        <f>'Gen CP'!$G75</f>
        <v>CPAR</v>
      </c>
      <c r="BR71" s="244"/>
      <c r="BS71" s="289" t="str">
        <f>BS53</f>
        <v>Philo</v>
      </c>
      <c r="BT71" s="290"/>
      <c r="BU71" s="137" t="s">
        <v>29</v>
      </c>
      <c r="BV71" s="245"/>
      <c r="BW71" s="243" t="str">
        <f>'Gen CP'!$H75</f>
        <v>SMAW NC II</v>
      </c>
      <c r="BX71" s="244"/>
      <c r="BY71" s="243" t="str">
        <f>'Gen CP'!$H75</f>
        <v>SMAW NC II</v>
      </c>
      <c r="BZ71" s="244"/>
      <c r="CA71" s="243" t="str">
        <f>'Gen CP'!$H75</f>
        <v>SMAW NC II</v>
      </c>
      <c r="CB71" s="244"/>
      <c r="CC71" s="243" t="str">
        <f>'Gen CP'!$H75</f>
        <v>SMAW NC II</v>
      </c>
      <c r="CD71" s="244"/>
      <c r="CE71" s="289" t="str">
        <f>CE53</f>
        <v>CPAR</v>
      </c>
      <c r="CF71" s="290"/>
      <c r="CG71" s="137" t="s">
        <v>29</v>
      </c>
      <c r="CH71" s="245"/>
      <c r="CI71" s="243" t="str">
        <f>'Gen CP'!$I75</f>
        <v>Philo</v>
      </c>
      <c r="CJ71" s="244"/>
      <c r="CK71" s="243" t="str">
        <f>'Gen CP'!$I75</f>
        <v>Philo</v>
      </c>
      <c r="CL71" s="244"/>
      <c r="CM71" s="243" t="str">
        <f>'Gen CP'!$I75</f>
        <v>Philo</v>
      </c>
      <c r="CN71" s="244"/>
      <c r="CO71" s="243" t="str">
        <f>'Gen CP'!$I75</f>
        <v>Philo</v>
      </c>
      <c r="CP71" s="244"/>
      <c r="CQ71" s="289" t="str">
        <f>CQ53</f>
        <v>CSS</v>
      </c>
      <c r="CR71" s="290"/>
      <c r="CS71" s="137" t="s">
        <v>29</v>
      </c>
      <c r="CT71" s="245"/>
      <c r="CU71" s="243" t="str">
        <f>'Gen CP'!$J75</f>
        <v>Piling Larang</v>
      </c>
      <c r="CV71" s="244"/>
      <c r="CW71" s="243" t="str">
        <f>'Gen CP'!$J75</f>
        <v>Piling Larang</v>
      </c>
      <c r="CX71" s="244"/>
      <c r="CY71" s="243" t="str">
        <f>'Gen CP'!$J75</f>
        <v>Piling Larang</v>
      </c>
      <c r="CZ71" s="244"/>
      <c r="DA71" s="243" t="str">
        <f>'Gen CP'!$J75</f>
        <v>Piling Larang</v>
      </c>
      <c r="DB71" s="244"/>
      <c r="DC71" s="250" t="str">
        <f>DC53</f>
        <v>Research 2</v>
      </c>
      <c r="DD71" s="250"/>
      <c r="DE71" s="137" t="s">
        <v>29</v>
      </c>
      <c r="DF71" s="245"/>
      <c r="DG71" s="243" t="str">
        <f>'Gen CP'!$K75</f>
        <v>Research 2</v>
      </c>
      <c r="DH71" s="244"/>
      <c r="DI71" s="243" t="str">
        <f>'Gen CP'!$K75</f>
        <v>Research 2</v>
      </c>
      <c r="DJ71" s="244"/>
      <c r="DK71" s="243" t="str">
        <f>'Gen CP'!$K75</f>
        <v>Research 2</v>
      </c>
      <c r="DL71" s="244"/>
      <c r="DM71" s="243" t="str">
        <f>'Gen CP'!$K75</f>
        <v>Research 2</v>
      </c>
      <c r="DN71" s="244"/>
      <c r="DO71" s="289" t="str">
        <f>DO53</f>
        <v>CPAR</v>
      </c>
      <c r="DP71" s="290"/>
      <c r="DQ71" s="137" t="s">
        <v>337</v>
      </c>
      <c r="DR71" s="245"/>
      <c r="DS71" s="243"/>
      <c r="DT71" s="244"/>
      <c r="DU71" s="243"/>
      <c r="DV71" s="244"/>
      <c r="DW71" s="243"/>
      <c r="DX71" s="244"/>
      <c r="DY71" s="243"/>
      <c r="DZ71" s="244"/>
      <c r="EA71" s="269"/>
      <c r="EB71" s="270"/>
      <c r="EC71" s="151" t="s">
        <v>337</v>
      </c>
      <c r="ED71" s="245"/>
      <c r="EE71" s="264"/>
      <c r="EF71" s="264"/>
      <c r="EG71" s="264"/>
      <c r="EH71" s="264"/>
      <c r="EI71" s="264"/>
      <c r="EJ71" s="264"/>
      <c r="EK71" s="264"/>
      <c r="EL71" s="264"/>
      <c r="EM71" s="269"/>
      <c r="EN71" s="270"/>
      <c r="EO71" s="265" t="s">
        <v>30</v>
      </c>
      <c r="EP71" s="245">
        <v>60</v>
      </c>
      <c r="EQ71" s="264"/>
      <c r="ER71" s="264"/>
      <c r="ES71" s="243"/>
      <c r="ET71" s="244"/>
      <c r="EU71" s="264"/>
      <c r="EV71" s="264"/>
      <c r="EW71" s="264"/>
      <c r="EX71" s="264"/>
      <c r="EY71" s="278"/>
      <c r="EZ71" s="279"/>
      <c r="FA71" s="265" t="s">
        <v>30</v>
      </c>
      <c r="FB71" s="245">
        <v>60</v>
      </c>
      <c r="FC71" s="264"/>
      <c r="FD71" s="264"/>
      <c r="FE71" s="243"/>
      <c r="FF71" s="244"/>
      <c r="FG71" s="264"/>
      <c r="FH71" s="264"/>
      <c r="FI71" s="264"/>
      <c r="FJ71" s="264"/>
      <c r="FK71" s="278"/>
      <c r="FL71" s="279"/>
      <c r="FM71" s="265" t="s">
        <v>30</v>
      </c>
      <c r="FN71" s="245">
        <v>60</v>
      </c>
      <c r="FO71" s="264"/>
      <c r="FP71" s="264"/>
      <c r="FQ71" s="243"/>
      <c r="FR71" s="244"/>
      <c r="FS71" s="264"/>
      <c r="FT71" s="264"/>
      <c r="FU71" s="264"/>
      <c r="FV71" s="264"/>
      <c r="FW71" s="278"/>
      <c r="FX71" s="279"/>
      <c r="FY71" s="137" t="s">
        <v>337</v>
      </c>
      <c r="FZ71" s="245"/>
      <c r="GA71" s="264"/>
      <c r="GB71" s="264"/>
      <c r="GC71" s="264"/>
      <c r="GD71" s="264"/>
      <c r="GE71" s="264"/>
      <c r="GF71" s="264"/>
      <c r="GG71" s="264"/>
      <c r="GH71" s="264"/>
      <c r="GI71" s="269"/>
      <c r="GJ71" s="270"/>
    </row>
    <row r="72" spans="1:194" ht="18.75" customHeight="1">
      <c r="A72" s="137"/>
      <c r="B72" s="245"/>
      <c r="C72" s="243" t="str">
        <f>'Gen CP'!$B76</f>
        <v>Orgil E</v>
      </c>
      <c r="D72" s="244"/>
      <c r="E72" s="243" t="str">
        <f>'Gen CP'!$B76</f>
        <v>Orgil E</v>
      </c>
      <c r="F72" s="244"/>
      <c r="G72" s="243" t="str">
        <f>'Gen CP'!$B76</f>
        <v>Orgil E</v>
      </c>
      <c r="H72" s="244"/>
      <c r="I72" s="243" t="str">
        <f>'Gen CP'!$B76</f>
        <v>Orgil E</v>
      </c>
      <c r="J72" s="244"/>
      <c r="K72" s="289" t="str">
        <f>K54</f>
        <v>Bartolome H</v>
      </c>
      <c r="L72" s="290"/>
      <c r="M72" s="137"/>
      <c r="N72" s="245"/>
      <c r="O72" s="243" t="str">
        <f>'Gen CP'!$C76</f>
        <v>Carillo R</v>
      </c>
      <c r="P72" s="244"/>
      <c r="Q72" s="243" t="str">
        <f>'Gen CP'!$C76</f>
        <v>Carillo R</v>
      </c>
      <c r="R72" s="244"/>
      <c r="S72" s="243" t="str">
        <f>'Gen CP'!$C76</f>
        <v>Carillo R</v>
      </c>
      <c r="T72" s="244"/>
      <c r="U72" s="243" t="str">
        <f>'Gen CP'!$C76</f>
        <v>Carillo R</v>
      </c>
      <c r="V72" s="244"/>
      <c r="W72" s="289" t="str">
        <f>W54</f>
        <v>Orgil E</v>
      </c>
      <c r="X72" s="290"/>
      <c r="Y72" s="137"/>
      <c r="Z72" s="245"/>
      <c r="AA72" s="243" t="str">
        <f>'Gen CP'!$D76</f>
        <v>Hierco M</v>
      </c>
      <c r="AB72" s="244"/>
      <c r="AC72" s="243" t="str">
        <f>'Gen CP'!$D76</f>
        <v>Hierco M</v>
      </c>
      <c r="AD72" s="244"/>
      <c r="AE72" s="243" t="str">
        <f>'Gen CP'!$D76</f>
        <v>Hierco M</v>
      </c>
      <c r="AF72" s="244"/>
      <c r="AG72" s="243" t="str">
        <f>'Gen CP'!$D76</f>
        <v>Hierco M</v>
      </c>
      <c r="AH72" s="244"/>
      <c r="AI72" s="289" t="str">
        <f>AI54</f>
        <v>Sarmiento F</v>
      </c>
      <c r="AJ72" s="290"/>
      <c r="AK72" s="137"/>
      <c r="AL72" s="245"/>
      <c r="AM72" s="243" t="str">
        <f>'Gen CP'!$E76</f>
        <v>Guerrero LG</v>
      </c>
      <c r="AN72" s="244"/>
      <c r="AO72" s="243" t="str">
        <f>'Gen CP'!$E76</f>
        <v>Guerrero LG</v>
      </c>
      <c r="AP72" s="244"/>
      <c r="AQ72" s="243" t="str">
        <f>'Gen CP'!$E76</f>
        <v>Guerrero LG</v>
      </c>
      <c r="AR72" s="244"/>
      <c r="AS72" s="243" t="str">
        <f>'Gen CP'!$E76</f>
        <v>Guerrero LG</v>
      </c>
      <c r="AT72" s="244"/>
      <c r="AU72" s="289" t="str">
        <f>AU54</f>
        <v>Almadin H</v>
      </c>
      <c r="AV72" s="290"/>
      <c r="AW72" s="137"/>
      <c r="AX72" s="245"/>
      <c r="AY72" s="243" t="str">
        <f>'Gen CP'!$F76</f>
        <v>Tamondong A</v>
      </c>
      <c r="AZ72" s="244"/>
      <c r="BA72" s="243" t="str">
        <f>'Gen CP'!$F76</f>
        <v>Tamondong A</v>
      </c>
      <c r="BB72" s="244"/>
      <c r="BC72" s="243" t="str">
        <f>'Gen CP'!$F76</f>
        <v>Tamondong A</v>
      </c>
      <c r="BD72" s="244"/>
      <c r="BE72" s="243" t="str">
        <f>'Gen CP'!$F76</f>
        <v>Tamondong A</v>
      </c>
      <c r="BF72" s="244"/>
      <c r="BG72" s="289" t="str">
        <f>BG54</f>
        <v>Pascua I</v>
      </c>
      <c r="BH72" s="290"/>
      <c r="BI72" s="137"/>
      <c r="BJ72" s="245"/>
      <c r="BK72" s="243" t="str">
        <f>'Gen CP'!$G76</f>
        <v>Gardoce J</v>
      </c>
      <c r="BL72" s="244"/>
      <c r="BM72" s="243" t="str">
        <f>'Gen CP'!$G76</f>
        <v>Gardoce J</v>
      </c>
      <c r="BN72" s="244"/>
      <c r="BO72" s="243" t="str">
        <f>'Gen CP'!$G76</f>
        <v>Gardoce J</v>
      </c>
      <c r="BP72" s="244"/>
      <c r="BQ72" s="243" t="str">
        <f>'Gen CP'!$G76</f>
        <v>Gardoce J</v>
      </c>
      <c r="BR72" s="244"/>
      <c r="BS72" s="289" t="str">
        <f>BS54</f>
        <v>Tamondong A</v>
      </c>
      <c r="BT72" s="290"/>
      <c r="BU72" s="137"/>
      <c r="BV72" s="245"/>
      <c r="BW72" s="243" t="str">
        <f>'Gen CP'!$H76</f>
        <v>Sarmiento F</v>
      </c>
      <c r="BX72" s="244"/>
      <c r="BY72" s="243" t="str">
        <f>'Gen CP'!$H76</f>
        <v>Sarmiento F</v>
      </c>
      <c r="BZ72" s="244"/>
      <c r="CA72" s="243" t="str">
        <f>'Gen CP'!$H76</f>
        <v>Sarmiento F</v>
      </c>
      <c r="CB72" s="244"/>
      <c r="CC72" s="243" t="str">
        <f>'Gen CP'!$H76</f>
        <v>Sarmiento F</v>
      </c>
      <c r="CD72" s="244"/>
      <c r="CE72" s="289" t="str">
        <f>CE54</f>
        <v>De Leon I</v>
      </c>
      <c r="CF72" s="290"/>
      <c r="CG72" s="137"/>
      <c r="CH72" s="245"/>
      <c r="CI72" s="243" t="str">
        <f>'Gen CP'!$I76</f>
        <v>Almadin H</v>
      </c>
      <c r="CJ72" s="244"/>
      <c r="CK72" s="243" t="str">
        <f>'Gen CP'!$I76</f>
        <v>Almadin H</v>
      </c>
      <c r="CL72" s="244"/>
      <c r="CM72" s="243" t="str">
        <f>'Gen CP'!$I76</f>
        <v>Almadin H</v>
      </c>
      <c r="CN72" s="244"/>
      <c r="CO72" s="243" t="str">
        <f>'Gen CP'!$I76</f>
        <v>Almadin H</v>
      </c>
      <c r="CP72" s="244"/>
      <c r="CQ72" s="289" t="str">
        <f>CQ54</f>
        <v>Mercado R</v>
      </c>
      <c r="CR72" s="290"/>
      <c r="CS72" s="137"/>
      <c r="CT72" s="245"/>
      <c r="CU72" s="243" t="str">
        <f>'Gen CP'!$J76</f>
        <v>Lorenzo C</v>
      </c>
      <c r="CV72" s="244"/>
      <c r="CW72" s="243" t="str">
        <f>'Gen CP'!$J76</f>
        <v>Lorenzo C</v>
      </c>
      <c r="CX72" s="244"/>
      <c r="CY72" s="243" t="str">
        <f>'Gen CP'!$J76</f>
        <v>Lorenzo C</v>
      </c>
      <c r="CZ72" s="244"/>
      <c r="DA72" s="243" t="str">
        <f>'Gen CP'!$J76</f>
        <v>Lorenzo C</v>
      </c>
      <c r="DB72" s="244"/>
      <c r="DC72" s="250" t="str">
        <f>DC54</f>
        <v>Marcelo OJ</v>
      </c>
      <c r="DD72" s="250"/>
      <c r="DE72" s="137"/>
      <c r="DF72" s="245"/>
      <c r="DG72" s="243" t="s">
        <v>521</v>
      </c>
      <c r="DH72" s="244"/>
      <c r="DI72" s="243" t="s">
        <v>521</v>
      </c>
      <c r="DJ72" s="244"/>
      <c r="DK72" s="243" t="s">
        <v>521</v>
      </c>
      <c r="DL72" s="244"/>
      <c r="DM72" s="243" t="s">
        <v>521</v>
      </c>
      <c r="DN72" s="244"/>
      <c r="DO72" s="289" t="str">
        <f>DO54</f>
        <v>Gardoce J</v>
      </c>
      <c r="DP72" s="290"/>
      <c r="DQ72" s="137"/>
      <c r="DR72" s="245"/>
      <c r="DS72" s="243"/>
      <c r="DT72" s="244"/>
      <c r="DU72" s="243"/>
      <c r="DV72" s="244"/>
      <c r="DW72" s="243"/>
      <c r="DX72" s="244"/>
      <c r="DY72" s="243"/>
      <c r="DZ72" s="244"/>
      <c r="EA72" s="271"/>
      <c r="EB72" s="272"/>
      <c r="EC72" s="152"/>
      <c r="ED72" s="245"/>
      <c r="EE72" s="264"/>
      <c r="EF72" s="264"/>
      <c r="EG72" s="264"/>
      <c r="EH72" s="264"/>
      <c r="EI72" s="264"/>
      <c r="EJ72" s="264"/>
      <c r="EK72" s="264"/>
      <c r="EL72" s="264"/>
      <c r="EM72" s="271"/>
      <c r="EN72" s="272"/>
      <c r="EO72" s="265"/>
      <c r="EP72" s="245"/>
      <c r="EQ72" s="264"/>
      <c r="ER72" s="264"/>
      <c r="ES72" s="243"/>
      <c r="ET72" s="244"/>
      <c r="EU72" s="264"/>
      <c r="EV72" s="264"/>
      <c r="EW72" s="264"/>
      <c r="EX72" s="264"/>
      <c r="EY72" s="280"/>
      <c r="EZ72" s="281"/>
      <c r="FA72" s="265"/>
      <c r="FB72" s="245"/>
      <c r="FC72" s="264"/>
      <c r="FD72" s="264"/>
      <c r="FE72" s="243"/>
      <c r="FF72" s="244"/>
      <c r="FG72" s="264"/>
      <c r="FH72" s="264"/>
      <c r="FI72" s="264"/>
      <c r="FJ72" s="264"/>
      <c r="FK72" s="280"/>
      <c r="FL72" s="281"/>
      <c r="FM72" s="265"/>
      <c r="FN72" s="245"/>
      <c r="FO72" s="264"/>
      <c r="FP72" s="264"/>
      <c r="FQ72" s="243"/>
      <c r="FR72" s="244"/>
      <c r="FS72" s="264"/>
      <c r="FT72" s="264"/>
      <c r="FU72" s="264"/>
      <c r="FV72" s="264"/>
      <c r="FW72" s="280"/>
      <c r="FX72" s="281"/>
      <c r="FY72" s="137"/>
      <c r="FZ72" s="245"/>
      <c r="GA72" s="264"/>
      <c r="GB72" s="264"/>
      <c r="GC72" s="264"/>
      <c r="GD72" s="264"/>
      <c r="GE72" s="264"/>
      <c r="GF72" s="264"/>
      <c r="GG72" s="264"/>
      <c r="GH72" s="264"/>
      <c r="GI72" s="271"/>
      <c r="GJ72" s="272"/>
    </row>
    <row r="73" spans="1:194" ht="20.25" customHeight="1">
      <c r="A73" s="125"/>
      <c r="B73" s="71"/>
      <c r="C73" s="123"/>
      <c r="D73" s="123"/>
      <c r="E73" s="123"/>
      <c r="F73" s="123"/>
      <c r="G73" s="123"/>
      <c r="H73" s="123"/>
      <c r="I73" s="123"/>
      <c r="J73" s="123"/>
      <c r="K73" s="124"/>
      <c r="L73" s="124"/>
      <c r="M73" s="125"/>
      <c r="N73" s="71"/>
      <c r="O73" s="123"/>
      <c r="P73" s="123"/>
      <c r="Q73" s="123"/>
      <c r="R73" s="123"/>
      <c r="S73" s="123"/>
      <c r="T73" s="123"/>
      <c r="U73" s="123"/>
      <c r="V73" s="123"/>
      <c r="W73" s="124"/>
      <c r="X73" s="124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4"/>
      <c r="AJ73" s="124"/>
      <c r="AK73" s="125"/>
      <c r="AL73" s="123"/>
      <c r="AM73" s="123"/>
      <c r="AN73" s="123"/>
      <c r="AO73" s="123"/>
      <c r="AP73" s="123"/>
      <c r="AQ73" s="123"/>
      <c r="AR73" s="123"/>
      <c r="AS73" s="123"/>
      <c r="AT73" s="123"/>
      <c r="AU73" s="124"/>
      <c r="AV73" s="124"/>
      <c r="AW73" s="125"/>
      <c r="AX73" s="123"/>
      <c r="AY73" s="123"/>
      <c r="AZ73" s="123"/>
      <c r="BA73" s="123"/>
      <c r="BB73" s="123"/>
      <c r="BC73" s="123"/>
      <c r="BD73" s="123"/>
      <c r="BE73" s="123"/>
      <c r="BF73" s="123"/>
      <c r="BG73" s="124"/>
      <c r="BH73" s="124"/>
      <c r="BI73" s="125"/>
      <c r="BJ73" s="123"/>
      <c r="BK73" s="123"/>
      <c r="BL73" s="123"/>
      <c r="BM73" s="123"/>
      <c r="BN73" s="123"/>
      <c r="BO73" s="123"/>
      <c r="BP73" s="123"/>
      <c r="BQ73" s="123"/>
      <c r="BR73" s="123"/>
      <c r="BS73" s="124"/>
      <c r="BT73" s="124"/>
      <c r="BU73" s="125"/>
      <c r="BV73" s="71"/>
      <c r="BW73" s="123"/>
      <c r="BX73" s="123"/>
      <c r="BY73" s="123"/>
      <c r="BZ73" s="123"/>
      <c r="CA73" s="123"/>
      <c r="CB73" s="123"/>
      <c r="CC73" s="123"/>
      <c r="CD73" s="123"/>
      <c r="CE73" s="124"/>
      <c r="CF73" s="124"/>
      <c r="CG73" s="122"/>
      <c r="CH73" s="71"/>
      <c r="CI73" s="123"/>
      <c r="CJ73" s="123"/>
      <c r="CK73" s="123"/>
      <c r="CL73" s="123"/>
      <c r="CM73" s="123"/>
      <c r="CN73" s="123"/>
      <c r="CO73" s="123"/>
      <c r="CP73" s="123"/>
      <c r="CQ73" s="124"/>
      <c r="CR73" s="124"/>
      <c r="CS73" s="122"/>
      <c r="CT73" s="71"/>
      <c r="CU73" s="123"/>
      <c r="CV73" s="123"/>
      <c r="CW73" s="123"/>
      <c r="CX73" s="123"/>
      <c r="CY73" s="123"/>
      <c r="CZ73" s="123"/>
      <c r="DA73" s="123"/>
      <c r="DB73" s="123"/>
      <c r="DC73" s="124"/>
      <c r="DD73" s="124"/>
      <c r="DE73" s="122"/>
      <c r="DF73" s="71"/>
      <c r="DG73" s="123"/>
      <c r="DH73" s="123"/>
      <c r="DI73" s="123"/>
      <c r="DJ73" s="123"/>
      <c r="DK73" s="123"/>
      <c r="DL73" s="123"/>
      <c r="DM73" s="123"/>
      <c r="DN73" s="123"/>
      <c r="DO73" s="124"/>
      <c r="DP73" s="124"/>
      <c r="DQ73" s="122"/>
      <c r="DR73" s="71"/>
      <c r="DS73" s="123"/>
      <c r="DT73" s="123"/>
      <c r="DU73" s="123"/>
      <c r="DV73" s="123"/>
      <c r="DW73" s="123"/>
      <c r="DX73" s="123"/>
      <c r="DY73" s="123"/>
      <c r="DZ73" s="123"/>
      <c r="EA73" s="124"/>
      <c r="EB73" s="124"/>
      <c r="EC73" s="122"/>
      <c r="ED73" s="71"/>
      <c r="EE73" s="123"/>
      <c r="EF73" s="123"/>
      <c r="EG73" s="123"/>
      <c r="EH73" s="123"/>
      <c r="EI73" s="123"/>
      <c r="EJ73" s="123"/>
      <c r="EK73" s="123"/>
      <c r="EL73" s="123"/>
      <c r="EM73" s="124"/>
      <c r="EN73" s="124"/>
      <c r="EO73" s="70"/>
      <c r="EP73" s="71"/>
      <c r="EQ73" s="123"/>
      <c r="ER73" s="123"/>
      <c r="ES73" s="123"/>
      <c r="ET73" s="123"/>
      <c r="EU73" s="123"/>
      <c r="EV73" s="123"/>
      <c r="EW73" s="123"/>
      <c r="EX73" s="123"/>
      <c r="EY73" s="126"/>
      <c r="EZ73" s="126"/>
      <c r="FA73" s="70"/>
      <c r="FB73" s="71"/>
      <c r="FC73" s="123"/>
      <c r="FD73" s="123"/>
      <c r="FE73" s="123"/>
      <c r="FF73" s="123"/>
      <c r="FG73" s="123"/>
      <c r="FH73" s="123"/>
      <c r="FI73" s="123"/>
      <c r="FJ73" s="123"/>
      <c r="FK73" s="126"/>
      <c r="FL73" s="126"/>
      <c r="FM73" s="70"/>
      <c r="FN73" s="71"/>
      <c r="FO73" s="123"/>
      <c r="FP73" s="123"/>
      <c r="FQ73" s="123"/>
      <c r="FR73" s="123"/>
      <c r="FS73" s="123"/>
      <c r="FT73" s="123"/>
      <c r="FU73" s="123"/>
      <c r="FV73" s="123"/>
      <c r="FW73" s="126"/>
      <c r="FX73" s="126"/>
      <c r="FY73" s="122"/>
      <c r="FZ73" s="71"/>
      <c r="GA73" s="123"/>
      <c r="GB73" s="123"/>
      <c r="GC73" s="123"/>
      <c r="GD73" s="123"/>
      <c r="GE73" s="123"/>
      <c r="GF73" s="123"/>
      <c r="GG73" s="123"/>
      <c r="GH73" s="123"/>
      <c r="GI73" s="124"/>
      <c r="GJ73" s="124"/>
    </row>
    <row r="74" spans="1:194" ht="14.25" customHeight="1">
      <c r="A74" s="127"/>
      <c r="B74" s="90"/>
      <c r="F74" s="1" t="s">
        <v>51</v>
      </c>
      <c r="M74" s="127"/>
      <c r="N74" s="90"/>
      <c r="Y74" s="127"/>
      <c r="Z74" s="90"/>
      <c r="AB74" s="1" t="s">
        <v>51</v>
      </c>
      <c r="AF74" s="1" t="s">
        <v>51</v>
      </c>
      <c r="AG74" s="1" t="s">
        <v>51</v>
      </c>
      <c r="AK74" s="127"/>
      <c r="AL74" s="90"/>
      <c r="AW74" s="127"/>
      <c r="AX74" s="90"/>
      <c r="BB74" s="1" t="s">
        <v>51</v>
      </c>
      <c r="BC74" s="1" t="s">
        <v>51</v>
      </c>
      <c r="BE74" s="1" t="s">
        <v>51</v>
      </c>
      <c r="BI74" s="127"/>
      <c r="BJ74" s="90"/>
      <c r="BU74" s="127"/>
      <c r="BV74" s="90"/>
      <c r="BY74" s="1" t="s">
        <v>51</v>
      </c>
      <c r="CG74" s="127"/>
      <c r="CH74" s="90"/>
      <c r="CS74" s="127"/>
      <c r="CT74" s="90"/>
      <c r="CZ74" s="1" t="s">
        <v>51</v>
      </c>
      <c r="DE74" s="127"/>
      <c r="DF74" s="90"/>
      <c r="DQ74" s="127"/>
      <c r="DR74" s="90"/>
      <c r="EC74" s="127"/>
      <c r="ED74" s="90"/>
      <c r="EO74" s="127"/>
      <c r="EP74" s="90"/>
      <c r="FA74" s="127"/>
      <c r="FB74" s="90"/>
      <c r="FM74" s="127"/>
      <c r="FN74" s="90"/>
      <c r="FY74" s="127"/>
      <c r="FZ74" s="90"/>
    </row>
    <row r="75" spans="1:194">
      <c r="A75" s="1" t="s">
        <v>158</v>
      </c>
      <c r="B75" s="90"/>
      <c r="F75" s="1" t="s">
        <v>51</v>
      </c>
      <c r="G75" s="1" t="s">
        <v>51</v>
      </c>
      <c r="H75" s="1" t="s">
        <v>51</v>
      </c>
      <c r="I75" s="1" t="s">
        <v>182</v>
      </c>
      <c r="K75" s="1" t="s">
        <v>51</v>
      </c>
      <c r="L75" s="1" t="s">
        <v>51</v>
      </c>
      <c r="M75" s="1" t="s">
        <v>158</v>
      </c>
      <c r="N75" s="90"/>
      <c r="O75" s="1" t="s">
        <v>51</v>
      </c>
      <c r="Q75" s="1" t="s">
        <v>51</v>
      </c>
      <c r="S75" s="1" t="s">
        <v>51</v>
      </c>
      <c r="U75" s="1" t="s">
        <v>182</v>
      </c>
      <c r="Y75" s="1" t="s">
        <v>158</v>
      </c>
      <c r="Z75" s="90"/>
      <c r="AC75" s="1" t="s">
        <v>51</v>
      </c>
      <c r="AD75" s="1" t="s">
        <v>51</v>
      </c>
      <c r="AE75" s="1" t="s">
        <v>51</v>
      </c>
      <c r="AG75" s="1" t="s">
        <v>182</v>
      </c>
      <c r="AI75" s="1" t="s">
        <v>51</v>
      </c>
      <c r="AK75" s="1" t="s">
        <v>158</v>
      </c>
      <c r="AL75" s="90"/>
      <c r="AO75" s="1" t="s">
        <v>51</v>
      </c>
      <c r="AP75" s="1" t="s">
        <v>51</v>
      </c>
      <c r="AQ75" s="1" t="s">
        <v>51</v>
      </c>
      <c r="AR75" s="1" t="s">
        <v>51</v>
      </c>
      <c r="AS75" s="1" t="s">
        <v>182</v>
      </c>
      <c r="AV75" s="1" t="s">
        <v>51</v>
      </c>
      <c r="AW75" s="1" t="s">
        <v>158</v>
      </c>
      <c r="AX75" s="90"/>
      <c r="BC75" s="1" t="s">
        <v>51</v>
      </c>
      <c r="BD75" s="1" t="s">
        <v>51</v>
      </c>
      <c r="BE75" s="1" t="s">
        <v>182</v>
      </c>
      <c r="BI75" s="1" t="s">
        <v>158</v>
      </c>
      <c r="BJ75" s="90"/>
      <c r="BL75" s="1" t="s">
        <v>51</v>
      </c>
      <c r="BM75" s="1" t="s">
        <v>51</v>
      </c>
      <c r="BO75" s="1" t="s">
        <v>51</v>
      </c>
      <c r="BP75" s="1" t="s">
        <v>51</v>
      </c>
      <c r="BQ75" s="1" t="s">
        <v>182</v>
      </c>
      <c r="BS75" s="1" t="s">
        <v>51</v>
      </c>
      <c r="BU75" s="1" t="s">
        <v>158</v>
      </c>
      <c r="BV75" s="90"/>
      <c r="BZ75" s="1" t="s">
        <v>51</v>
      </c>
      <c r="CA75" s="1" t="s">
        <v>51</v>
      </c>
      <c r="CB75" s="1" t="s">
        <v>51</v>
      </c>
      <c r="CC75" s="1" t="s">
        <v>51</v>
      </c>
      <c r="CD75" s="1" t="s">
        <v>51</v>
      </c>
      <c r="CE75" s="1" t="s">
        <v>51</v>
      </c>
      <c r="CG75" s="1" t="s">
        <v>158</v>
      </c>
      <c r="CH75" s="90"/>
      <c r="CI75" s="1" t="s">
        <v>51</v>
      </c>
      <c r="CL75" s="1" t="s">
        <v>51</v>
      </c>
      <c r="CM75" s="1" t="s">
        <v>51</v>
      </c>
      <c r="CO75" s="1" t="s">
        <v>182</v>
      </c>
      <c r="CS75" s="1" t="s">
        <v>158</v>
      </c>
      <c r="CT75" s="90"/>
      <c r="CW75" s="1" t="s">
        <v>51</v>
      </c>
      <c r="CX75" s="1" t="s">
        <v>51</v>
      </c>
      <c r="CY75" s="1" t="s">
        <v>51</v>
      </c>
      <c r="DA75" s="1" t="s">
        <v>182</v>
      </c>
      <c r="DB75" s="1" t="s">
        <v>51</v>
      </c>
      <c r="DC75" s="1" t="s">
        <v>51</v>
      </c>
      <c r="DE75" s="1" t="s">
        <v>158</v>
      </c>
      <c r="DF75" s="90"/>
      <c r="DG75" s="1" t="s">
        <v>51</v>
      </c>
      <c r="DI75" s="1" t="s">
        <v>51</v>
      </c>
      <c r="DJ75" s="1" t="s">
        <v>51</v>
      </c>
      <c r="DK75" s="1" t="s">
        <v>51</v>
      </c>
      <c r="DL75" s="1" t="s">
        <v>51</v>
      </c>
      <c r="DM75" s="1" t="s">
        <v>182</v>
      </c>
      <c r="DO75" s="1" t="s">
        <v>51</v>
      </c>
      <c r="DQ75" s="1" t="s">
        <v>158</v>
      </c>
      <c r="DR75" s="90"/>
      <c r="DV75" s="1" t="s">
        <v>51</v>
      </c>
      <c r="DW75" s="1" t="s">
        <v>51</v>
      </c>
      <c r="DX75" s="1" t="s">
        <v>51</v>
      </c>
      <c r="DY75" s="1" t="s">
        <v>182</v>
      </c>
      <c r="EC75" s="1" t="s">
        <v>158</v>
      </c>
      <c r="ED75" s="90"/>
      <c r="EG75" s="1" t="s">
        <v>51</v>
      </c>
      <c r="EH75" s="1" t="s">
        <v>51</v>
      </c>
      <c r="EK75" s="1" t="s">
        <v>182</v>
      </c>
      <c r="EO75" s="1" t="s">
        <v>158</v>
      </c>
      <c r="EP75" s="90"/>
      <c r="EU75" s="1" t="s">
        <v>51</v>
      </c>
      <c r="EW75" s="1" t="s">
        <v>182</v>
      </c>
      <c r="FA75" s="1" t="s">
        <v>158</v>
      </c>
      <c r="FB75" s="90"/>
      <c r="FG75" s="1" t="s">
        <v>51</v>
      </c>
      <c r="FI75" s="1" t="s">
        <v>182</v>
      </c>
      <c r="FM75" s="1" t="s">
        <v>158</v>
      </c>
      <c r="FN75" s="90"/>
      <c r="FS75" s="1" t="s">
        <v>51</v>
      </c>
      <c r="FU75" s="1" t="s">
        <v>182</v>
      </c>
      <c r="FY75" s="1" t="s">
        <v>158</v>
      </c>
      <c r="FZ75" s="90"/>
      <c r="GD75" s="1" t="s">
        <v>51</v>
      </c>
      <c r="GE75" s="1" t="s">
        <v>51</v>
      </c>
      <c r="GG75" s="1" t="s">
        <v>182</v>
      </c>
    </row>
    <row r="76" spans="1:194" ht="9" customHeight="1">
      <c r="G76" s="1" t="s">
        <v>51</v>
      </c>
      <c r="S76" s="1" t="s">
        <v>51</v>
      </c>
      <c r="AC76" s="1" t="s">
        <v>51</v>
      </c>
      <c r="AD76" s="1" t="s">
        <v>51</v>
      </c>
      <c r="AE76" s="1" t="s">
        <v>51</v>
      </c>
      <c r="AQ76" s="1" t="s">
        <v>51</v>
      </c>
      <c r="BB76" s="1" t="s">
        <v>51</v>
      </c>
      <c r="BN76" s="1" t="s">
        <v>51</v>
      </c>
      <c r="BO76" s="1" t="s">
        <v>51</v>
      </c>
      <c r="CA76" s="1" t="s">
        <v>51</v>
      </c>
      <c r="CB76" s="1" t="s">
        <v>51</v>
      </c>
      <c r="CK76" s="1" t="s">
        <v>51</v>
      </c>
      <c r="CL76" s="1" t="s">
        <v>51</v>
      </c>
      <c r="CM76" s="1" t="s">
        <v>51</v>
      </c>
      <c r="CN76" s="1" t="s">
        <v>51</v>
      </c>
      <c r="CW76" s="1" t="s">
        <v>51</v>
      </c>
      <c r="CX76" s="1" t="s">
        <v>51</v>
      </c>
      <c r="CY76" s="1" t="s">
        <v>51</v>
      </c>
      <c r="CZ76" s="1" t="s">
        <v>51</v>
      </c>
      <c r="DI76" s="1" t="s">
        <v>51</v>
      </c>
      <c r="DK76" s="1" t="s">
        <v>51</v>
      </c>
      <c r="DW76" s="1" t="s">
        <v>51</v>
      </c>
      <c r="EH76" s="1" t="s">
        <v>51</v>
      </c>
      <c r="EI76" s="1" t="s">
        <v>51</v>
      </c>
      <c r="EU76" s="1" t="s">
        <v>51</v>
      </c>
      <c r="FG76" s="1" t="s">
        <v>51</v>
      </c>
      <c r="FS76" s="1" t="s">
        <v>51</v>
      </c>
      <c r="GE76" s="1" t="s">
        <v>51</v>
      </c>
    </row>
    <row r="77" spans="1:194" s="7" customFormat="1">
      <c r="B77" s="256" t="str">
        <f>B38</f>
        <v>MELANIE J. YAMBOT</v>
      </c>
      <c r="C77" s="256"/>
      <c r="D77" s="256"/>
      <c r="F77" s="257" t="s">
        <v>51</v>
      </c>
      <c r="G77" s="257"/>
      <c r="H77" s="257"/>
      <c r="J77" s="256" t="str">
        <f>J38</f>
        <v>AURORA T. AGUILA</v>
      </c>
      <c r="K77" s="256"/>
      <c r="L77" s="256"/>
      <c r="N77" s="256" t="str">
        <f>B77</f>
        <v>MELANIE J. YAMBOT</v>
      </c>
      <c r="O77" s="256"/>
      <c r="P77" s="256"/>
      <c r="R77" s="257" t="s">
        <v>51</v>
      </c>
      <c r="S77" s="257"/>
      <c r="T77" s="257"/>
      <c r="U77" s="7" t="s">
        <v>51</v>
      </c>
      <c r="V77" s="256" t="str">
        <f>J77</f>
        <v>AURORA T. AGUILA</v>
      </c>
      <c r="W77" s="256"/>
      <c r="X77" s="256"/>
      <c r="Z77" s="256" t="str">
        <f>N77</f>
        <v>MELANIE J. YAMBOT</v>
      </c>
      <c r="AA77" s="256"/>
      <c r="AB77" s="256"/>
      <c r="AD77" s="257" t="s">
        <v>51</v>
      </c>
      <c r="AE77" s="257"/>
      <c r="AF77" s="257"/>
      <c r="AH77" s="256" t="str">
        <f>V77</f>
        <v>AURORA T. AGUILA</v>
      </c>
      <c r="AI77" s="256"/>
      <c r="AJ77" s="256"/>
      <c r="AL77" s="256" t="str">
        <f>Z77</f>
        <v>MELANIE J. YAMBOT</v>
      </c>
      <c r="AM77" s="256"/>
      <c r="AN77" s="256"/>
      <c r="AP77" s="257" t="s">
        <v>51</v>
      </c>
      <c r="AQ77" s="257"/>
      <c r="AR77" s="257"/>
      <c r="AT77" s="256" t="str">
        <f>AH77</f>
        <v>AURORA T. AGUILA</v>
      </c>
      <c r="AU77" s="256"/>
      <c r="AV77" s="256"/>
      <c r="AX77" s="256" t="str">
        <f>AL77</f>
        <v>MELANIE J. YAMBOT</v>
      </c>
      <c r="AY77" s="256"/>
      <c r="AZ77" s="256"/>
      <c r="BB77" s="257"/>
      <c r="BC77" s="257"/>
      <c r="BD77" s="257"/>
      <c r="BF77" s="256" t="str">
        <f>AT77</f>
        <v>AURORA T. AGUILA</v>
      </c>
      <c r="BG77" s="256"/>
      <c r="BH77" s="256"/>
      <c r="BJ77" s="256" t="str">
        <f>AX77</f>
        <v>MELANIE J. YAMBOT</v>
      </c>
      <c r="BK77" s="256"/>
      <c r="BL77" s="256"/>
      <c r="BN77" s="257"/>
      <c r="BO77" s="257"/>
      <c r="BP77" s="257"/>
      <c r="BR77" s="256" t="str">
        <f>BF77</f>
        <v>AURORA T. AGUILA</v>
      </c>
      <c r="BS77" s="256"/>
      <c r="BT77" s="256"/>
      <c r="BV77" s="256" t="str">
        <f>BJ77</f>
        <v>MELANIE J. YAMBOT</v>
      </c>
      <c r="BW77" s="256"/>
      <c r="BX77" s="256"/>
      <c r="BZ77" s="257" t="s">
        <v>51</v>
      </c>
      <c r="CA77" s="257"/>
      <c r="CB77" s="257"/>
      <c r="CD77" s="256" t="str">
        <f>BR77</f>
        <v>AURORA T. AGUILA</v>
      </c>
      <c r="CE77" s="256"/>
      <c r="CF77" s="256"/>
      <c r="CH77" s="256" t="str">
        <f>BV77</f>
        <v>MELANIE J. YAMBOT</v>
      </c>
      <c r="CI77" s="256"/>
      <c r="CJ77" s="256"/>
      <c r="CL77" s="257"/>
      <c r="CM77" s="257"/>
      <c r="CN77" s="257"/>
      <c r="CP77" s="256" t="str">
        <f>CD77</f>
        <v>AURORA T. AGUILA</v>
      </c>
      <c r="CQ77" s="256"/>
      <c r="CR77" s="256"/>
      <c r="CT77" s="256" t="str">
        <f>CH77</f>
        <v>MELANIE J. YAMBOT</v>
      </c>
      <c r="CU77" s="256"/>
      <c r="CV77" s="256"/>
      <c r="CX77" s="257" t="s">
        <v>51</v>
      </c>
      <c r="CY77" s="257"/>
      <c r="CZ77" s="257"/>
      <c r="DB77" s="256" t="str">
        <f>CP77</f>
        <v>AURORA T. AGUILA</v>
      </c>
      <c r="DC77" s="256"/>
      <c r="DD77" s="256"/>
      <c r="DF77" s="256" t="str">
        <f>CT77</f>
        <v>MELANIE J. YAMBOT</v>
      </c>
      <c r="DG77" s="256"/>
      <c r="DH77" s="256"/>
      <c r="DJ77" s="257" t="s">
        <v>51</v>
      </c>
      <c r="DK77" s="257"/>
      <c r="DL77" s="257"/>
      <c r="DN77" s="256" t="str">
        <f>DB77</f>
        <v>AURORA T. AGUILA</v>
      </c>
      <c r="DO77" s="256"/>
      <c r="DP77" s="256"/>
      <c r="DR77" s="256" t="str">
        <f>DF77</f>
        <v>MELANIE J. YAMBOT</v>
      </c>
      <c r="DS77" s="256"/>
      <c r="DT77" s="256"/>
      <c r="DV77" s="257" t="s">
        <v>51</v>
      </c>
      <c r="DW77" s="257"/>
      <c r="DX77" s="257"/>
      <c r="DZ77" s="256" t="str">
        <f>DN77</f>
        <v>AURORA T. AGUILA</v>
      </c>
      <c r="EA77" s="256"/>
      <c r="EB77" s="256"/>
      <c r="ED77" s="256" t="str">
        <f>DR77</f>
        <v>MELANIE J. YAMBOT</v>
      </c>
      <c r="EE77" s="256"/>
      <c r="EF77" s="256"/>
      <c r="EH77" s="257" t="s">
        <v>51</v>
      </c>
      <c r="EI77" s="257"/>
      <c r="EJ77" s="257"/>
      <c r="EL77" s="256" t="str">
        <f>DZ77</f>
        <v>AURORA T. AGUILA</v>
      </c>
      <c r="EM77" s="256"/>
      <c r="EN77" s="256"/>
      <c r="EP77" s="257" t="s">
        <v>225</v>
      </c>
      <c r="EQ77" s="257"/>
      <c r="ER77" s="257"/>
      <c r="ET77" s="257"/>
      <c r="EU77" s="257"/>
      <c r="EV77" s="257"/>
      <c r="EX77" s="257" t="s">
        <v>284</v>
      </c>
      <c r="EY77" s="257"/>
      <c r="EZ77" s="257"/>
      <c r="FB77" s="257" t="s">
        <v>225</v>
      </c>
      <c r="FC77" s="257"/>
      <c r="FD77" s="257"/>
      <c r="FF77" s="257"/>
      <c r="FG77" s="257"/>
      <c r="FH77" s="257"/>
      <c r="FJ77" s="257" t="s">
        <v>284</v>
      </c>
      <c r="FK77" s="257"/>
      <c r="FL77" s="257"/>
      <c r="FN77" s="257" t="s">
        <v>225</v>
      </c>
      <c r="FO77" s="257"/>
      <c r="FP77" s="257"/>
      <c r="FR77" s="257"/>
      <c r="FS77" s="257"/>
      <c r="FT77" s="257"/>
      <c r="FV77" s="257" t="s">
        <v>284</v>
      </c>
      <c r="FW77" s="257"/>
      <c r="FX77" s="257"/>
      <c r="FZ77" s="256" t="str">
        <f>ED77</f>
        <v>MELANIE J. YAMBOT</v>
      </c>
      <c r="GA77" s="256"/>
      <c r="GB77" s="256"/>
      <c r="GD77" s="257" t="s">
        <v>51</v>
      </c>
      <c r="GE77" s="257"/>
      <c r="GF77" s="257"/>
      <c r="GH77" s="256" t="str">
        <f>EL77</f>
        <v>AURORA T. AGUILA</v>
      </c>
      <c r="GI77" s="256"/>
      <c r="GJ77" s="256"/>
    </row>
    <row r="78" spans="1:194" ht="18.75" customHeight="1">
      <c r="B78" s="258" t="str">
        <f>B39</f>
        <v>OIC Assistant Principal II</v>
      </c>
      <c r="C78" s="258"/>
      <c r="D78" s="258"/>
      <c r="F78" s="258"/>
      <c r="G78" s="258"/>
      <c r="H78" s="258"/>
      <c r="J78" s="258" t="str">
        <f>J39</f>
        <v>School Principal IV</v>
      </c>
      <c r="K78" s="258"/>
      <c r="L78" s="258"/>
      <c r="N78" s="258" t="str">
        <f>B78</f>
        <v>OIC Assistant Principal II</v>
      </c>
      <c r="O78" s="258"/>
      <c r="P78" s="258"/>
      <c r="R78" s="258"/>
      <c r="S78" s="258"/>
      <c r="T78" s="258"/>
      <c r="V78" s="258" t="str">
        <f>J78</f>
        <v>School Principal IV</v>
      </c>
      <c r="W78" s="258"/>
      <c r="X78" s="258"/>
      <c r="Z78" s="258" t="str">
        <f>N78</f>
        <v>OIC Assistant Principal II</v>
      </c>
      <c r="AA78" s="258"/>
      <c r="AB78" s="258"/>
      <c r="AD78" s="258"/>
      <c r="AE78" s="258"/>
      <c r="AF78" s="258"/>
      <c r="AH78" s="258" t="str">
        <f>V78</f>
        <v>School Principal IV</v>
      </c>
      <c r="AI78" s="258"/>
      <c r="AJ78" s="258"/>
      <c r="AL78" s="258" t="str">
        <f>Z78</f>
        <v>OIC Assistant Principal II</v>
      </c>
      <c r="AM78" s="258"/>
      <c r="AN78" s="258"/>
      <c r="AP78" s="258"/>
      <c r="AQ78" s="258"/>
      <c r="AR78" s="258"/>
      <c r="AT78" s="258" t="str">
        <f>AH78</f>
        <v>School Principal IV</v>
      </c>
      <c r="AU78" s="258"/>
      <c r="AV78" s="258"/>
      <c r="AX78" s="258" t="s">
        <v>282</v>
      </c>
      <c r="AY78" s="258"/>
      <c r="AZ78" s="258"/>
      <c r="BB78" s="258"/>
      <c r="BC78" s="258"/>
      <c r="BD78" s="258"/>
      <c r="BF78" s="258" t="str">
        <f>AT78</f>
        <v>School Principal IV</v>
      </c>
      <c r="BG78" s="258"/>
      <c r="BH78" s="258"/>
      <c r="BJ78" s="258" t="str">
        <f>AX78</f>
        <v>OIC-Assistant Principal II</v>
      </c>
      <c r="BK78" s="258"/>
      <c r="BL78" s="258"/>
      <c r="BN78" s="258"/>
      <c r="BO78" s="258"/>
      <c r="BP78" s="258"/>
      <c r="BR78" s="258" t="str">
        <f>BF78</f>
        <v>School Principal IV</v>
      </c>
      <c r="BS78" s="258"/>
      <c r="BT78" s="258"/>
      <c r="BV78" s="258" t="str">
        <f>BJ78</f>
        <v>OIC-Assistant Principal II</v>
      </c>
      <c r="BW78" s="258"/>
      <c r="BX78" s="258"/>
      <c r="BZ78" s="258"/>
      <c r="CA78" s="258"/>
      <c r="CB78" s="258"/>
      <c r="CD78" s="258" t="str">
        <f>BR78</f>
        <v>School Principal IV</v>
      </c>
      <c r="CE78" s="258"/>
      <c r="CF78" s="258"/>
      <c r="CH78" s="258" t="str">
        <f>BV78</f>
        <v>OIC-Assistant Principal II</v>
      </c>
      <c r="CI78" s="258"/>
      <c r="CJ78" s="258"/>
      <c r="CL78" s="258"/>
      <c r="CM78" s="258"/>
      <c r="CN78" s="258"/>
      <c r="CP78" s="258" t="str">
        <f>CD78</f>
        <v>School Principal IV</v>
      </c>
      <c r="CQ78" s="258"/>
      <c r="CR78" s="258"/>
      <c r="CT78" s="258" t="str">
        <f>CH78</f>
        <v>OIC-Assistant Principal II</v>
      </c>
      <c r="CU78" s="258"/>
      <c r="CV78" s="258"/>
      <c r="CX78" s="258"/>
      <c r="CY78" s="258"/>
      <c r="CZ78" s="258"/>
      <c r="DB78" s="258" t="str">
        <f>CP78</f>
        <v>School Principal IV</v>
      </c>
      <c r="DC78" s="258"/>
      <c r="DD78" s="258"/>
      <c r="DF78" s="258" t="str">
        <f>CT78</f>
        <v>OIC-Assistant Principal II</v>
      </c>
      <c r="DG78" s="258"/>
      <c r="DH78" s="258"/>
      <c r="DJ78" s="258"/>
      <c r="DK78" s="258"/>
      <c r="DL78" s="258"/>
      <c r="DN78" s="258" t="str">
        <f>DB78</f>
        <v>School Principal IV</v>
      </c>
      <c r="DO78" s="258"/>
      <c r="DP78" s="258"/>
      <c r="DR78" s="258" t="str">
        <f>DF78</f>
        <v>OIC-Assistant Principal II</v>
      </c>
      <c r="DS78" s="258"/>
      <c r="DT78" s="258"/>
      <c r="DV78" s="258"/>
      <c r="DW78" s="258"/>
      <c r="DX78" s="258"/>
      <c r="DZ78" s="258" t="str">
        <f>DN78</f>
        <v>School Principal IV</v>
      </c>
      <c r="EA78" s="258"/>
      <c r="EB78" s="258"/>
      <c r="ED78" s="258" t="str">
        <f>DR78</f>
        <v>OIC-Assistant Principal II</v>
      </c>
      <c r="EE78" s="258"/>
      <c r="EF78" s="258"/>
      <c r="EH78" s="258"/>
      <c r="EI78" s="258"/>
      <c r="EJ78" s="258"/>
      <c r="EL78" s="258" t="str">
        <f>DZ78</f>
        <v>School Principal IV</v>
      </c>
      <c r="EM78" s="258"/>
      <c r="EN78" s="258"/>
      <c r="EP78" s="258" t="s">
        <v>282</v>
      </c>
      <c r="EQ78" s="258"/>
      <c r="ER78" s="258"/>
      <c r="ET78" s="258"/>
      <c r="EU78" s="258"/>
      <c r="EV78" s="258"/>
      <c r="EX78" s="258" t="s">
        <v>267</v>
      </c>
      <c r="EY78" s="258"/>
      <c r="EZ78" s="258"/>
      <c r="FB78" s="258" t="s">
        <v>282</v>
      </c>
      <c r="FC78" s="258"/>
      <c r="FD78" s="258"/>
      <c r="FF78" s="258"/>
      <c r="FG78" s="258"/>
      <c r="FH78" s="258"/>
      <c r="FJ78" s="258" t="s">
        <v>267</v>
      </c>
      <c r="FK78" s="258"/>
      <c r="FL78" s="258"/>
      <c r="FN78" s="258" t="s">
        <v>282</v>
      </c>
      <c r="FO78" s="258"/>
      <c r="FP78" s="258"/>
      <c r="FR78" s="258"/>
      <c r="FS78" s="258"/>
      <c r="FT78" s="258"/>
      <c r="FV78" s="258" t="s">
        <v>267</v>
      </c>
      <c r="FW78" s="258"/>
      <c r="FX78" s="258"/>
      <c r="FZ78" s="258" t="str">
        <f>ED78</f>
        <v>OIC-Assistant Principal II</v>
      </c>
      <c r="GA78" s="258"/>
      <c r="GB78" s="258"/>
      <c r="GD78" s="258"/>
      <c r="GE78" s="258"/>
      <c r="GF78" s="258"/>
      <c r="GH78" s="258" t="str">
        <f>EL78</f>
        <v>School Principal IV</v>
      </c>
      <c r="GI78" s="258"/>
      <c r="GJ78" s="258"/>
    </row>
    <row r="80" spans="1:194">
      <c r="CZ80" s="1" t="s">
        <v>51</v>
      </c>
    </row>
    <row r="115" spans="28:79">
      <c r="AB115" s="1" t="s">
        <v>51</v>
      </c>
    </row>
    <row r="125" spans="28:79">
      <c r="CA125" s="1" t="s">
        <v>51</v>
      </c>
    </row>
    <row r="153" spans="105:105">
      <c r="DA153" s="1" t="s">
        <v>51</v>
      </c>
    </row>
  </sheetData>
  <mergeCells count="3793">
    <mergeCell ref="DO71:DP71"/>
    <mergeCell ref="DO72:DP72"/>
    <mergeCell ref="DO66:DP66"/>
    <mergeCell ref="DO67:DP67"/>
    <mergeCell ref="BA67:BB67"/>
    <mergeCell ref="BG61:BH61"/>
    <mergeCell ref="BG62:BH62"/>
    <mergeCell ref="BG63:BH63"/>
    <mergeCell ref="BG64:BH64"/>
    <mergeCell ref="BS66:BT66"/>
    <mergeCell ref="BS67:BT67"/>
    <mergeCell ref="BM61:BN61"/>
    <mergeCell ref="BM62:BN62"/>
    <mergeCell ref="BS71:BT71"/>
    <mergeCell ref="BS72:BT72"/>
    <mergeCell ref="BW56:BX56"/>
    <mergeCell ref="BW57:BX57"/>
    <mergeCell ref="CE63:CF63"/>
    <mergeCell ref="CE64:CF64"/>
    <mergeCell ref="CE71:CF71"/>
    <mergeCell ref="CE72:CF72"/>
    <mergeCell ref="DM67:DN67"/>
    <mergeCell ref="CT66:CT67"/>
    <mergeCell ref="DK62:DL62"/>
    <mergeCell ref="DM62:DN62"/>
    <mergeCell ref="DI60:DJ60"/>
    <mergeCell ref="DM66:DN66"/>
    <mergeCell ref="DO60:DP60"/>
    <mergeCell ref="DO62:DP62"/>
    <mergeCell ref="DO59:DP59"/>
    <mergeCell ref="DI59:DJ59"/>
    <mergeCell ref="DK64:DL64"/>
    <mergeCell ref="W66:X66"/>
    <mergeCell ref="AI56:AJ56"/>
    <mergeCell ref="AI57:AJ57"/>
    <mergeCell ref="AI59:AJ59"/>
    <mergeCell ref="AI60:AJ60"/>
    <mergeCell ref="AA55:AB55"/>
    <mergeCell ref="AC55:AD55"/>
    <mergeCell ref="AE55:AF55"/>
    <mergeCell ref="AG55:AH55"/>
    <mergeCell ref="AS63:AT63"/>
    <mergeCell ref="AS64:AT64"/>
    <mergeCell ref="AU61:AV61"/>
    <mergeCell ref="AU62:AV62"/>
    <mergeCell ref="AQ59:AR59"/>
    <mergeCell ref="AQ60:AR60"/>
    <mergeCell ref="BA66:BB66"/>
    <mergeCell ref="DC63:DD63"/>
    <mergeCell ref="DC64:DD64"/>
    <mergeCell ref="Z65:AJ65"/>
    <mergeCell ref="BI63:BI64"/>
    <mergeCell ref="BO62:BP62"/>
    <mergeCell ref="BQ62:BR62"/>
    <mergeCell ref="BJ61:BJ62"/>
    <mergeCell ref="CS66:CS67"/>
    <mergeCell ref="AS62:AT62"/>
    <mergeCell ref="CU62:CV62"/>
    <mergeCell ref="CW62:CX62"/>
    <mergeCell ref="CU59:CV59"/>
    <mergeCell ref="CU61:CV61"/>
    <mergeCell ref="CW61:CX61"/>
    <mergeCell ref="CU56:CV56"/>
    <mergeCell ref="CT56:CT57"/>
    <mergeCell ref="DG17:DH17"/>
    <mergeCell ref="DG18:DH18"/>
    <mergeCell ref="DI24:DJ24"/>
    <mergeCell ref="DI25:DJ25"/>
    <mergeCell ref="DK22:DL22"/>
    <mergeCell ref="DK23:DL23"/>
    <mergeCell ref="K53:L53"/>
    <mergeCell ref="K54:L54"/>
    <mergeCell ref="E56:F56"/>
    <mergeCell ref="E57:F57"/>
    <mergeCell ref="K63:L63"/>
    <mergeCell ref="K64:L64"/>
    <mergeCell ref="C55:D55"/>
    <mergeCell ref="E55:F55"/>
    <mergeCell ref="G55:H55"/>
    <mergeCell ref="I55:J55"/>
    <mergeCell ref="DI56:DJ56"/>
    <mergeCell ref="DI57:DJ57"/>
    <mergeCell ref="DG63:DH63"/>
    <mergeCell ref="DG64:DH64"/>
    <mergeCell ref="B26:L26"/>
    <mergeCell ref="BM60:BN60"/>
    <mergeCell ref="N26:X26"/>
    <mergeCell ref="Z26:AJ26"/>
    <mergeCell ref="AL26:AV26"/>
    <mergeCell ref="W55:X55"/>
    <mergeCell ref="AI55:AJ55"/>
    <mergeCell ref="Z58:AJ58"/>
    <mergeCell ref="CA62:CB62"/>
    <mergeCell ref="AK56:AK57"/>
    <mergeCell ref="BI56:BI57"/>
    <mergeCell ref="BJ56:BJ57"/>
    <mergeCell ref="AI71:AJ71"/>
    <mergeCell ref="EA24:EB24"/>
    <mergeCell ref="EA25:EB25"/>
    <mergeCell ref="DS17:DT17"/>
    <mergeCell ref="DS18:DT18"/>
    <mergeCell ref="S24:T24"/>
    <mergeCell ref="S25:T25"/>
    <mergeCell ref="O20:P20"/>
    <mergeCell ref="O21:P21"/>
    <mergeCell ref="AU20:AV20"/>
    <mergeCell ref="AU21:AV21"/>
    <mergeCell ref="AG24:AH24"/>
    <mergeCell ref="AG25:AH25"/>
    <mergeCell ref="AY24:AZ24"/>
    <mergeCell ref="AY25:AZ25"/>
    <mergeCell ref="BE27:BF27"/>
    <mergeCell ref="BE28:BF28"/>
    <mergeCell ref="BM29:BN29"/>
    <mergeCell ref="BS22:BT22"/>
    <mergeCell ref="BS23:BT23"/>
    <mergeCell ref="BO20:BP20"/>
    <mergeCell ref="BO21:BP21"/>
    <mergeCell ref="Q22:R22"/>
    <mergeCell ref="Q23:R23"/>
    <mergeCell ref="BG17:BH17"/>
    <mergeCell ref="BG18:BH18"/>
    <mergeCell ref="BW20:BX20"/>
    <mergeCell ref="BW21:BX21"/>
    <mergeCell ref="CA24:CB24"/>
    <mergeCell ref="CA25:CB25"/>
    <mergeCell ref="CC22:CD22"/>
    <mergeCell ref="CC23:CD23"/>
    <mergeCell ref="K71:L71"/>
    <mergeCell ref="K72:L72"/>
    <mergeCell ref="BU68:BU69"/>
    <mergeCell ref="BU71:BU72"/>
    <mergeCell ref="DE68:DE69"/>
    <mergeCell ref="DE71:DE72"/>
    <mergeCell ref="B31:L31"/>
    <mergeCell ref="K32:L32"/>
    <mergeCell ref="K33:L33"/>
    <mergeCell ref="W32:X32"/>
    <mergeCell ref="W33:X33"/>
    <mergeCell ref="AI32:AJ32"/>
    <mergeCell ref="AI33:AJ33"/>
    <mergeCell ref="AU32:AV32"/>
    <mergeCell ref="AU33:AV33"/>
    <mergeCell ref="BG32:BH32"/>
    <mergeCell ref="BG33:BH33"/>
    <mergeCell ref="BS32:BT32"/>
    <mergeCell ref="BS33:BT33"/>
    <mergeCell ref="CE32:CF32"/>
    <mergeCell ref="CE33:CF33"/>
    <mergeCell ref="CQ32:CR32"/>
    <mergeCell ref="CQ33:CR33"/>
    <mergeCell ref="DC32:DD32"/>
    <mergeCell ref="DC33:DD33"/>
    <mergeCell ref="K55:L55"/>
    <mergeCell ref="BC50:BD51"/>
    <mergeCell ref="N58:X58"/>
    <mergeCell ref="W67:X67"/>
    <mergeCell ref="AU60:AV60"/>
    <mergeCell ref="W71:X71"/>
    <mergeCell ref="W72:X72"/>
    <mergeCell ref="B8:E8"/>
    <mergeCell ref="N8:Q8"/>
    <mergeCell ref="B47:E47"/>
    <mergeCell ref="DQ20:DQ21"/>
    <mergeCell ref="W30:X30"/>
    <mergeCell ref="AU55:AV55"/>
    <mergeCell ref="BG55:BH55"/>
    <mergeCell ref="CE55:CF55"/>
    <mergeCell ref="AY68:AZ68"/>
    <mergeCell ref="BC68:BD68"/>
    <mergeCell ref="BE68:BF68"/>
    <mergeCell ref="AY69:AZ69"/>
    <mergeCell ref="BC69:BD69"/>
    <mergeCell ref="BE69:BF69"/>
    <mergeCell ref="M68:M69"/>
    <mergeCell ref="O68:P68"/>
    <mergeCell ref="S68:T68"/>
    <mergeCell ref="U68:V68"/>
    <mergeCell ref="AW50:AW51"/>
    <mergeCell ref="BI46:BT46"/>
    <mergeCell ref="AX50:AX51"/>
    <mergeCell ref="CG46:CR46"/>
    <mergeCell ref="CG50:CG51"/>
    <mergeCell ref="CH50:CH51"/>
    <mergeCell ref="CI50:CJ51"/>
    <mergeCell ref="BW68:BX68"/>
    <mergeCell ref="CA68:CB68"/>
    <mergeCell ref="AW68:AW69"/>
    <mergeCell ref="N65:X65"/>
    <mergeCell ref="AS60:AT60"/>
    <mergeCell ref="DO32:DP32"/>
    <mergeCell ref="DO33:DP33"/>
    <mergeCell ref="DR19:EB19"/>
    <mergeCell ref="DY27:DZ27"/>
    <mergeCell ref="DY25:DZ25"/>
    <mergeCell ref="DY24:DZ24"/>
    <mergeCell ref="AX26:BH26"/>
    <mergeCell ref="BJ26:BT26"/>
    <mergeCell ref="BV26:CF26"/>
    <mergeCell ref="CH26:CR26"/>
    <mergeCell ref="DO29:DP29"/>
    <mergeCell ref="DO30:DP30"/>
    <mergeCell ref="DE43:DP43"/>
    <mergeCell ref="CT26:DD26"/>
    <mergeCell ref="DF26:DP26"/>
    <mergeCell ref="EK53:EL53"/>
    <mergeCell ref="BS50:BT51"/>
    <mergeCell ref="BG50:BH51"/>
    <mergeCell ref="BA50:BB51"/>
    <mergeCell ref="EE53:EF53"/>
    <mergeCell ref="EG53:EH53"/>
    <mergeCell ref="EI53:EJ53"/>
    <mergeCell ref="DW53:DX53"/>
    <mergeCell ref="DY53:DZ53"/>
    <mergeCell ref="EA53:EB53"/>
    <mergeCell ref="EA32:EB32"/>
    <mergeCell ref="EA33:EB33"/>
    <mergeCell ref="CU27:CV27"/>
    <mergeCell ref="BE50:BF51"/>
    <mergeCell ref="BJ50:BJ51"/>
    <mergeCell ref="CA50:CB51"/>
    <mergeCell ref="BW50:BX51"/>
    <mergeCell ref="BY50:BZ51"/>
    <mergeCell ref="DF50:DF51"/>
    <mergeCell ref="AK61:AK62"/>
    <mergeCell ref="AL61:AL62"/>
    <mergeCell ref="AO63:AP63"/>
    <mergeCell ref="AQ63:AR63"/>
    <mergeCell ref="AO64:AP64"/>
    <mergeCell ref="AQ64:AR64"/>
    <mergeCell ref="AU63:AV63"/>
    <mergeCell ref="AU64:AV64"/>
    <mergeCell ref="BJ63:BJ64"/>
    <mergeCell ref="AY62:AZ62"/>
    <mergeCell ref="BA62:BB62"/>
    <mergeCell ref="FZ58:GJ58"/>
    <mergeCell ref="AU29:AV29"/>
    <mergeCell ref="AU30:AV30"/>
    <mergeCell ref="BG29:BH29"/>
    <mergeCell ref="BG30:BH30"/>
    <mergeCell ref="BS29:BT29"/>
    <mergeCell ref="BS30:BT30"/>
    <mergeCell ref="DF58:DP58"/>
    <mergeCell ref="DR58:EB58"/>
    <mergeCell ref="EM53:EN53"/>
    <mergeCell ref="DU60:DV60"/>
    <mergeCell ref="DW60:DX60"/>
    <mergeCell ref="DY60:DZ60"/>
    <mergeCell ref="EA60:EB60"/>
    <mergeCell ref="EE60:EF60"/>
    <mergeCell ref="EG60:EH60"/>
    <mergeCell ref="EI60:EJ60"/>
    <mergeCell ref="DA60:DB60"/>
    <mergeCell ref="DG60:DH60"/>
    <mergeCell ref="CW59:CX59"/>
    <mergeCell ref="DK59:DL59"/>
    <mergeCell ref="B65:L65"/>
    <mergeCell ref="AX65:BH65"/>
    <mergeCell ref="DA50:DB51"/>
    <mergeCell ref="CU52:DD52"/>
    <mergeCell ref="Y44:AJ44"/>
    <mergeCell ref="AK44:AV44"/>
    <mergeCell ref="AW44:BH44"/>
    <mergeCell ref="BI44:BT44"/>
    <mergeCell ref="BU44:CF44"/>
    <mergeCell ref="BU46:CF46"/>
    <mergeCell ref="BU50:BU51"/>
    <mergeCell ref="CQ50:CR51"/>
    <mergeCell ref="DR65:EB65"/>
    <mergeCell ref="DG54:DH54"/>
    <mergeCell ref="DE59:DE60"/>
    <mergeCell ref="DO50:DP51"/>
    <mergeCell ref="DE56:DE57"/>
    <mergeCell ref="DQ53:DQ54"/>
    <mergeCell ref="DR53:DR54"/>
    <mergeCell ref="DS53:DT53"/>
    <mergeCell ref="DU53:DV53"/>
    <mergeCell ref="DM61:DN61"/>
    <mergeCell ref="DO61:DP61"/>
    <mergeCell ref="DI62:DJ62"/>
    <mergeCell ref="AY59:AZ59"/>
    <mergeCell ref="CO54:CP54"/>
    <mergeCell ref="CM60:CN60"/>
    <mergeCell ref="AA54:AB54"/>
    <mergeCell ref="AC54:AD54"/>
    <mergeCell ref="DF59:DF60"/>
    <mergeCell ref="DG59:DH59"/>
    <mergeCell ref="CY60:CZ60"/>
    <mergeCell ref="B68:B69"/>
    <mergeCell ref="CS68:CS69"/>
    <mergeCell ref="CU68:CV68"/>
    <mergeCell ref="CY68:CZ68"/>
    <mergeCell ref="DA68:DB68"/>
    <mergeCell ref="CU69:CV69"/>
    <mergeCell ref="DG66:DH66"/>
    <mergeCell ref="DI66:DJ66"/>
    <mergeCell ref="DK66:DL66"/>
    <mergeCell ref="K68:L68"/>
    <mergeCell ref="K69:L69"/>
    <mergeCell ref="W68:X68"/>
    <mergeCell ref="W69:X69"/>
    <mergeCell ref="AI68:AJ68"/>
    <mergeCell ref="AI69:AJ69"/>
    <mergeCell ref="DA67:DB67"/>
    <mergeCell ref="DC67:DD67"/>
    <mergeCell ref="CY69:CZ69"/>
    <mergeCell ref="U67:V67"/>
    <mergeCell ref="DG67:DH67"/>
    <mergeCell ref="DA66:DB66"/>
    <mergeCell ref="DC66:DD66"/>
    <mergeCell ref="BI66:BI67"/>
    <mergeCell ref="BJ66:BJ67"/>
    <mergeCell ref="BK66:BL66"/>
    <mergeCell ref="DA69:DB69"/>
    <mergeCell ref="DI67:DJ67"/>
    <mergeCell ref="DK67:DL67"/>
    <mergeCell ref="BG68:BH68"/>
    <mergeCell ref="AE67:AF67"/>
    <mergeCell ref="U66:V66"/>
    <mergeCell ref="BM66:BN66"/>
    <mergeCell ref="K29:L29"/>
    <mergeCell ref="K30:L30"/>
    <mergeCell ref="W29:X29"/>
    <mergeCell ref="AK41:AV41"/>
    <mergeCell ref="AW41:BH41"/>
    <mergeCell ref="BI41:BT41"/>
    <mergeCell ref="AI29:AJ29"/>
    <mergeCell ref="AI30:AJ30"/>
    <mergeCell ref="BU41:CF41"/>
    <mergeCell ref="CG41:CR41"/>
    <mergeCell ref="BI32:BI33"/>
    <mergeCell ref="AY33:AZ33"/>
    <mergeCell ref="BA33:BB33"/>
    <mergeCell ref="BM30:BN30"/>
    <mergeCell ref="CO32:CP32"/>
    <mergeCell ref="V39:X39"/>
    <mergeCell ref="Z39:AB39"/>
    <mergeCell ref="AD39:AF39"/>
    <mergeCell ref="V38:X38"/>
    <mergeCell ref="Z38:AB38"/>
    <mergeCell ref="M32:M33"/>
    <mergeCell ref="N32:N33"/>
    <mergeCell ref="O32:P32"/>
    <mergeCell ref="Q32:R32"/>
    <mergeCell ref="S32:T32"/>
    <mergeCell ref="S33:T33"/>
    <mergeCell ref="BE29:BF29"/>
    <mergeCell ref="AP38:AR38"/>
    <mergeCell ref="M41:X41"/>
    <mergeCell ref="Y41:AJ41"/>
    <mergeCell ref="CO53:CP53"/>
    <mergeCell ref="CQ53:CR53"/>
    <mergeCell ref="CI54:CJ54"/>
    <mergeCell ref="CK54:CL54"/>
    <mergeCell ref="BS55:BT55"/>
    <mergeCell ref="BK54:BL54"/>
    <mergeCell ref="BM54:BN54"/>
    <mergeCell ref="BO54:BP54"/>
    <mergeCell ref="BK56:BL56"/>
    <mergeCell ref="BM56:BN56"/>
    <mergeCell ref="DF19:DP19"/>
    <mergeCell ref="CQ29:CR29"/>
    <mergeCell ref="DC29:DD29"/>
    <mergeCell ref="DC53:DD53"/>
    <mergeCell ref="DC54:DD54"/>
    <mergeCell ref="CU33:CV33"/>
    <mergeCell ref="DO56:DP56"/>
    <mergeCell ref="DC56:DD56"/>
    <mergeCell ref="BU53:BU54"/>
    <mergeCell ref="BV53:BV54"/>
    <mergeCell ref="DO28:DP28"/>
    <mergeCell ref="DO24:DP24"/>
    <mergeCell ref="DK30:DL30"/>
    <mergeCell ref="DM30:DN30"/>
    <mergeCell ref="DF29:DF30"/>
    <mergeCell ref="DC30:DD30"/>
    <mergeCell ref="DN39:DP39"/>
    <mergeCell ref="DI33:DJ33"/>
    <mergeCell ref="AG50:AH51"/>
    <mergeCell ref="AI50:AJ51"/>
    <mergeCell ref="AA52:AJ52"/>
    <mergeCell ref="AA53:AB53"/>
    <mergeCell ref="AC53:AD53"/>
    <mergeCell ref="AE53:AF53"/>
    <mergeCell ref="AG53:AH53"/>
    <mergeCell ref="AI53:AJ53"/>
    <mergeCell ref="CG44:CR44"/>
    <mergeCell ref="CU28:CV28"/>
    <mergeCell ref="CI53:CJ53"/>
    <mergeCell ref="CK53:CL53"/>
    <mergeCell ref="BV50:BV51"/>
    <mergeCell ref="AW46:BH46"/>
    <mergeCell ref="DC50:DD51"/>
    <mergeCell ref="DE46:DP46"/>
    <mergeCell ref="DI54:DJ54"/>
    <mergeCell ref="DE50:DE51"/>
    <mergeCell ref="DO54:DP54"/>
    <mergeCell ref="AE54:AF54"/>
    <mergeCell ref="AG54:AH54"/>
    <mergeCell ref="AI54:AJ54"/>
    <mergeCell ref="CI52:CR52"/>
    <mergeCell ref="AY50:AZ51"/>
    <mergeCell ref="CS41:DD41"/>
    <mergeCell ref="CS32:CS33"/>
    <mergeCell ref="CT32:CT33"/>
    <mergeCell ref="CT53:CT54"/>
    <mergeCell ref="CU54:CV54"/>
    <mergeCell ref="CW54:CX54"/>
    <mergeCell ref="CY54:CZ54"/>
    <mergeCell ref="CO33:CP33"/>
    <mergeCell ref="Z19:AJ19"/>
    <mergeCell ref="AL19:AV19"/>
    <mergeCell ref="AX19:BH19"/>
    <mergeCell ref="BJ19:BT19"/>
    <mergeCell ref="BV19:CF19"/>
    <mergeCell ref="CH19:CR19"/>
    <mergeCell ref="CT19:DD19"/>
    <mergeCell ref="DF61:DF62"/>
    <mergeCell ref="DG61:DH61"/>
    <mergeCell ref="DI61:DJ61"/>
    <mergeCell ref="FW68:FX72"/>
    <mergeCell ref="Z29:Z30"/>
    <mergeCell ref="AL29:AL30"/>
    <mergeCell ref="AX29:AX30"/>
    <mergeCell ref="BJ29:BJ30"/>
    <mergeCell ref="BV29:BV30"/>
    <mergeCell ref="DG68:DH68"/>
    <mergeCell ref="DK68:DL68"/>
    <mergeCell ref="DM68:DN68"/>
    <mergeCell ref="DG69:DH69"/>
    <mergeCell ref="DK69:DL69"/>
    <mergeCell ref="DM69:DN69"/>
    <mergeCell ref="DM71:DN71"/>
    <mergeCell ref="DM72:DN72"/>
    <mergeCell ref="DF53:DF54"/>
    <mergeCell ref="DE53:DE54"/>
    <mergeCell ref="DO63:DP63"/>
    <mergeCell ref="DO64:DP64"/>
    <mergeCell ref="DE66:DE67"/>
    <mergeCell ref="DF66:DF67"/>
    <mergeCell ref="DK56:DL56"/>
    <mergeCell ref="DM56:DN56"/>
    <mergeCell ref="DE61:DE62"/>
    <mergeCell ref="CY62:CZ62"/>
    <mergeCell ref="DA62:DB62"/>
    <mergeCell ref="DC62:DD62"/>
    <mergeCell ref="CT65:DD65"/>
    <mergeCell ref="DF65:DP65"/>
    <mergeCell ref="CU57:CV57"/>
    <mergeCell ref="CW57:CX57"/>
    <mergeCell ref="DI32:DJ32"/>
    <mergeCell ref="ED65:EN65"/>
    <mergeCell ref="DA64:DB64"/>
    <mergeCell ref="CY61:CZ61"/>
    <mergeCell ref="DA61:DB61"/>
    <mergeCell ref="DC61:DD61"/>
    <mergeCell ref="DE44:DP44"/>
    <mergeCell ref="CS43:DD43"/>
    <mergeCell ref="DC57:DD57"/>
    <mergeCell ref="CW60:CX60"/>
    <mergeCell ref="CS53:CS54"/>
    <mergeCell ref="CU53:CV53"/>
    <mergeCell ref="CW53:CX53"/>
    <mergeCell ref="CY53:CZ53"/>
    <mergeCell ref="DA53:DB53"/>
    <mergeCell ref="DG53:DH53"/>
    <mergeCell ref="DI53:DJ53"/>
    <mergeCell ref="DK53:DL53"/>
    <mergeCell ref="DM53:DN53"/>
    <mergeCell ref="DO53:DP53"/>
    <mergeCell ref="DG62:DH62"/>
    <mergeCell ref="CS61:CS62"/>
    <mergeCell ref="CT61:CT62"/>
    <mergeCell ref="DI63:DJ63"/>
    <mergeCell ref="DK63:DL63"/>
    <mergeCell ref="DM63:DN63"/>
    <mergeCell ref="DK57:DL57"/>
    <mergeCell ref="DF56:DF57"/>
    <mergeCell ref="DG56:DH56"/>
    <mergeCell ref="DI64:DJ64"/>
    <mergeCell ref="DK60:DL60"/>
    <mergeCell ref="DM60:DN60"/>
    <mergeCell ref="DM59:DN59"/>
    <mergeCell ref="EY29:EZ33"/>
    <mergeCell ref="DM57:DN57"/>
    <mergeCell ref="DO57:DP57"/>
    <mergeCell ref="CS46:DD46"/>
    <mergeCell ref="CS50:CS51"/>
    <mergeCell ref="CT50:CT51"/>
    <mergeCell ref="CU50:CV51"/>
    <mergeCell ref="CW50:CX51"/>
    <mergeCell ref="CY50:CZ51"/>
    <mergeCell ref="DK54:DL54"/>
    <mergeCell ref="DM54:DN54"/>
    <mergeCell ref="DA54:DB54"/>
    <mergeCell ref="DE40:DP40"/>
    <mergeCell ref="DF39:DH39"/>
    <mergeCell ref="DJ39:DL39"/>
    <mergeCell ref="DC60:DD60"/>
    <mergeCell ref="CU60:CV60"/>
    <mergeCell ref="DE42:DP42"/>
    <mergeCell ref="DM33:DN33"/>
    <mergeCell ref="DG33:DH33"/>
    <mergeCell ref="CW56:CX56"/>
    <mergeCell ref="CY56:CZ56"/>
    <mergeCell ref="DA56:DB56"/>
    <mergeCell ref="CY59:CZ59"/>
    <mergeCell ref="DA59:DB59"/>
    <mergeCell ref="DC59:DD59"/>
    <mergeCell ref="CY57:CZ57"/>
    <mergeCell ref="DA57:DB57"/>
    <mergeCell ref="CM59:CN59"/>
    <mergeCell ref="CI60:CJ60"/>
    <mergeCell ref="CM56:CN56"/>
    <mergeCell ref="CI56:CJ56"/>
    <mergeCell ref="CK56:CL56"/>
    <mergeCell ref="CM61:CN61"/>
    <mergeCell ref="CO61:CP61"/>
    <mergeCell ref="CQ61:CR61"/>
    <mergeCell ref="CO59:CP59"/>
    <mergeCell ref="CO60:CP60"/>
    <mergeCell ref="CM63:CN63"/>
    <mergeCell ref="CI64:CJ64"/>
    <mergeCell ref="CK64:CL64"/>
    <mergeCell ref="CQ64:CR64"/>
    <mergeCell ref="CO63:CP63"/>
    <mergeCell ref="CO64:CP64"/>
    <mergeCell ref="CI57:CJ57"/>
    <mergeCell ref="CO62:CP62"/>
    <mergeCell ref="CI61:CJ61"/>
    <mergeCell ref="CK61:CL61"/>
    <mergeCell ref="CQ63:CR63"/>
    <mergeCell ref="CO56:CP56"/>
    <mergeCell ref="CQ56:CR56"/>
    <mergeCell ref="CQ57:CR57"/>
    <mergeCell ref="CH58:CR58"/>
    <mergeCell ref="DM64:DN64"/>
    <mergeCell ref="CS63:CS64"/>
    <mergeCell ref="CT63:CT64"/>
    <mergeCell ref="CU63:CV63"/>
    <mergeCell ref="CW63:CX63"/>
    <mergeCell ref="CU64:CV64"/>
    <mergeCell ref="CW64:CX64"/>
    <mergeCell ref="CY63:CZ63"/>
    <mergeCell ref="CY64:CZ64"/>
    <mergeCell ref="CT58:DD58"/>
    <mergeCell ref="CS59:CS60"/>
    <mergeCell ref="CT59:CT60"/>
    <mergeCell ref="DF63:DF64"/>
    <mergeCell ref="DA63:DB63"/>
    <mergeCell ref="DE63:DE64"/>
    <mergeCell ref="DK61:DL61"/>
    <mergeCell ref="CG66:CG67"/>
    <mergeCell ref="CH66:CH67"/>
    <mergeCell ref="CI66:CJ66"/>
    <mergeCell ref="CK66:CL66"/>
    <mergeCell ref="CM66:CN66"/>
    <mergeCell ref="CO66:CP66"/>
    <mergeCell ref="CQ66:CR66"/>
    <mergeCell ref="CI67:CJ67"/>
    <mergeCell ref="CK67:CL67"/>
    <mergeCell ref="CM67:CN67"/>
    <mergeCell ref="CO67:CP67"/>
    <mergeCell ref="CQ67:CR67"/>
    <mergeCell ref="CI62:CJ62"/>
    <mergeCell ref="CK62:CL62"/>
    <mergeCell ref="CM62:CN62"/>
    <mergeCell ref="CH65:CR65"/>
    <mergeCell ref="CG63:CG64"/>
    <mergeCell ref="CH63:CH64"/>
    <mergeCell ref="CI63:CJ63"/>
    <mergeCell ref="CK63:CL63"/>
    <mergeCell ref="CM57:CN57"/>
    <mergeCell ref="CK57:CL57"/>
    <mergeCell ref="CM64:CN64"/>
    <mergeCell ref="CQ62:CR62"/>
    <mergeCell ref="CQ59:CR59"/>
    <mergeCell ref="CQ60:CR60"/>
    <mergeCell ref="CI59:CJ59"/>
    <mergeCell ref="BW60:BX60"/>
    <mergeCell ref="BU59:BU60"/>
    <mergeCell ref="BV59:BV60"/>
    <mergeCell ref="BW59:BX59"/>
    <mergeCell ref="BY59:BZ59"/>
    <mergeCell ref="CA59:CB59"/>
    <mergeCell ref="BV58:CF58"/>
    <mergeCell ref="CG61:CG62"/>
    <mergeCell ref="CH61:CH62"/>
    <mergeCell ref="CE59:CF59"/>
    <mergeCell ref="CG59:CG60"/>
    <mergeCell ref="CK60:CL60"/>
    <mergeCell ref="CC61:CD61"/>
    <mergeCell ref="BK62:BL62"/>
    <mergeCell ref="CC63:CD63"/>
    <mergeCell ref="BK63:BL63"/>
    <mergeCell ref="BM63:BN63"/>
    <mergeCell ref="BO63:BP63"/>
    <mergeCell ref="BQ63:BR63"/>
    <mergeCell ref="BY63:BZ63"/>
    <mergeCell ref="CA63:CB63"/>
    <mergeCell ref="BQ54:BR54"/>
    <mergeCell ref="BS54:BT54"/>
    <mergeCell ref="BQ56:BR56"/>
    <mergeCell ref="CK59:CL59"/>
    <mergeCell ref="CC62:CD62"/>
    <mergeCell ref="BK67:BL67"/>
    <mergeCell ref="BM67:BN67"/>
    <mergeCell ref="BO67:BP67"/>
    <mergeCell ref="BY62:BZ62"/>
    <mergeCell ref="BU61:BU62"/>
    <mergeCell ref="BV61:BV62"/>
    <mergeCell ref="BW61:BX61"/>
    <mergeCell ref="CE61:CF61"/>
    <mergeCell ref="CE62:CF62"/>
    <mergeCell ref="BW62:BX62"/>
    <mergeCell ref="BY61:BZ61"/>
    <mergeCell ref="CA61:CB61"/>
    <mergeCell ref="BO66:BP66"/>
    <mergeCell ref="BQ66:BR66"/>
    <mergeCell ref="CC67:CD67"/>
    <mergeCell ref="BY64:BZ64"/>
    <mergeCell ref="BW64:BX64"/>
    <mergeCell ref="BK64:BL64"/>
    <mergeCell ref="BM64:BN64"/>
    <mergeCell ref="BO64:BP64"/>
    <mergeCell ref="BQ64:BR64"/>
    <mergeCell ref="CC64:CD64"/>
    <mergeCell ref="BQ67:BR67"/>
    <mergeCell ref="AW66:AW67"/>
    <mergeCell ref="BU66:BU67"/>
    <mergeCell ref="BV66:BV67"/>
    <mergeCell ref="BW66:BX66"/>
    <mergeCell ref="CA64:CB64"/>
    <mergeCell ref="AX66:AX67"/>
    <mergeCell ref="AY66:AZ66"/>
    <mergeCell ref="BC66:BD66"/>
    <mergeCell ref="BE66:BF66"/>
    <mergeCell ref="BG66:BH66"/>
    <mergeCell ref="AY67:AZ67"/>
    <mergeCell ref="BC67:BD67"/>
    <mergeCell ref="BE67:BF67"/>
    <mergeCell ref="BG67:BH67"/>
    <mergeCell ref="BV65:CF65"/>
    <mergeCell ref="BY66:BZ66"/>
    <mergeCell ref="CA66:CB66"/>
    <mergeCell ref="CC66:CD66"/>
    <mergeCell ref="CE66:CF66"/>
    <mergeCell ref="BW67:BX67"/>
    <mergeCell ref="BY67:BZ67"/>
    <mergeCell ref="CA67:CB67"/>
    <mergeCell ref="CE67:CF67"/>
    <mergeCell ref="BU63:BU64"/>
    <mergeCell ref="BV63:BV64"/>
    <mergeCell ref="BW63:BX63"/>
    <mergeCell ref="BJ65:BT65"/>
    <mergeCell ref="BS63:BT63"/>
    <mergeCell ref="BS64:BT64"/>
    <mergeCell ref="BA63:BB63"/>
    <mergeCell ref="BC63:BD63"/>
    <mergeCell ref="BC62:BD62"/>
    <mergeCell ref="BE62:BF62"/>
    <mergeCell ref="AY63:AZ63"/>
    <mergeCell ref="AU66:AV66"/>
    <mergeCell ref="AM67:AN67"/>
    <mergeCell ref="AO67:AP67"/>
    <mergeCell ref="AQ67:AR67"/>
    <mergeCell ref="AS67:AT67"/>
    <mergeCell ref="AU67:AV67"/>
    <mergeCell ref="BC64:BD64"/>
    <mergeCell ref="AK66:AK67"/>
    <mergeCell ref="AL66:AL67"/>
    <mergeCell ref="AM66:AN66"/>
    <mergeCell ref="AK68:AK69"/>
    <mergeCell ref="AM68:AN68"/>
    <mergeCell ref="AQ68:AR68"/>
    <mergeCell ref="AS68:AT68"/>
    <mergeCell ref="AM69:AN69"/>
    <mergeCell ref="AQ69:AR69"/>
    <mergeCell ref="AS69:AT69"/>
    <mergeCell ref="AK63:AK64"/>
    <mergeCell ref="AL63:AL64"/>
    <mergeCell ref="AO66:AP66"/>
    <mergeCell ref="AQ66:AR66"/>
    <mergeCell ref="AS66:AT66"/>
    <mergeCell ref="AL65:AV65"/>
    <mergeCell ref="BE63:BF63"/>
    <mergeCell ref="AY64:AZ64"/>
    <mergeCell ref="BA64:BB64"/>
    <mergeCell ref="BE64:BF64"/>
    <mergeCell ref="AW63:AW64"/>
    <mergeCell ref="AX63:AX64"/>
    <mergeCell ref="AI63:AJ63"/>
    <mergeCell ref="AI64:AJ64"/>
    <mergeCell ref="AC64:AD64"/>
    <mergeCell ref="AE63:AF63"/>
    <mergeCell ref="AG63:AH63"/>
    <mergeCell ref="Y66:Y67"/>
    <mergeCell ref="Z66:Z67"/>
    <mergeCell ref="AA66:AB66"/>
    <mergeCell ref="AC66:AD66"/>
    <mergeCell ref="AE66:AF66"/>
    <mergeCell ref="AG66:AH66"/>
    <mergeCell ref="Z63:Z64"/>
    <mergeCell ref="AA63:AB63"/>
    <mergeCell ref="AI67:AJ67"/>
    <mergeCell ref="AC63:AD63"/>
    <mergeCell ref="AA64:AB64"/>
    <mergeCell ref="AG67:AH67"/>
    <mergeCell ref="AC67:AD67"/>
    <mergeCell ref="Y63:Y64"/>
    <mergeCell ref="AI66:AJ66"/>
    <mergeCell ref="A66:A67"/>
    <mergeCell ref="B66:B67"/>
    <mergeCell ref="S62:T62"/>
    <mergeCell ref="B63:B64"/>
    <mergeCell ref="C63:D63"/>
    <mergeCell ref="E63:F63"/>
    <mergeCell ref="G63:H63"/>
    <mergeCell ref="I63:J63"/>
    <mergeCell ref="Y68:Y69"/>
    <mergeCell ref="AA68:AB68"/>
    <mergeCell ref="AE68:AF68"/>
    <mergeCell ref="AG68:AH68"/>
    <mergeCell ref="AA69:AB69"/>
    <mergeCell ref="AE69:AF69"/>
    <mergeCell ref="AG69:AH69"/>
    <mergeCell ref="AE64:AF64"/>
    <mergeCell ref="AG64:AH64"/>
    <mergeCell ref="Z68:Z69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M66:M67"/>
    <mergeCell ref="N66:N67"/>
    <mergeCell ref="O66:P66"/>
    <mergeCell ref="AA67:AB67"/>
    <mergeCell ref="M56:M57"/>
    <mergeCell ref="N56:N57"/>
    <mergeCell ref="O56:P56"/>
    <mergeCell ref="Q56:R56"/>
    <mergeCell ref="S54:T54"/>
    <mergeCell ref="K50:L51"/>
    <mergeCell ref="AG61:AH61"/>
    <mergeCell ref="AI61:AJ61"/>
    <mergeCell ref="A68:A69"/>
    <mergeCell ref="C68:D68"/>
    <mergeCell ref="G68:H68"/>
    <mergeCell ref="I68:J68"/>
    <mergeCell ref="C69:D69"/>
    <mergeCell ref="G69:H69"/>
    <mergeCell ref="I69:J69"/>
    <mergeCell ref="M46:X46"/>
    <mergeCell ref="M50:M51"/>
    <mergeCell ref="N50:N51"/>
    <mergeCell ref="O50:P51"/>
    <mergeCell ref="Q50:R51"/>
    <mergeCell ref="S50:T51"/>
    <mergeCell ref="U50:V51"/>
    <mergeCell ref="W50:X51"/>
    <mergeCell ref="O52:X52"/>
    <mergeCell ref="O53:P53"/>
    <mergeCell ref="Q53:R53"/>
    <mergeCell ref="S53:T53"/>
    <mergeCell ref="U53:V53"/>
    <mergeCell ref="W53:X53"/>
    <mergeCell ref="O54:P54"/>
    <mergeCell ref="Q54:R54"/>
    <mergeCell ref="U63:V63"/>
    <mergeCell ref="Q66:R66"/>
    <mergeCell ref="S66:T66"/>
    <mergeCell ref="O67:P67"/>
    <mergeCell ref="Q67:R67"/>
    <mergeCell ref="S67:T67"/>
    <mergeCell ref="BO60:BP60"/>
    <mergeCell ref="BQ60:BR60"/>
    <mergeCell ref="BS60:BT60"/>
    <mergeCell ref="BI59:BI60"/>
    <mergeCell ref="AL58:AV58"/>
    <mergeCell ref="AX58:BH58"/>
    <mergeCell ref="BJ58:BT58"/>
    <mergeCell ref="BO57:BP57"/>
    <mergeCell ref="BQ57:BR57"/>
    <mergeCell ref="BS57:BT57"/>
    <mergeCell ref="BJ59:BJ60"/>
    <mergeCell ref="AE56:AF56"/>
    <mergeCell ref="U57:V57"/>
    <mergeCell ref="W57:X57"/>
    <mergeCell ref="AA57:AB57"/>
    <mergeCell ref="AC57:AD57"/>
    <mergeCell ref="BS61:BT61"/>
    <mergeCell ref="BS62:BT62"/>
    <mergeCell ref="AE60:AF60"/>
    <mergeCell ref="AG60:AH60"/>
    <mergeCell ref="U60:V60"/>
    <mergeCell ref="W60:X60"/>
    <mergeCell ref="AA60:AB60"/>
    <mergeCell ref="AC60:AD60"/>
    <mergeCell ref="Q63:R63"/>
    <mergeCell ref="S57:T57"/>
    <mergeCell ref="U59:V59"/>
    <mergeCell ref="O57:P57"/>
    <mergeCell ref="Q57:R57"/>
    <mergeCell ref="Y56:Y57"/>
    <mergeCell ref="K60:L60"/>
    <mergeCell ref="W56:X56"/>
    <mergeCell ref="S56:T56"/>
    <mergeCell ref="U56:V56"/>
    <mergeCell ref="W59:X59"/>
    <mergeCell ref="Y59:Y60"/>
    <mergeCell ref="Z59:Z60"/>
    <mergeCell ref="AG59:AH59"/>
    <mergeCell ref="Z56:Z57"/>
    <mergeCell ref="AA56:AB56"/>
    <mergeCell ref="AC56:AD56"/>
    <mergeCell ref="AG56:AH56"/>
    <mergeCell ref="CC20:CD20"/>
    <mergeCell ref="BU22:BU23"/>
    <mergeCell ref="BV22:BV23"/>
    <mergeCell ref="BW22:BX22"/>
    <mergeCell ref="BY22:BZ22"/>
    <mergeCell ref="CA22:CB22"/>
    <mergeCell ref="BA60:BB60"/>
    <mergeCell ref="BC60:BD60"/>
    <mergeCell ref="AK59:AK60"/>
    <mergeCell ref="AL59:AL60"/>
    <mergeCell ref="BK59:BL59"/>
    <mergeCell ref="BM59:BN59"/>
    <mergeCell ref="AY60:AZ60"/>
    <mergeCell ref="BE59:BF59"/>
    <mergeCell ref="BG59:BH59"/>
    <mergeCell ref="BK52:BT52"/>
    <mergeCell ref="AE59:AF59"/>
    <mergeCell ref="DK33:DL33"/>
    <mergeCell ref="AS59:AT59"/>
    <mergeCell ref="AY52:BH52"/>
    <mergeCell ref="BE53:BF53"/>
    <mergeCell ref="AM59:AN59"/>
    <mergeCell ref="BY56:BZ56"/>
    <mergeCell ref="CA56:CB56"/>
    <mergeCell ref="CC56:CD56"/>
    <mergeCell ref="CL39:CN39"/>
    <mergeCell ref="CC50:CD51"/>
    <mergeCell ref="CE50:CF51"/>
    <mergeCell ref="CH59:CH60"/>
    <mergeCell ref="BQ59:BR59"/>
    <mergeCell ref="BS59:BT59"/>
    <mergeCell ref="BY60:BZ60"/>
    <mergeCell ref="CA60:CB60"/>
    <mergeCell ref="CC60:CD60"/>
    <mergeCell ref="BY54:BZ54"/>
    <mergeCell ref="CA54:CB54"/>
    <mergeCell ref="CC54:CD54"/>
    <mergeCell ref="CE54:CF54"/>
    <mergeCell ref="CE60:CF60"/>
    <mergeCell ref="CQ55:CR55"/>
    <mergeCell ref="CM54:CN54"/>
    <mergeCell ref="AW59:AW60"/>
    <mergeCell ref="AX59:AX60"/>
    <mergeCell ref="CC57:CD57"/>
    <mergeCell ref="BO59:BP59"/>
    <mergeCell ref="BC57:BD57"/>
    <mergeCell ref="CE56:CF56"/>
    <mergeCell ref="CG56:CG57"/>
    <mergeCell ref="CH56:CH57"/>
    <mergeCell ref="W61:X61"/>
    <mergeCell ref="Y61:Y62"/>
    <mergeCell ref="Z61:Z62"/>
    <mergeCell ref="AA61:AB61"/>
    <mergeCell ref="AC61:AD61"/>
    <mergeCell ref="A61:A62"/>
    <mergeCell ref="B61:B62"/>
    <mergeCell ref="AY61:AZ61"/>
    <mergeCell ref="BC61:BD61"/>
    <mergeCell ref="BE61:BF61"/>
    <mergeCell ref="U64:V64"/>
    <mergeCell ref="BI61:BI62"/>
    <mergeCell ref="BQ61:BR61"/>
    <mergeCell ref="BK61:BL61"/>
    <mergeCell ref="AO61:AP61"/>
    <mergeCell ref="S61:T61"/>
    <mergeCell ref="AM64:AN64"/>
    <mergeCell ref="AW61:AW62"/>
    <mergeCell ref="AX61:AX62"/>
    <mergeCell ref="U62:V62"/>
    <mergeCell ref="W62:X62"/>
    <mergeCell ref="AA62:AB62"/>
    <mergeCell ref="AC62:AD62"/>
    <mergeCell ref="W63:X63"/>
    <mergeCell ref="W64:X64"/>
    <mergeCell ref="M63:M64"/>
    <mergeCell ref="N63:N64"/>
    <mergeCell ref="O63:P63"/>
    <mergeCell ref="AM63:AN63"/>
    <mergeCell ref="AM62:AN62"/>
    <mergeCell ref="AO62:AP62"/>
    <mergeCell ref="AQ62:AR62"/>
    <mergeCell ref="DI17:DJ17"/>
    <mergeCell ref="DK17:DL17"/>
    <mergeCell ref="DM17:DN17"/>
    <mergeCell ref="DO17:DP17"/>
    <mergeCell ref="DI18:DJ18"/>
    <mergeCell ref="DK18:DL18"/>
    <mergeCell ref="DG16:DH16"/>
    <mergeCell ref="CW23:CX23"/>
    <mergeCell ref="CS20:CS21"/>
    <mergeCell ref="CU22:CV22"/>
    <mergeCell ref="CW22:CX22"/>
    <mergeCell ref="DE41:DP41"/>
    <mergeCell ref="DG52:DP52"/>
    <mergeCell ref="DG50:DH51"/>
    <mergeCell ref="DI50:DJ51"/>
    <mergeCell ref="DK50:DL51"/>
    <mergeCell ref="DM50:DN51"/>
    <mergeCell ref="DC22:DD22"/>
    <mergeCell ref="DE20:DE21"/>
    <mergeCell ref="DF20:DF21"/>
    <mergeCell ref="DG20:DH20"/>
    <mergeCell ref="DI20:DJ20"/>
    <mergeCell ref="DC23:DD23"/>
    <mergeCell ref="DG23:DH23"/>
    <mergeCell ref="DI21:DJ21"/>
    <mergeCell ref="DK21:DL21"/>
    <mergeCell ref="DC20:DD20"/>
    <mergeCell ref="DG21:DH21"/>
    <mergeCell ref="DF38:DH38"/>
    <mergeCell ref="DJ38:DL38"/>
    <mergeCell ref="DN38:DP38"/>
    <mergeCell ref="DK20:DL20"/>
    <mergeCell ref="CY20:CZ20"/>
    <mergeCell ref="CY23:CZ23"/>
    <mergeCell ref="DA20:DB20"/>
    <mergeCell ref="CY22:CZ22"/>
    <mergeCell ref="DA22:DB22"/>
    <mergeCell ref="DM18:DN18"/>
    <mergeCell ref="DO18:DP18"/>
    <mergeCell ref="CY18:CZ18"/>
    <mergeCell ref="CE20:CF20"/>
    <mergeCell ref="DG57:DH57"/>
    <mergeCell ref="CO57:CP57"/>
    <mergeCell ref="AY56:AZ56"/>
    <mergeCell ref="BA56:BB56"/>
    <mergeCell ref="BC56:BD56"/>
    <mergeCell ref="BE56:BF56"/>
    <mergeCell ref="DO20:DP20"/>
    <mergeCell ref="DE22:DE23"/>
    <mergeCell ref="DF22:DF23"/>
    <mergeCell ref="DG22:DH22"/>
    <mergeCell ref="DI22:DJ22"/>
    <mergeCell ref="DM22:DN22"/>
    <mergeCell ref="DO22:DP22"/>
    <mergeCell ref="DI23:DJ23"/>
    <mergeCell ref="DM23:DN23"/>
    <mergeCell ref="DO23:DP23"/>
    <mergeCell ref="DM20:DN20"/>
    <mergeCell ref="DE17:DE18"/>
    <mergeCell ref="DF17:DF18"/>
    <mergeCell ref="CQ22:CR22"/>
    <mergeCell ref="CS56:CS57"/>
    <mergeCell ref="CS44:DD44"/>
    <mergeCell ref="BU20:BU21"/>
    <mergeCell ref="CU13:DD13"/>
    <mergeCell ref="DC16:DD16"/>
    <mergeCell ref="DE7:DP7"/>
    <mergeCell ref="DE14:DE15"/>
    <mergeCell ref="DF14:DF15"/>
    <mergeCell ref="DG14:DH14"/>
    <mergeCell ref="DI14:DJ14"/>
    <mergeCell ref="DK14:DL14"/>
    <mergeCell ref="DM14:DN14"/>
    <mergeCell ref="DO14:DP14"/>
    <mergeCell ref="DG15:DH15"/>
    <mergeCell ref="DI15:DJ15"/>
    <mergeCell ref="DK15:DL15"/>
    <mergeCell ref="DM15:DN15"/>
    <mergeCell ref="DO15:DP15"/>
    <mergeCell ref="DO16:DP16"/>
    <mergeCell ref="DO11:DP12"/>
    <mergeCell ref="DE11:DE12"/>
    <mergeCell ref="DF11:DF12"/>
    <mergeCell ref="DG11:DH12"/>
    <mergeCell ref="DG13:DP13"/>
    <mergeCell ref="DC11:DD12"/>
    <mergeCell ref="DI11:DJ12"/>
    <mergeCell ref="DK11:DL12"/>
    <mergeCell ref="DM11:DN12"/>
    <mergeCell ref="CQ16:CR16"/>
    <mergeCell ref="CO21:CP21"/>
    <mergeCell ref="CQ21:CR21"/>
    <mergeCell ref="CO23:CP23"/>
    <mergeCell ref="CQ23:CR23"/>
    <mergeCell ref="CK17:CL17"/>
    <mergeCell ref="CM17:CN17"/>
    <mergeCell ref="CO17:CP17"/>
    <mergeCell ref="CQ17:CR17"/>
    <mergeCell ref="CU23:CV23"/>
    <mergeCell ref="CS22:CS23"/>
    <mergeCell ref="CT22:CT23"/>
    <mergeCell ref="CS7:DD7"/>
    <mergeCell ref="CS14:CS15"/>
    <mergeCell ref="CT14:CT15"/>
    <mergeCell ref="CU14:CV14"/>
    <mergeCell ref="CW14:CX14"/>
    <mergeCell ref="CY14:CZ14"/>
    <mergeCell ref="DA14:DB14"/>
    <mergeCell ref="DC14:DD14"/>
    <mergeCell ref="CU15:CV15"/>
    <mergeCell ref="CW15:CX15"/>
    <mergeCell ref="CY15:CZ15"/>
    <mergeCell ref="DA15:DB15"/>
    <mergeCell ref="DC15:DD15"/>
    <mergeCell ref="CS17:CS18"/>
    <mergeCell ref="CT17:CT18"/>
    <mergeCell ref="CU17:CV17"/>
    <mergeCell ref="CW17:CX17"/>
    <mergeCell ref="DA18:DB18"/>
    <mergeCell ref="DC18:DD18"/>
    <mergeCell ref="CK14:CL14"/>
    <mergeCell ref="CM14:CN14"/>
    <mergeCell ref="CO14:CP14"/>
    <mergeCell ref="CQ14:CR14"/>
    <mergeCell ref="CI15:CJ15"/>
    <mergeCell ref="CK15:CL15"/>
    <mergeCell ref="CM15:CN15"/>
    <mergeCell ref="CO15:CP15"/>
    <mergeCell ref="CQ15:CR15"/>
    <mergeCell ref="CG17:CG18"/>
    <mergeCell ref="CH17:CH18"/>
    <mergeCell ref="CI17:CJ17"/>
    <mergeCell ref="CI11:CJ12"/>
    <mergeCell ref="CK11:CL12"/>
    <mergeCell ref="CT20:CT21"/>
    <mergeCell ref="CU20:CV20"/>
    <mergeCell ref="CU21:CV21"/>
    <mergeCell ref="CU16:CV16"/>
    <mergeCell ref="CO11:CP12"/>
    <mergeCell ref="CQ11:CR12"/>
    <mergeCell ref="CI13:CR13"/>
    <mergeCell ref="CO18:CP18"/>
    <mergeCell ref="CQ18:CR18"/>
    <mergeCell ref="CG20:CG21"/>
    <mergeCell ref="CH20:CH21"/>
    <mergeCell ref="CI20:CJ20"/>
    <mergeCell ref="CK20:CL20"/>
    <mergeCell ref="CM20:CN20"/>
    <mergeCell ref="CO20:CP20"/>
    <mergeCell ref="CQ20:CR20"/>
    <mergeCell ref="CT11:CT12"/>
    <mergeCell ref="CU11:CV12"/>
    <mergeCell ref="CI18:CJ18"/>
    <mergeCell ref="CE15:CF15"/>
    <mergeCell ref="BU17:BU18"/>
    <mergeCell ref="BV17:BV18"/>
    <mergeCell ref="BW17:BX17"/>
    <mergeCell ref="BY17:BZ17"/>
    <mergeCell ref="CA17:CB17"/>
    <mergeCell ref="CC17:CD17"/>
    <mergeCell ref="BU11:BU12"/>
    <mergeCell ref="CE16:CF16"/>
    <mergeCell ref="BY11:BZ12"/>
    <mergeCell ref="CA11:CB12"/>
    <mergeCell ref="CC11:CD12"/>
    <mergeCell ref="CG14:CG15"/>
    <mergeCell ref="CH14:CH15"/>
    <mergeCell ref="CI14:CJ14"/>
    <mergeCell ref="CI16:CJ16"/>
    <mergeCell ref="CA15:CB15"/>
    <mergeCell ref="BW16:BX16"/>
    <mergeCell ref="BV11:BV12"/>
    <mergeCell ref="BW11:BX12"/>
    <mergeCell ref="BW13:CF13"/>
    <mergeCell ref="BU14:BU15"/>
    <mergeCell ref="BV14:BV15"/>
    <mergeCell ref="BW14:BX14"/>
    <mergeCell ref="BY14:BZ14"/>
    <mergeCell ref="CA14:CB14"/>
    <mergeCell ref="CC14:CD14"/>
    <mergeCell ref="CE14:CF14"/>
    <mergeCell ref="BW15:BX15"/>
    <mergeCell ref="BY15:BZ15"/>
    <mergeCell ref="CC15:CD15"/>
    <mergeCell ref="BV20:BV21"/>
    <mergeCell ref="BY20:BZ20"/>
    <mergeCell ref="CA20:CB20"/>
    <mergeCell ref="BI20:BI21"/>
    <mergeCell ref="BJ20:BJ21"/>
    <mergeCell ref="BK20:BL20"/>
    <mergeCell ref="BM20:BN20"/>
    <mergeCell ref="BQ20:BR20"/>
    <mergeCell ref="BS20:BT20"/>
    <mergeCell ref="BK21:BL21"/>
    <mergeCell ref="BM21:BN21"/>
    <mergeCell ref="BQ21:BR21"/>
    <mergeCell ref="BS21:BT21"/>
    <mergeCell ref="CE17:CF17"/>
    <mergeCell ref="BW18:BX18"/>
    <mergeCell ref="BY18:BZ18"/>
    <mergeCell ref="CA18:CB18"/>
    <mergeCell ref="CC18:CD18"/>
    <mergeCell ref="CE18:CF18"/>
    <mergeCell ref="BI14:BI15"/>
    <mergeCell ref="AU14:AV14"/>
    <mergeCell ref="AM15:AN15"/>
    <mergeCell ref="AO15:AP15"/>
    <mergeCell ref="AQ15:AR15"/>
    <mergeCell ref="BJ14:BJ15"/>
    <mergeCell ref="BK14:BL14"/>
    <mergeCell ref="BM14:BN14"/>
    <mergeCell ref="BO14:BP14"/>
    <mergeCell ref="BQ14:BR14"/>
    <mergeCell ref="BS14:BT14"/>
    <mergeCell ref="BK15:BL15"/>
    <mergeCell ref="BM15:BN15"/>
    <mergeCell ref="BO15:BP15"/>
    <mergeCell ref="BQ15:BR15"/>
    <mergeCell ref="BS15:BT15"/>
    <mergeCell ref="BI17:BI18"/>
    <mergeCell ref="BJ17:BJ18"/>
    <mergeCell ref="BK17:BL17"/>
    <mergeCell ref="BM17:BN17"/>
    <mergeCell ref="BO17:BP17"/>
    <mergeCell ref="BQ17:BR17"/>
    <mergeCell ref="BS17:BT17"/>
    <mergeCell ref="BK18:BL18"/>
    <mergeCell ref="BM18:BN18"/>
    <mergeCell ref="BO18:BP18"/>
    <mergeCell ref="BQ18:BR18"/>
    <mergeCell ref="BK16:BL16"/>
    <mergeCell ref="BS16:BT16"/>
    <mergeCell ref="BS18:BT18"/>
    <mergeCell ref="BG16:BH16"/>
    <mergeCell ref="O18:P18"/>
    <mergeCell ref="AI18:AJ18"/>
    <mergeCell ref="AS15:AT15"/>
    <mergeCell ref="AU15:AV15"/>
    <mergeCell ref="AK17:AK18"/>
    <mergeCell ref="AL17:AL18"/>
    <mergeCell ref="AM17:AN17"/>
    <mergeCell ref="AO17:AP17"/>
    <mergeCell ref="AQ17:AR17"/>
    <mergeCell ref="AS17:AT17"/>
    <mergeCell ref="AU17:AV17"/>
    <mergeCell ref="AM18:AN18"/>
    <mergeCell ref="AO18:AP18"/>
    <mergeCell ref="AQ18:AR18"/>
    <mergeCell ref="AS18:AT18"/>
    <mergeCell ref="AU18:AV18"/>
    <mergeCell ref="AU16:AV16"/>
    <mergeCell ref="AO16:AP16"/>
    <mergeCell ref="AI16:AJ16"/>
    <mergeCell ref="N14:N15"/>
    <mergeCell ref="O14:P14"/>
    <mergeCell ref="Q14:R14"/>
    <mergeCell ref="S14:T14"/>
    <mergeCell ref="U14:V14"/>
    <mergeCell ref="W14:X14"/>
    <mergeCell ref="O15:P15"/>
    <mergeCell ref="Q15:R15"/>
    <mergeCell ref="I14:J14"/>
    <mergeCell ref="S15:T15"/>
    <mergeCell ref="U15:V15"/>
    <mergeCell ref="W15:X15"/>
    <mergeCell ref="M17:M18"/>
    <mergeCell ref="N17:N18"/>
    <mergeCell ref="O17:P17"/>
    <mergeCell ref="AG18:AH18"/>
    <mergeCell ref="U11:V12"/>
    <mergeCell ref="W11:X12"/>
    <mergeCell ref="AC17:AD17"/>
    <mergeCell ref="AE17:AF17"/>
    <mergeCell ref="AG17:AH17"/>
    <mergeCell ref="AA18:AB18"/>
    <mergeCell ref="AC18:AD18"/>
    <mergeCell ref="AE18:AF18"/>
    <mergeCell ref="Y14:Y15"/>
    <mergeCell ref="Z14:Z15"/>
    <mergeCell ref="AA14:AB14"/>
    <mergeCell ref="AC14:AD14"/>
    <mergeCell ref="AE14:AF14"/>
    <mergeCell ref="AG14:AH14"/>
    <mergeCell ref="AA13:AJ13"/>
    <mergeCell ref="Y11:Y12"/>
    <mergeCell ref="AI14:AJ14"/>
    <mergeCell ref="AA15:AB15"/>
    <mergeCell ref="AC15:AD15"/>
    <mergeCell ref="AE15:AF15"/>
    <mergeCell ref="AG15:AH15"/>
    <mergeCell ref="AI15:AJ15"/>
    <mergeCell ref="Y17:Y18"/>
    <mergeCell ref="Z17:Z18"/>
    <mergeCell ref="AA17:AB17"/>
    <mergeCell ref="Q17:R17"/>
    <mergeCell ref="S17:T17"/>
    <mergeCell ref="U17:V17"/>
    <mergeCell ref="W17:X17"/>
    <mergeCell ref="Q18:R18"/>
    <mergeCell ref="S18:T18"/>
    <mergeCell ref="U18:V18"/>
    <mergeCell ref="W18:X18"/>
    <mergeCell ref="AI17:AJ17"/>
    <mergeCell ref="K14:L14"/>
    <mergeCell ref="E15:F15"/>
    <mergeCell ref="E11:F12"/>
    <mergeCell ref="G11:H12"/>
    <mergeCell ref="A24:A25"/>
    <mergeCell ref="C23:D23"/>
    <mergeCell ref="C13:L13"/>
    <mergeCell ref="O13:X13"/>
    <mergeCell ref="C16:D16"/>
    <mergeCell ref="S11:T12"/>
    <mergeCell ref="I11:J12"/>
    <mergeCell ref="I15:J15"/>
    <mergeCell ref="K15:L15"/>
    <mergeCell ref="E17:F17"/>
    <mergeCell ref="G17:H17"/>
    <mergeCell ref="I17:J17"/>
    <mergeCell ref="K17:L17"/>
    <mergeCell ref="E18:F18"/>
    <mergeCell ref="G18:H18"/>
    <mergeCell ref="I18:J18"/>
    <mergeCell ref="K18:L18"/>
    <mergeCell ref="W16:X16"/>
    <mergeCell ref="K16:L16"/>
    <mergeCell ref="C21:D21"/>
    <mergeCell ref="E21:F21"/>
    <mergeCell ref="I21:J21"/>
    <mergeCell ref="K25:L25"/>
    <mergeCell ref="G15:H15"/>
    <mergeCell ref="K21:L21"/>
    <mergeCell ref="B19:L19"/>
    <mergeCell ref="N19:X19"/>
    <mergeCell ref="M14:M15"/>
    <mergeCell ref="A14:A15"/>
    <mergeCell ref="B14:B15"/>
    <mergeCell ref="A17:A18"/>
    <mergeCell ref="B17:B18"/>
    <mergeCell ref="A20:A21"/>
    <mergeCell ref="B20:B21"/>
    <mergeCell ref="A22:A23"/>
    <mergeCell ref="B22:B23"/>
    <mergeCell ref="B24:B25"/>
    <mergeCell ref="C24:D24"/>
    <mergeCell ref="E24:F24"/>
    <mergeCell ref="G24:H24"/>
    <mergeCell ref="I24:J24"/>
    <mergeCell ref="C22:D22"/>
    <mergeCell ref="G22:H22"/>
    <mergeCell ref="C14:D14"/>
    <mergeCell ref="C15:D15"/>
    <mergeCell ref="C17:D17"/>
    <mergeCell ref="C18:D18"/>
    <mergeCell ref="C20:D20"/>
    <mergeCell ref="E20:F20"/>
    <mergeCell ref="E14:F14"/>
    <mergeCell ref="G14:H14"/>
    <mergeCell ref="E23:F23"/>
    <mergeCell ref="G23:H23"/>
    <mergeCell ref="G20:H20"/>
    <mergeCell ref="G21:H21"/>
    <mergeCell ref="C25:D25"/>
    <mergeCell ref="E25:F25"/>
    <mergeCell ref="G25:H25"/>
    <mergeCell ref="I25:J25"/>
    <mergeCell ref="E22:F22"/>
    <mergeCell ref="BQ23:BR23"/>
    <mergeCell ref="AE61:AF61"/>
    <mergeCell ref="AO59:AP59"/>
    <mergeCell ref="BG53:BH53"/>
    <mergeCell ref="BA61:BB61"/>
    <mergeCell ref="AQ61:AR61"/>
    <mergeCell ref="AS61:AT61"/>
    <mergeCell ref="AE62:AF62"/>
    <mergeCell ref="AG62:AH62"/>
    <mergeCell ref="AI62:AJ62"/>
    <mergeCell ref="AA50:AB51"/>
    <mergeCell ref="AC50:AD51"/>
    <mergeCell ref="AE50:AF51"/>
    <mergeCell ref="O64:P64"/>
    <mergeCell ref="Q64:R64"/>
    <mergeCell ref="O62:P62"/>
    <mergeCell ref="Q62:R62"/>
    <mergeCell ref="AE57:AF57"/>
    <mergeCell ref="AG57:AH57"/>
    <mergeCell ref="AM57:AN57"/>
    <mergeCell ref="AM53:AN53"/>
    <mergeCell ref="AO53:AP53"/>
    <mergeCell ref="AO54:AP54"/>
    <mergeCell ref="AQ54:AR54"/>
    <mergeCell ref="AS54:AT54"/>
    <mergeCell ref="AU54:AV54"/>
    <mergeCell ref="AK53:AK54"/>
    <mergeCell ref="AL53:AL54"/>
    <mergeCell ref="Z53:Z54"/>
    <mergeCell ref="S64:T64"/>
    <mergeCell ref="S63:T63"/>
    <mergeCell ref="U61:V61"/>
    <mergeCell ref="C64:D64"/>
    <mergeCell ref="E64:F64"/>
    <mergeCell ref="G64:H64"/>
    <mergeCell ref="I64:J64"/>
    <mergeCell ref="E61:F61"/>
    <mergeCell ref="G61:H61"/>
    <mergeCell ref="I61:J61"/>
    <mergeCell ref="K62:L62"/>
    <mergeCell ref="C62:D62"/>
    <mergeCell ref="E62:F62"/>
    <mergeCell ref="G62:H62"/>
    <mergeCell ref="I62:J62"/>
    <mergeCell ref="A56:A57"/>
    <mergeCell ref="B56:B57"/>
    <mergeCell ref="C56:D56"/>
    <mergeCell ref="G56:H56"/>
    <mergeCell ref="I56:J56"/>
    <mergeCell ref="K56:L56"/>
    <mergeCell ref="C57:D57"/>
    <mergeCell ref="G57:H57"/>
    <mergeCell ref="I57:J57"/>
    <mergeCell ref="B58:L58"/>
    <mergeCell ref="C60:D60"/>
    <mergeCell ref="E60:F60"/>
    <mergeCell ref="A63:A64"/>
    <mergeCell ref="K57:L57"/>
    <mergeCell ref="M59:M60"/>
    <mergeCell ref="N59:N60"/>
    <mergeCell ref="O59:P59"/>
    <mergeCell ref="Q59:R59"/>
    <mergeCell ref="Q60:R60"/>
    <mergeCell ref="A59:A60"/>
    <mergeCell ref="B59:B60"/>
    <mergeCell ref="I59:J59"/>
    <mergeCell ref="M61:M62"/>
    <mergeCell ref="N61:N62"/>
    <mergeCell ref="O61:P61"/>
    <mergeCell ref="Q61:R61"/>
    <mergeCell ref="K59:L59"/>
    <mergeCell ref="O60:P60"/>
    <mergeCell ref="K61:L61"/>
    <mergeCell ref="C61:D61"/>
    <mergeCell ref="C59:D59"/>
    <mergeCell ref="E59:F59"/>
    <mergeCell ref="G59:H59"/>
    <mergeCell ref="G60:H60"/>
    <mergeCell ref="I60:J60"/>
    <mergeCell ref="BS56:BT56"/>
    <mergeCell ref="BM57:BN57"/>
    <mergeCell ref="AL56:AL57"/>
    <mergeCell ref="AM56:AN56"/>
    <mergeCell ref="AO57:AP57"/>
    <mergeCell ref="AQ57:AR57"/>
    <mergeCell ref="AW56:AW57"/>
    <mergeCell ref="AX56:AX57"/>
    <mergeCell ref="AY57:AZ57"/>
    <mergeCell ref="BA57:BB57"/>
    <mergeCell ref="BE57:BF57"/>
    <mergeCell ref="BG57:BH57"/>
    <mergeCell ref="AU59:AV59"/>
    <mergeCell ref="AM60:AN60"/>
    <mergeCell ref="CC59:CD59"/>
    <mergeCell ref="AS57:AT57"/>
    <mergeCell ref="AU57:AV57"/>
    <mergeCell ref="BK57:BL57"/>
    <mergeCell ref="BO61:BP61"/>
    <mergeCell ref="AM61:AN61"/>
    <mergeCell ref="BA59:BB59"/>
    <mergeCell ref="BC59:BD59"/>
    <mergeCell ref="AO60:AP60"/>
    <mergeCell ref="BJ53:BJ54"/>
    <mergeCell ref="BO56:BP56"/>
    <mergeCell ref="AU56:AV56"/>
    <mergeCell ref="BG56:BH56"/>
    <mergeCell ref="AY54:AZ54"/>
    <mergeCell ref="BA54:BB54"/>
    <mergeCell ref="AO56:AP56"/>
    <mergeCell ref="AQ56:AR56"/>
    <mergeCell ref="AS56:AT56"/>
    <mergeCell ref="AQ53:AR53"/>
    <mergeCell ref="AW53:AW54"/>
    <mergeCell ref="AX53:AX54"/>
    <mergeCell ref="BK53:BL53"/>
    <mergeCell ref="BM53:BN53"/>
    <mergeCell ref="DB39:DD39"/>
    <mergeCell ref="BF39:BH39"/>
    <mergeCell ref="BJ39:BL39"/>
    <mergeCell ref="BR39:BT39"/>
    <mergeCell ref="BV39:BX39"/>
    <mergeCell ref="BZ39:CB39"/>
    <mergeCell ref="CD39:CF39"/>
    <mergeCell ref="CH39:CJ39"/>
    <mergeCell ref="CQ54:CR54"/>
    <mergeCell ref="CG53:CG54"/>
    <mergeCell ref="BA53:BB53"/>
    <mergeCell ref="BC53:BD53"/>
    <mergeCell ref="CH53:CH54"/>
    <mergeCell ref="AY53:AZ53"/>
    <mergeCell ref="BO53:BP53"/>
    <mergeCell ref="BQ53:BR53"/>
    <mergeCell ref="BS53:BT53"/>
    <mergeCell ref="BE54:BF54"/>
    <mergeCell ref="BG54:BH54"/>
    <mergeCell ref="BW52:CF52"/>
    <mergeCell ref="BW53:BX53"/>
    <mergeCell ref="BY53:BZ53"/>
    <mergeCell ref="CA53:CB53"/>
    <mergeCell ref="BB39:BD39"/>
    <mergeCell ref="BK50:BL51"/>
    <mergeCell ref="BM50:BN51"/>
    <mergeCell ref="BO50:BP51"/>
    <mergeCell ref="BQ50:BR51"/>
    <mergeCell ref="CG42:CR42"/>
    <mergeCell ref="BI42:BT42"/>
    <mergeCell ref="BU42:CF42"/>
    <mergeCell ref="CM53:CN53"/>
    <mergeCell ref="AK43:AV43"/>
    <mergeCell ref="AW43:BH43"/>
    <mergeCell ref="BI43:BT43"/>
    <mergeCell ref="BU43:CF43"/>
    <mergeCell ref="CG43:CR43"/>
    <mergeCell ref="A42:L42"/>
    <mergeCell ref="A53:A54"/>
    <mergeCell ref="B53:B54"/>
    <mergeCell ref="M53:M54"/>
    <mergeCell ref="N53:N54"/>
    <mergeCell ref="C52:L52"/>
    <mergeCell ref="C53:D53"/>
    <mergeCell ref="E53:F53"/>
    <mergeCell ref="G53:H53"/>
    <mergeCell ref="I53:J53"/>
    <mergeCell ref="M42:X42"/>
    <mergeCell ref="Y42:AJ42"/>
    <mergeCell ref="AK42:AV42"/>
    <mergeCell ref="AW42:BH42"/>
    <mergeCell ref="U54:V54"/>
    <mergeCell ref="AS53:AT53"/>
    <mergeCell ref="AU53:AV53"/>
    <mergeCell ref="AM54:AN54"/>
    <mergeCell ref="Y46:AJ46"/>
    <mergeCell ref="Y50:Y51"/>
    <mergeCell ref="BI53:BI54"/>
    <mergeCell ref="Y53:Y54"/>
    <mergeCell ref="W54:X54"/>
    <mergeCell ref="CC53:CD53"/>
    <mergeCell ref="CE53:CF53"/>
    <mergeCell ref="BW54:BX54"/>
    <mergeCell ref="BI50:BI51"/>
    <mergeCell ref="B39:D39"/>
    <mergeCell ref="CS42:DD42"/>
    <mergeCell ref="M44:X44"/>
    <mergeCell ref="A46:L46"/>
    <mergeCell ref="A50:A51"/>
    <mergeCell ref="B50:B51"/>
    <mergeCell ref="C54:D54"/>
    <mergeCell ref="E54:F54"/>
    <mergeCell ref="G54:H54"/>
    <mergeCell ref="I54:J54"/>
    <mergeCell ref="AM52:AV52"/>
    <mergeCell ref="C50:D51"/>
    <mergeCell ref="E50:F51"/>
    <mergeCell ref="G50:H51"/>
    <mergeCell ref="I50:J51"/>
    <mergeCell ref="BN39:BP39"/>
    <mergeCell ref="AK46:AV46"/>
    <mergeCell ref="AK50:AK51"/>
    <mergeCell ref="AL50:AL51"/>
    <mergeCell ref="AM50:AN51"/>
    <mergeCell ref="AO50:AP51"/>
    <mergeCell ref="AQ50:AR51"/>
    <mergeCell ref="AS50:AT51"/>
    <mergeCell ref="AU50:AV51"/>
    <mergeCell ref="A44:L44"/>
    <mergeCell ref="CK50:CL51"/>
    <mergeCell ref="BC54:BD54"/>
    <mergeCell ref="CM50:CN51"/>
    <mergeCell ref="CO50:CP51"/>
    <mergeCell ref="A41:L41"/>
    <mergeCell ref="AT39:AV39"/>
    <mergeCell ref="AX39:AZ39"/>
    <mergeCell ref="BZ38:CB38"/>
    <mergeCell ref="CD38:CF38"/>
    <mergeCell ref="CH38:CJ38"/>
    <mergeCell ref="CL38:CN38"/>
    <mergeCell ref="CP38:CR38"/>
    <mergeCell ref="CT38:CV38"/>
    <mergeCell ref="BB38:BD38"/>
    <mergeCell ref="BF38:BH38"/>
    <mergeCell ref="F39:H39"/>
    <mergeCell ref="J39:L39"/>
    <mergeCell ref="N39:P39"/>
    <mergeCell ref="R39:T39"/>
    <mergeCell ref="AH39:AJ39"/>
    <mergeCell ref="AL39:AN39"/>
    <mergeCell ref="AP39:AR39"/>
    <mergeCell ref="AT38:AV38"/>
    <mergeCell ref="AX38:AZ38"/>
    <mergeCell ref="R38:T38"/>
    <mergeCell ref="A43:L43"/>
    <mergeCell ref="M43:X43"/>
    <mergeCell ref="Y43:AJ43"/>
    <mergeCell ref="Z50:Z51"/>
    <mergeCell ref="C33:D33"/>
    <mergeCell ref="E33:F33"/>
    <mergeCell ref="G33:H33"/>
    <mergeCell ref="I33:J33"/>
    <mergeCell ref="O33:P33"/>
    <mergeCell ref="AD38:AF38"/>
    <mergeCell ref="AH38:AJ38"/>
    <mergeCell ref="AL38:AN38"/>
    <mergeCell ref="Q33:R33"/>
    <mergeCell ref="CY32:CZ32"/>
    <mergeCell ref="DA32:DB32"/>
    <mergeCell ref="DE32:DE33"/>
    <mergeCell ref="DF32:DF33"/>
    <mergeCell ref="A32:A33"/>
    <mergeCell ref="CX38:CZ38"/>
    <mergeCell ref="DB38:DD38"/>
    <mergeCell ref="A40:L40"/>
    <mergeCell ref="M40:X40"/>
    <mergeCell ref="Y40:AJ40"/>
    <mergeCell ref="AK40:AV40"/>
    <mergeCell ref="AW40:BH40"/>
    <mergeCell ref="BI40:BT40"/>
    <mergeCell ref="BU40:CF40"/>
    <mergeCell ref="CG40:CR40"/>
    <mergeCell ref="CS40:DD40"/>
    <mergeCell ref="CP39:CR39"/>
    <mergeCell ref="CT39:CV39"/>
    <mergeCell ref="CX39:CZ39"/>
    <mergeCell ref="BO32:BP32"/>
    <mergeCell ref="BQ32:BR32"/>
    <mergeCell ref="BM33:BN33"/>
    <mergeCell ref="AO32:AP32"/>
    <mergeCell ref="BJ38:BL38"/>
    <mergeCell ref="BN38:BP38"/>
    <mergeCell ref="BR38:BT38"/>
    <mergeCell ref="BV38:BX38"/>
    <mergeCell ref="B38:D38"/>
    <mergeCell ref="F38:H38"/>
    <mergeCell ref="J38:L38"/>
    <mergeCell ref="N38:P38"/>
    <mergeCell ref="B32:B33"/>
    <mergeCell ref="C32:D32"/>
    <mergeCell ref="E32:F32"/>
    <mergeCell ref="G32:H32"/>
    <mergeCell ref="I32:J32"/>
    <mergeCell ref="AM32:AN32"/>
    <mergeCell ref="BM27:BN27"/>
    <mergeCell ref="BJ27:BJ28"/>
    <mergeCell ref="BK27:BL27"/>
    <mergeCell ref="BU32:BU33"/>
    <mergeCell ref="BV32:BV33"/>
    <mergeCell ref="BW32:BX32"/>
    <mergeCell ref="BY32:BZ32"/>
    <mergeCell ref="CA32:CB32"/>
    <mergeCell ref="AL32:AL33"/>
    <mergeCell ref="U32:V32"/>
    <mergeCell ref="Y32:Y33"/>
    <mergeCell ref="Z32:Z33"/>
    <mergeCell ref="AA32:AB32"/>
    <mergeCell ref="AC32:AD32"/>
    <mergeCell ref="U33:V33"/>
    <mergeCell ref="AA33:AB33"/>
    <mergeCell ref="AC33:AD33"/>
    <mergeCell ref="AY32:AZ32"/>
    <mergeCell ref="AQ32:AR32"/>
    <mergeCell ref="AS32:AT32"/>
    <mergeCell ref="AW32:AW33"/>
    <mergeCell ref="AX32:AX33"/>
    <mergeCell ref="AO33:AP33"/>
    <mergeCell ref="AQ33:AR33"/>
    <mergeCell ref="AS33:AT33"/>
    <mergeCell ref="AE32:AF32"/>
    <mergeCell ref="AG32:AH32"/>
    <mergeCell ref="AK32:AK33"/>
    <mergeCell ref="AE33:AF33"/>
    <mergeCell ref="AM33:AN33"/>
    <mergeCell ref="AG33:AH33"/>
    <mergeCell ref="BO27:BP27"/>
    <mergeCell ref="BQ27:BR27"/>
    <mergeCell ref="AQ30:AR30"/>
    <mergeCell ref="CG29:CG30"/>
    <mergeCell ref="BG27:BH27"/>
    <mergeCell ref="BI27:BI28"/>
    <mergeCell ref="AY28:AZ28"/>
    <mergeCell ref="BA28:BB28"/>
    <mergeCell ref="BC28:BD28"/>
    <mergeCell ref="CW33:CX33"/>
    <mergeCell ref="CG32:CG33"/>
    <mergeCell ref="CH32:CH33"/>
    <mergeCell ref="CI32:CJ32"/>
    <mergeCell ref="CK32:CL32"/>
    <mergeCell ref="CM32:CN32"/>
    <mergeCell ref="CI33:CJ33"/>
    <mergeCell ref="CM33:CN33"/>
    <mergeCell ref="BA32:BB32"/>
    <mergeCell ref="BC32:BD32"/>
    <mergeCell ref="BE32:BF32"/>
    <mergeCell ref="BC33:BD33"/>
    <mergeCell ref="BE33:BF33"/>
    <mergeCell ref="BO33:BP33"/>
    <mergeCell ref="BQ33:BR33"/>
    <mergeCell ref="BS27:BT27"/>
    <mergeCell ref="BU29:BU30"/>
    <mergeCell ref="BW29:BX29"/>
    <mergeCell ref="CA29:CB29"/>
    <mergeCell ref="CC29:CD29"/>
    <mergeCell ref="BW30:BX30"/>
    <mergeCell ref="CA30:CB30"/>
    <mergeCell ref="CC30:CD30"/>
    <mergeCell ref="CE28:CF28"/>
    <mergeCell ref="DK28:DL28"/>
    <mergeCell ref="CQ27:CR27"/>
    <mergeCell ref="CS27:CS28"/>
    <mergeCell ref="CT27:CT28"/>
    <mergeCell ref="CW27:CX27"/>
    <mergeCell ref="CQ28:CR28"/>
    <mergeCell ref="CW28:CX28"/>
    <mergeCell ref="CE27:CF27"/>
    <mergeCell ref="CG27:CG28"/>
    <mergeCell ref="CH27:CH28"/>
    <mergeCell ref="DA28:DB28"/>
    <mergeCell ref="DC28:DD28"/>
    <mergeCell ref="CA28:CB28"/>
    <mergeCell ref="CC28:CD28"/>
    <mergeCell ref="DI28:DJ28"/>
    <mergeCell ref="CQ30:CR30"/>
    <mergeCell ref="DA29:DB29"/>
    <mergeCell ref="CT29:CT30"/>
    <mergeCell ref="CE30:CF30"/>
    <mergeCell ref="BG28:BH28"/>
    <mergeCell ref="BK28:BL28"/>
    <mergeCell ref="BM28:BN28"/>
    <mergeCell ref="BO28:BP28"/>
    <mergeCell ref="BQ28:BR28"/>
    <mergeCell ref="BS28:BT28"/>
    <mergeCell ref="DI27:DJ27"/>
    <mergeCell ref="DK27:DL27"/>
    <mergeCell ref="DM27:DN27"/>
    <mergeCell ref="DO27:DP27"/>
    <mergeCell ref="C28:D28"/>
    <mergeCell ref="E28:F28"/>
    <mergeCell ref="G28:H28"/>
    <mergeCell ref="I28:J28"/>
    <mergeCell ref="O28:P28"/>
    <mergeCell ref="CY27:CZ27"/>
    <mergeCell ref="DA27:DB27"/>
    <mergeCell ref="DC27:DD27"/>
    <mergeCell ref="DE27:DE28"/>
    <mergeCell ref="DF27:DF28"/>
    <mergeCell ref="DG27:DH27"/>
    <mergeCell ref="CY28:CZ28"/>
    <mergeCell ref="AY27:AZ27"/>
    <mergeCell ref="BA27:BB27"/>
    <mergeCell ref="BC27:BD27"/>
    <mergeCell ref="AS27:AT27"/>
    <mergeCell ref="BY28:BZ28"/>
    <mergeCell ref="AK27:AK28"/>
    <mergeCell ref="AL27:AL28"/>
    <mergeCell ref="AW27:AW28"/>
    <mergeCell ref="AX27:AX28"/>
    <mergeCell ref="AO28:AP28"/>
    <mergeCell ref="A27:A28"/>
    <mergeCell ref="B27:B28"/>
    <mergeCell ref="C27:D27"/>
    <mergeCell ref="E27:F27"/>
    <mergeCell ref="G27:H27"/>
    <mergeCell ref="I27:J27"/>
    <mergeCell ref="AE27:AF27"/>
    <mergeCell ref="AG27:AH27"/>
    <mergeCell ref="AI27:AJ27"/>
    <mergeCell ref="AA27:AB27"/>
    <mergeCell ref="AC27:AD27"/>
    <mergeCell ref="U28:V28"/>
    <mergeCell ref="W28:X28"/>
    <mergeCell ref="AA28:AB28"/>
    <mergeCell ref="AC28:AD28"/>
    <mergeCell ref="AE28:AF28"/>
    <mergeCell ref="AG28:AH28"/>
    <mergeCell ref="AI28:AJ28"/>
    <mergeCell ref="U27:V27"/>
    <mergeCell ref="W27:X27"/>
    <mergeCell ref="Y27:Y28"/>
    <mergeCell ref="Z27:Z28"/>
    <mergeCell ref="K27:L27"/>
    <mergeCell ref="K28:L28"/>
    <mergeCell ref="DK24:DL24"/>
    <mergeCell ref="DM24:DN24"/>
    <mergeCell ref="DK25:DL25"/>
    <mergeCell ref="DM25:DN25"/>
    <mergeCell ref="M27:M28"/>
    <mergeCell ref="N27:N28"/>
    <mergeCell ref="O27:P27"/>
    <mergeCell ref="Q27:R27"/>
    <mergeCell ref="S27:T27"/>
    <mergeCell ref="Q28:R28"/>
    <mergeCell ref="S28:T28"/>
    <mergeCell ref="AO27:AP27"/>
    <mergeCell ref="AQ27:AR27"/>
    <mergeCell ref="AU27:AV27"/>
    <mergeCell ref="DM28:DN28"/>
    <mergeCell ref="O25:P25"/>
    <mergeCell ref="CY24:CZ24"/>
    <mergeCell ref="DA24:DB24"/>
    <mergeCell ref="DC24:DD24"/>
    <mergeCell ref="DE24:DE25"/>
    <mergeCell ref="DF24:DF25"/>
    <mergeCell ref="DG24:DH24"/>
    <mergeCell ref="CY25:CZ25"/>
    <mergeCell ref="DA25:DB25"/>
    <mergeCell ref="DG28:DH28"/>
    <mergeCell ref="BU27:BU28"/>
    <mergeCell ref="BV27:BV28"/>
    <mergeCell ref="BW27:BX27"/>
    <mergeCell ref="BY27:BZ27"/>
    <mergeCell ref="CA27:CB27"/>
    <mergeCell ref="CC27:CD27"/>
    <mergeCell ref="BW28:BX28"/>
    <mergeCell ref="CO25:CP25"/>
    <mergeCell ref="CQ25:CR25"/>
    <mergeCell ref="BQ24:BR24"/>
    <mergeCell ref="BS24:BT24"/>
    <mergeCell ref="BA24:BB24"/>
    <mergeCell ref="BC24:BD24"/>
    <mergeCell ref="BU24:BU25"/>
    <mergeCell ref="BV24:BV25"/>
    <mergeCell ref="K24:L24"/>
    <mergeCell ref="M24:M25"/>
    <mergeCell ref="N24:N25"/>
    <mergeCell ref="O24:P24"/>
    <mergeCell ref="Q24:R24"/>
    <mergeCell ref="BG25:BH25"/>
    <mergeCell ref="Q25:R25"/>
    <mergeCell ref="U25:V25"/>
    <mergeCell ref="W25:X25"/>
    <mergeCell ref="AA25:AB25"/>
    <mergeCell ref="AC25:AD25"/>
    <mergeCell ref="AS25:AT25"/>
    <mergeCell ref="AU25:AV25"/>
    <mergeCell ref="AE24:AF24"/>
    <mergeCell ref="AI24:AJ24"/>
    <mergeCell ref="AI25:AJ25"/>
    <mergeCell ref="CE24:CF24"/>
    <mergeCell ref="CG24:CG25"/>
    <mergeCell ref="CC24:CD24"/>
    <mergeCell ref="BW25:BX25"/>
    <mergeCell ref="BY25:BZ25"/>
    <mergeCell ref="CC25:CD25"/>
    <mergeCell ref="BJ24:BJ25"/>
    <mergeCell ref="BK24:BL24"/>
    <mergeCell ref="AQ22:AR22"/>
    <mergeCell ref="AQ23:AR23"/>
    <mergeCell ref="AO24:AP24"/>
    <mergeCell ref="AQ24:AR24"/>
    <mergeCell ref="AS24:AT24"/>
    <mergeCell ref="AU24:AV24"/>
    <mergeCell ref="AW24:AW25"/>
    <mergeCell ref="U24:V24"/>
    <mergeCell ref="W24:X24"/>
    <mergeCell ref="BK25:BL25"/>
    <mergeCell ref="BM25:BN25"/>
    <mergeCell ref="BO25:BP25"/>
    <mergeCell ref="W23:X23"/>
    <mergeCell ref="AA23:AB23"/>
    <mergeCell ref="AC23:AD23"/>
    <mergeCell ref="Y24:Y25"/>
    <mergeCell ref="AO25:AP25"/>
    <mergeCell ref="AQ25:AR25"/>
    <mergeCell ref="BK23:BL23"/>
    <mergeCell ref="BM23:BN23"/>
    <mergeCell ref="BO23:BP23"/>
    <mergeCell ref="BG23:BH23"/>
    <mergeCell ref="BG22:BH22"/>
    <mergeCell ref="K23:L23"/>
    <mergeCell ref="I20:J20"/>
    <mergeCell ref="K20:L20"/>
    <mergeCell ref="O23:P23"/>
    <mergeCell ref="Q21:R21"/>
    <mergeCell ref="AG23:AH23"/>
    <mergeCell ref="AI23:AJ23"/>
    <mergeCell ref="U23:V23"/>
    <mergeCell ref="AO23:AP23"/>
    <mergeCell ref="S23:T23"/>
    <mergeCell ref="U22:V22"/>
    <mergeCell ref="AL22:AL23"/>
    <mergeCell ref="AM22:AN22"/>
    <mergeCell ref="AO22:AP22"/>
    <mergeCell ref="S22:T22"/>
    <mergeCell ref="K22:L22"/>
    <mergeCell ref="U21:V21"/>
    <mergeCell ref="AK20:AK21"/>
    <mergeCell ref="AL20:AL21"/>
    <mergeCell ref="AM20:AN20"/>
    <mergeCell ref="S21:T21"/>
    <mergeCell ref="W22:X22"/>
    <mergeCell ref="W21:X21"/>
    <mergeCell ref="I22:J22"/>
    <mergeCell ref="I23:J23"/>
    <mergeCell ref="AM23:AN23"/>
    <mergeCell ref="AM21:AN21"/>
    <mergeCell ref="AK22:AK23"/>
    <mergeCell ref="DE3:DP3"/>
    <mergeCell ref="A4:L4"/>
    <mergeCell ref="M4:X4"/>
    <mergeCell ref="AQ11:AR12"/>
    <mergeCell ref="AS11:AT12"/>
    <mergeCell ref="AQ20:AR20"/>
    <mergeCell ref="AS20:AT20"/>
    <mergeCell ref="BE14:BF14"/>
    <mergeCell ref="BG14:BH14"/>
    <mergeCell ref="AY15:AZ15"/>
    <mergeCell ref="BA15:BB15"/>
    <mergeCell ref="BC15:BD15"/>
    <mergeCell ref="BE15:BF15"/>
    <mergeCell ref="BG15:BH15"/>
    <mergeCell ref="AW17:AW18"/>
    <mergeCell ref="AX17:AX18"/>
    <mergeCell ref="AY17:AZ17"/>
    <mergeCell ref="BA17:BB17"/>
    <mergeCell ref="BC17:BD17"/>
    <mergeCell ref="AM13:AV13"/>
    <mergeCell ref="AY13:BH13"/>
    <mergeCell ref="BE17:BF17"/>
    <mergeCell ref="AY18:AZ18"/>
    <mergeCell ref="BA18:BB18"/>
    <mergeCell ref="BC18:BD18"/>
    <mergeCell ref="BE18:BF18"/>
    <mergeCell ref="AY16:AZ16"/>
    <mergeCell ref="AW14:AW15"/>
    <mergeCell ref="AX14:AX15"/>
    <mergeCell ref="AY14:AZ14"/>
    <mergeCell ref="M20:M21"/>
    <mergeCell ref="N20:N21"/>
    <mergeCell ref="BU1:CF1"/>
    <mergeCell ref="CG1:CR1"/>
    <mergeCell ref="CS1:DD1"/>
    <mergeCell ref="DE1:DP1"/>
    <mergeCell ref="A2:L2"/>
    <mergeCell ref="M2:X2"/>
    <mergeCell ref="Y2:AJ2"/>
    <mergeCell ref="AK2:AV2"/>
    <mergeCell ref="AW2:BH2"/>
    <mergeCell ref="BI2:BT2"/>
    <mergeCell ref="A1:L1"/>
    <mergeCell ref="M1:X1"/>
    <mergeCell ref="Y1:AJ1"/>
    <mergeCell ref="AK1:AV1"/>
    <mergeCell ref="AW1:BH1"/>
    <mergeCell ref="BI1:BT1"/>
    <mergeCell ref="BU4:CF4"/>
    <mergeCell ref="CG4:CR4"/>
    <mergeCell ref="CS4:DD4"/>
    <mergeCell ref="DE4:DP4"/>
    <mergeCell ref="BU3:CF3"/>
    <mergeCell ref="CG3:CR3"/>
    <mergeCell ref="CS3:DD3"/>
    <mergeCell ref="Y4:AJ4"/>
    <mergeCell ref="AK4:AV4"/>
    <mergeCell ref="AW4:BH4"/>
    <mergeCell ref="BI4:BT4"/>
    <mergeCell ref="BU2:CF2"/>
    <mergeCell ref="CG2:CR2"/>
    <mergeCell ref="CS2:DD2"/>
    <mergeCell ref="DE2:DP2"/>
    <mergeCell ref="A3:L3"/>
    <mergeCell ref="DE5:DP5"/>
    <mergeCell ref="K11:L12"/>
    <mergeCell ref="M11:M12"/>
    <mergeCell ref="N11:N12"/>
    <mergeCell ref="O11:P12"/>
    <mergeCell ref="Q11:R12"/>
    <mergeCell ref="BU5:CF5"/>
    <mergeCell ref="CG5:CR5"/>
    <mergeCell ref="AY11:AZ12"/>
    <mergeCell ref="BA11:BB12"/>
    <mergeCell ref="BC11:BD12"/>
    <mergeCell ref="BE11:BF12"/>
    <mergeCell ref="BG11:BH12"/>
    <mergeCell ref="BI11:BI12"/>
    <mergeCell ref="AK7:AV7"/>
    <mergeCell ref="AW7:BH7"/>
    <mergeCell ref="BI7:BT7"/>
    <mergeCell ref="BU7:CF7"/>
    <mergeCell ref="CH11:CH12"/>
    <mergeCell ref="AE11:AF12"/>
    <mergeCell ref="CM11:CN12"/>
    <mergeCell ref="CW11:CX12"/>
    <mergeCell ref="CY11:CZ12"/>
    <mergeCell ref="CS11:CS12"/>
    <mergeCell ref="A11:A12"/>
    <mergeCell ref="B11:B12"/>
    <mergeCell ref="C11:D12"/>
    <mergeCell ref="DA11:DB12"/>
    <mergeCell ref="Z8:AC8"/>
    <mergeCell ref="Z11:Z12"/>
    <mergeCell ref="AA11:AB12"/>
    <mergeCell ref="AC11:AD12"/>
    <mergeCell ref="A7:L7"/>
    <mergeCell ref="M7:X7"/>
    <mergeCell ref="Q20:R20"/>
    <mergeCell ref="S20:T20"/>
    <mergeCell ref="U20:V20"/>
    <mergeCell ref="W20:X20"/>
    <mergeCell ref="M22:M23"/>
    <mergeCell ref="N22:N23"/>
    <mergeCell ref="M3:X3"/>
    <mergeCell ref="Y3:AJ3"/>
    <mergeCell ref="AK3:AV3"/>
    <mergeCell ref="AW3:BH3"/>
    <mergeCell ref="BI3:BT3"/>
    <mergeCell ref="A5:L5"/>
    <mergeCell ref="M5:X5"/>
    <mergeCell ref="Y5:AJ5"/>
    <mergeCell ref="AK5:AV5"/>
    <mergeCell ref="AW5:BH5"/>
    <mergeCell ref="BI5:BT5"/>
    <mergeCell ref="CS5:DD5"/>
    <mergeCell ref="O22:P22"/>
    <mergeCell ref="AC22:AD22"/>
    <mergeCell ref="Y22:Y23"/>
    <mergeCell ref="Z22:Z23"/>
    <mergeCell ref="DR24:DR25"/>
    <mergeCell ref="BG20:BH20"/>
    <mergeCell ref="CW20:CX20"/>
    <mergeCell ref="AG11:AH12"/>
    <mergeCell ref="Y7:AJ7"/>
    <mergeCell ref="CG7:CR7"/>
    <mergeCell ref="BK11:BL12"/>
    <mergeCell ref="BM11:BN12"/>
    <mergeCell ref="BO11:BP12"/>
    <mergeCell ref="BQ11:BR12"/>
    <mergeCell ref="BS11:BT12"/>
    <mergeCell ref="AW11:AW12"/>
    <mergeCell ref="AX11:AX12"/>
    <mergeCell ref="AI11:AJ12"/>
    <mergeCell ref="AK11:AK12"/>
    <mergeCell ref="AO11:AP12"/>
    <mergeCell ref="Y20:Y21"/>
    <mergeCell ref="Z20:Z21"/>
    <mergeCell ref="AO20:AP20"/>
    <mergeCell ref="AM25:AN25"/>
    <mergeCell ref="BA25:BB25"/>
    <mergeCell ref="BM24:BN24"/>
    <mergeCell ref="DM21:DN21"/>
    <mergeCell ref="DO21:DP21"/>
    <mergeCell ref="CY21:CZ21"/>
    <mergeCell ref="DA21:DB21"/>
    <mergeCell ref="AA22:AB22"/>
    <mergeCell ref="BO24:BP24"/>
    <mergeCell ref="DC25:DD25"/>
    <mergeCell ref="DG25:DH25"/>
    <mergeCell ref="CO24:CP24"/>
    <mergeCell ref="CQ24:CR24"/>
    <mergeCell ref="DQ27:DQ28"/>
    <mergeCell ref="CA21:CB21"/>
    <mergeCell ref="AS30:AT30"/>
    <mergeCell ref="BO22:BP22"/>
    <mergeCell ref="AW20:AW21"/>
    <mergeCell ref="AX20:AX21"/>
    <mergeCell ref="AU23:AV23"/>
    <mergeCell ref="AY23:AZ23"/>
    <mergeCell ref="AW22:AW23"/>
    <mergeCell ref="AX22:AX23"/>
    <mergeCell ref="BA23:BB23"/>
    <mergeCell ref="BE23:BF23"/>
    <mergeCell ref="AX24:AX25"/>
    <mergeCell ref="AY20:AZ20"/>
    <mergeCell ref="BG24:BH24"/>
    <mergeCell ref="BI24:BI25"/>
    <mergeCell ref="BA20:BB20"/>
    <mergeCell ref="CC21:CD21"/>
    <mergeCell ref="BW23:BX23"/>
    <mergeCell ref="CA23:CB23"/>
    <mergeCell ref="AY21:AZ21"/>
    <mergeCell ref="BC20:BD20"/>
    <mergeCell ref="AS22:AT22"/>
    <mergeCell ref="AU22:AV22"/>
    <mergeCell ref="BJ22:BJ23"/>
    <mergeCell ref="BC23:BD23"/>
    <mergeCell ref="BA22:BB22"/>
    <mergeCell ref="BC22:BD22"/>
    <mergeCell ref="BE22:BF22"/>
    <mergeCell ref="CW21:CX21"/>
    <mergeCell ref="CK22:CL22"/>
    <mergeCell ref="CM22:CN22"/>
    <mergeCell ref="CO22:CP22"/>
    <mergeCell ref="AA21:AB21"/>
    <mergeCell ref="BC29:BD29"/>
    <mergeCell ref="CU29:CV29"/>
    <mergeCell ref="BJ11:BJ12"/>
    <mergeCell ref="CY29:CZ29"/>
    <mergeCell ref="AU11:AV12"/>
    <mergeCell ref="AL11:AL12"/>
    <mergeCell ref="AM11:AN12"/>
    <mergeCell ref="CE11:CF12"/>
    <mergeCell ref="CG11:CG12"/>
    <mergeCell ref="BK22:BL22"/>
    <mergeCell ref="BM22:BN22"/>
    <mergeCell ref="BQ22:BR22"/>
    <mergeCell ref="AS23:AT23"/>
    <mergeCell ref="AK14:AK15"/>
    <mergeCell ref="AL14:AL15"/>
    <mergeCell ref="AM14:AN14"/>
    <mergeCell ref="AO14:AP14"/>
    <mergeCell ref="AQ14:AR14"/>
    <mergeCell ref="AS14:AT14"/>
    <mergeCell ref="BA21:BB21"/>
    <mergeCell ref="BK13:BT13"/>
    <mergeCell ref="BA14:BB14"/>
    <mergeCell ref="BC14:BD14"/>
    <mergeCell ref="CS24:CS25"/>
    <mergeCell ref="CT24:CT25"/>
    <mergeCell ref="CU24:CV24"/>
    <mergeCell ref="CW24:CX24"/>
    <mergeCell ref="AC20:AD21"/>
    <mergeCell ref="AI21:AJ21"/>
    <mergeCell ref="BI22:BI23"/>
    <mergeCell ref="DQ24:DQ25"/>
    <mergeCell ref="BW24:BX24"/>
    <mergeCell ref="AL24:AL25"/>
    <mergeCell ref="AM24:AN24"/>
    <mergeCell ref="AE25:AF25"/>
    <mergeCell ref="BC25:BD25"/>
    <mergeCell ref="BE25:BF25"/>
    <mergeCell ref="AK24:AK25"/>
    <mergeCell ref="BE21:BF21"/>
    <mergeCell ref="BG21:BH21"/>
    <mergeCell ref="CK21:CL21"/>
    <mergeCell ref="CM21:CN21"/>
    <mergeCell ref="CE21:CF21"/>
    <mergeCell ref="CI23:CJ23"/>
    <mergeCell ref="CK23:CL23"/>
    <mergeCell ref="BC21:BD21"/>
    <mergeCell ref="BE20:BF20"/>
    <mergeCell ref="BY24:BZ24"/>
    <mergeCell ref="DO25:DP25"/>
    <mergeCell ref="CI24:CJ24"/>
    <mergeCell ref="CK24:CL24"/>
    <mergeCell ref="CM24:CN24"/>
    <mergeCell ref="CE25:CF25"/>
    <mergeCell ref="CI25:CJ25"/>
    <mergeCell ref="CK25:CL25"/>
    <mergeCell ref="CM25:CN25"/>
    <mergeCell ref="CU25:CV25"/>
    <mergeCell ref="CW25:CX25"/>
    <mergeCell ref="DC21:DD21"/>
    <mergeCell ref="AE23:AF23"/>
    <mergeCell ref="DA23:DB23"/>
    <mergeCell ref="BY23:BZ23"/>
    <mergeCell ref="EC20:EC21"/>
    <mergeCell ref="ED20:ED21"/>
    <mergeCell ref="EE20:EF20"/>
    <mergeCell ref="EG20:EH20"/>
    <mergeCell ref="EA27:EB27"/>
    <mergeCell ref="DS28:DT28"/>
    <mergeCell ref="DU28:DV28"/>
    <mergeCell ref="DW28:DX28"/>
    <mergeCell ref="EA28:EB28"/>
    <mergeCell ref="DS22:DT22"/>
    <mergeCell ref="EC22:EC23"/>
    <mergeCell ref="ED22:ED23"/>
    <mergeCell ref="EI20:EJ20"/>
    <mergeCell ref="EK20:EL20"/>
    <mergeCell ref="EE21:EF21"/>
    <mergeCell ref="EG21:EH21"/>
    <mergeCell ref="DY28:DZ28"/>
    <mergeCell ref="DS25:DT25"/>
    <mergeCell ref="EE22:EF22"/>
    <mergeCell ref="EG22:EH22"/>
    <mergeCell ref="EC27:EC28"/>
    <mergeCell ref="EA20:EB20"/>
    <mergeCell ref="DS21:DT21"/>
    <mergeCell ref="DU25:DV25"/>
    <mergeCell ref="DW25:DX25"/>
    <mergeCell ref="DW20:DX20"/>
    <mergeCell ref="DY20:DZ20"/>
    <mergeCell ref="DS23:DT23"/>
    <mergeCell ref="DU23:DV23"/>
    <mergeCell ref="DU20:DV20"/>
    <mergeCell ref="EE23:EF23"/>
    <mergeCell ref="EG23:EH23"/>
    <mergeCell ref="EI23:EJ23"/>
    <mergeCell ref="DS20:DT20"/>
    <mergeCell ref="CK18:CL18"/>
    <mergeCell ref="CM18:CN18"/>
    <mergeCell ref="CY17:CZ17"/>
    <mergeCell ref="DA17:DB17"/>
    <mergeCell ref="DC17:DD17"/>
    <mergeCell ref="CU18:CV18"/>
    <mergeCell ref="CW18:CX18"/>
    <mergeCell ref="DS24:DT24"/>
    <mergeCell ref="DU24:DV24"/>
    <mergeCell ref="DW24:DX24"/>
    <mergeCell ref="EI22:EJ22"/>
    <mergeCell ref="DW17:DX17"/>
    <mergeCell ref="DY17:DZ17"/>
    <mergeCell ref="EA17:EB17"/>
    <mergeCell ref="DU18:DV18"/>
    <mergeCell ref="EE17:EF17"/>
    <mergeCell ref="EG17:EH17"/>
    <mergeCell ref="ED19:EN19"/>
    <mergeCell ref="EE18:EF18"/>
    <mergeCell ref="EG18:EH18"/>
    <mergeCell ref="EI18:EJ18"/>
    <mergeCell ref="EK18:EL18"/>
    <mergeCell ref="DY21:DZ21"/>
    <mergeCell ref="EA21:EB21"/>
    <mergeCell ref="EM20:EN20"/>
    <mergeCell ref="DR20:DR21"/>
    <mergeCell ref="DU21:DV21"/>
    <mergeCell ref="DW21:DX21"/>
    <mergeCell ref="DW22:DX22"/>
    <mergeCell ref="EM21:EN21"/>
    <mergeCell ref="DR27:DR28"/>
    <mergeCell ref="DQ22:DQ23"/>
    <mergeCell ref="DR22:DR23"/>
    <mergeCell ref="DY22:DZ22"/>
    <mergeCell ref="EU27:EV27"/>
    <mergeCell ref="ED26:EN26"/>
    <mergeCell ref="ED31:EL31"/>
    <mergeCell ref="EU25:EV25"/>
    <mergeCell ref="EQ24:ER24"/>
    <mergeCell ref="ES24:ET24"/>
    <mergeCell ref="ES28:ET28"/>
    <mergeCell ref="EU28:EV28"/>
    <mergeCell ref="EE33:EF33"/>
    <mergeCell ref="EG33:EH33"/>
    <mergeCell ref="EI33:EJ33"/>
    <mergeCell ref="EK33:EL33"/>
    <mergeCell ref="EI21:EJ21"/>
    <mergeCell ref="EK21:EL21"/>
    <mergeCell ref="DS33:DT33"/>
    <mergeCell ref="DU33:DV33"/>
    <mergeCell ref="DW33:DX33"/>
    <mergeCell ref="DY33:DZ33"/>
    <mergeCell ref="DS27:DT27"/>
    <mergeCell ref="DU27:DV27"/>
    <mergeCell ref="DW27:DX27"/>
    <mergeCell ref="DW23:DX23"/>
    <mergeCell ref="EI28:EJ28"/>
    <mergeCell ref="EK28:EL28"/>
    <mergeCell ref="ED27:ED28"/>
    <mergeCell ref="DY23:DZ23"/>
    <mergeCell ref="EA23:EB23"/>
    <mergeCell ref="DU22:DV22"/>
    <mergeCell ref="EQ25:ER25"/>
    <mergeCell ref="ES25:ET25"/>
    <mergeCell ref="EE29:EF29"/>
    <mergeCell ref="EI29:EJ29"/>
    <mergeCell ref="EK29:EL29"/>
    <mergeCell ref="EE30:EF30"/>
    <mergeCell ref="EI30:EJ30"/>
    <mergeCell ref="EK30:EL30"/>
    <mergeCell ref="EC24:EC25"/>
    <mergeCell ref="ED24:ED25"/>
    <mergeCell ref="EE24:EF24"/>
    <mergeCell ref="EP24:EP25"/>
    <mergeCell ref="EO27:EO28"/>
    <mergeCell ref="EP27:EP28"/>
    <mergeCell ref="EQ27:ER27"/>
    <mergeCell ref="ES27:ET27"/>
    <mergeCell ref="EC29:EC30"/>
    <mergeCell ref="EE28:EF28"/>
    <mergeCell ref="EG28:EH28"/>
    <mergeCell ref="EO22:EO23"/>
    <mergeCell ref="EP22:EP23"/>
    <mergeCell ref="EK22:EL22"/>
    <mergeCell ref="EM28:EN28"/>
    <mergeCell ref="EA22:EB22"/>
    <mergeCell ref="EM22:EN22"/>
    <mergeCell ref="DY29:DZ29"/>
    <mergeCell ref="EY21:EZ21"/>
    <mergeCell ref="ED39:EF39"/>
    <mergeCell ref="EH39:EJ39"/>
    <mergeCell ref="EL39:EN39"/>
    <mergeCell ref="EK23:EL23"/>
    <mergeCell ref="EM23:EN23"/>
    <mergeCell ref="EG24:EH24"/>
    <mergeCell ref="EI24:EJ24"/>
    <mergeCell ref="EK24:EL24"/>
    <mergeCell ref="EM24:EN24"/>
    <mergeCell ref="EE25:EF25"/>
    <mergeCell ref="EG25:EH25"/>
    <mergeCell ref="EI25:EJ25"/>
    <mergeCell ref="EK25:EL25"/>
    <mergeCell ref="EM25:EN25"/>
    <mergeCell ref="ED38:EF38"/>
    <mergeCell ref="EH38:EJ38"/>
    <mergeCell ref="EL38:EN38"/>
    <mergeCell ref="EX38:EZ38"/>
    <mergeCell ref="EE27:EF27"/>
    <mergeCell ref="EG27:EH27"/>
    <mergeCell ref="EI27:EJ27"/>
    <mergeCell ref="EK27:EL27"/>
    <mergeCell ref="EM27:EN27"/>
    <mergeCell ref="EW28:EX28"/>
    <mergeCell ref="EY28:EZ28"/>
    <mergeCell ref="FA17:FA18"/>
    <mergeCell ref="EQ17:ER17"/>
    <mergeCell ref="ES17:ET17"/>
    <mergeCell ref="EU17:EV17"/>
    <mergeCell ref="EW17:EX17"/>
    <mergeCell ref="EY17:EZ17"/>
    <mergeCell ref="EQ18:ER18"/>
    <mergeCell ref="ES18:ET18"/>
    <mergeCell ref="EU18:EV18"/>
    <mergeCell ref="EW18:EX18"/>
    <mergeCell ref="EY18:EZ18"/>
    <mergeCell ref="EO19:EZ19"/>
    <mergeCell ref="EO24:EO25"/>
    <mergeCell ref="EO17:EO18"/>
    <mergeCell ref="EP17:EP18"/>
    <mergeCell ref="EO20:EO21"/>
    <mergeCell ref="EP20:EP21"/>
    <mergeCell ref="EQ20:ER20"/>
    <mergeCell ref="ES20:ET20"/>
    <mergeCell ref="EU20:EV20"/>
    <mergeCell ref="EU24:EV24"/>
    <mergeCell ref="EW24:EX24"/>
    <mergeCell ref="EY24:EZ24"/>
    <mergeCell ref="EW20:EX20"/>
    <mergeCell ref="EY20:EZ20"/>
    <mergeCell ref="EQ21:ER21"/>
    <mergeCell ref="ES21:ET21"/>
    <mergeCell ref="EU21:EV21"/>
    <mergeCell ref="FA20:FA21"/>
    <mergeCell ref="EW21:EX21"/>
    <mergeCell ref="EW25:EX25"/>
    <mergeCell ref="EQ33:ER33"/>
    <mergeCell ref="ES33:ET33"/>
    <mergeCell ref="EU33:EV33"/>
    <mergeCell ref="EW33:EX33"/>
    <mergeCell ref="EQ22:ER22"/>
    <mergeCell ref="ES22:ET22"/>
    <mergeCell ref="EU22:EV22"/>
    <mergeCell ref="EW22:EX22"/>
    <mergeCell ref="EY22:EZ22"/>
    <mergeCell ref="EQ23:ER23"/>
    <mergeCell ref="ES23:ET23"/>
    <mergeCell ref="EU23:EV23"/>
    <mergeCell ref="EW23:EX23"/>
    <mergeCell ref="EY23:EZ23"/>
    <mergeCell ref="FG22:FH22"/>
    <mergeCell ref="FI22:FJ22"/>
    <mergeCell ref="FK22:FL22"/>
    <mergeCell ref="FC23:FD23"/>
    <mergeCell ref="FE23:FF23"/>
    <mergeCell ref="FG23:FH23"/>
    <mergeCell ref="FI23:FJ23"/>
    <mergeCell ref="FK23:FL23"/>
    <mergeCell ref="FA24:FA25"/>
    <mergeCell ref="FB24:FB25"/>
    <mergeCell ref="EQ30:ER30"/>
    <mergeCell ref="EU30:EV30"/>
    <mergeCell ref="EW30:EX30"/>
    <mergeCell ref="FC24:FD24"/>
    <mergeCell ref="EQ32:ER32"/>
    <mergeCell ref="EW27:EX27"/>
    <mergeCell ref="EY27:EZ27"/>
    <mergeCell ref="EQ28:ER28"/>
    <mergeCell ref="EU32:EV32"/>
    <mergeCell ref="EW32:EX32"/>
    <mergeCell ref="EO29:EO30"/>
    <mergeCell ref="EQ29:ER29"/>
    <mergeCell ref="EU29:EV29"/>
    <mergeCell ref="EW29:EX29"/>
    <mergeCell ref="FO17:FP17"/>
    <mergeCell ref="FQ17:FR17"/>
    <mergeCell ref="FS17:FT17"/>
    <mergeCell ref="FU17:FV17"/>
    <mergeCell ref="FW17:FX17"/>
    <mergeCell ref="FO18:FP18"/>
    <mergeCell ref="FQ18:FR18"/>
    <mergeCell ref="FS18:FT18"/>
    <mergeCell ref="FC20:FD20"/>
    <mergeCell ref="FE20:FF20"/>
    <mergeCell ref="FG20:FH20"/>
    <mergeCell ref="FI20:FJ20"/>
    <mergeCell ref="FK20:FL20"/>
    <mergeCell ref="FC21:FD21"/>
    <mergeCell ref="FM20:FM21"/>
    <mergeCell ref="FN20:FN21"/>
    <mergeCell ref="FO20:FP20"/>
    <mergeCell ref="FQ20:FR20"/>
    <mergeCell ref="FS20:FT20"/>
    <mergeCell ref="FU20:FV20"/>
    <mergeCell ref="FW20:FX20"/>
    <mergeCell ref="FE21:FF21"/>
    <mergeCell ref="FG21:FH21"/>
    <mergeCell ref="FW21:FX21"/>
    <mergeCell ref="FI21:FJ21"/>
    <mergeCell ref="FK21:FL21"/>
    <mergeCell ref="FM22:FM23"/>
    <mergeCell ref="FN22:FN23"/>
    <mergeCell ref="FG24:FH24"/>
    <mergeCell ref="FI24:FJ24"/>
    <mergeCell ref="FK24:FL24"/>
    <mergeCell ref="FC25:FD25"/>
    <mergeCell ref="FO22:FP22"/>
    <mergeCell ref="FQ22:FR22"/>
    <mergeCell ref="FS22:FT22"/>
    <mergeCell ref="FU22:FV22"/>
    <mergeCell ref="FW22:FX22"/>
    <mergeCell ref="FO23:FP23"/>
    <mergeCell ref="FN38:FP38"/>
    <mergeCell ref="FR38:FT38"/>
    <mergeCell ref="FV38:FX38"/>
    <mergeCell ref="FO24:FP24"/>
    <mergeCell ref="FQ24:FR24"/>
    <mergeCell ref="FS24:FT24"/>
    <mergeCell ref="FU24:FV24"/>
    <mergeCell ref="FW25:FX25"/>
    <mergeCell ref="FW29:FX33"/>
    <mergeCell ref="FU23:FV23"/>
    <mergeCell ref="FW23:FX23"/>
    <mergeCell ref="FM24:FM25"/>
    <mergeCell ref="FN24:FN25"/>
    <mergeCell ref="FW24:FX24"/>
    <mergeCell ref="FO25:FP25"/>
    <mergeCell ref="FQ25:FR25"/>
    <mergeCell ref="FI32:FJ32"/>
    <mergeCell ref="FC29:FD29"/>
    <mergeCell ref="FG29:FH29"/>
    <mergeCell ref="FI29:FJ29"/>
    <mergeCell ref="EY25:EZ25"/>
    <mergeCell ref="FE25:FF25"/>
    <mergeCell ref="FG25:FH25"/>
    <mergeCell ref="FI25:FJ25"/>
    <mergeCell ref="FK25:FL25"/>
    <mergeCell ref="FS30:FT30"/>
    <mergeCell ref="FU30:FV30"/>
    <mergeCell ref="FO33:FP33"/>
    <mergeCell ref="FQ33:FR33"/>
    <mergeCell ref="FS33:FT33"/>
    <mergeCell ref="FU33:FV33"/>
    <mergeCell ref="FO21:FP21"/>
    <mergeCell ref="FQ21:FR21"/>
    <mergeCell ref="FS21:FT21"/>
    <mergeCell ref="FU21:FV21"/>
    <mergeCell ref="FA27:FA28"/>
    <mergeCell ref="FB27:FB28"/>
    <mergeCell ref="FC27:FD27"/>
    <mergeCell ref="FE27:FF27"/>
    <mergeCell ref="FG27:FH27"/>
    <mergeCell ref="FI27:FJ27"/>
    <mergeCell ref="FK27:FL27"/>
    <mergeCell ref="FC28:FD28"/>
    <mergeCell ref="FE28:FF28"/>
    <mergeCell ref="FG28:FH28"/>
    <mergeCell ref="FI28:FJ28"/>
    <mergeCell ref="FK28:FL28"/>
    <mergeCell ref="FK29:FL33"/>
    <mergeCell ref="FC22:FD22"/>
    <mergeCell ref="FQ23:FR23"/>
    <mergeCell ref="FS23:FT23"/>
    <mergeCell ref="FG32:FH32"/>
    <mergeCell ref="FN39:FP39"/>
    <mergeCell ref="FR39:FT39"/>
    <mergeCell ref="FV39:FX39"/>
    <mergeCell ref="FM27:FM28"/>
    <mergeCell ref="FN27:FN28"/>
    <mergeCell ref="FO27:FP27"/>
    <mergeCell ref="FQ27:FR27"/>
    <mergeCell ref="FS27:FT27"/>
    <mergeCell ref="FU27:FV27"/>
    <mergeCell ref="FW27:FX27"/>
    <mergeCell ref="FO28:FP28"/>
    <mergeCell ref="FQ28:FR28"/>
    <mergeCell ref="FS28:FT28"/>
    <mergeCell ref="FU28:FV28"/>
    <mergeCell ref="FW28:FX28"/>
    <mergeCell ref="FB38:FD38"/>
    <mergeCell ref="FF38:FH38"/>
    <mergeCell ref="FJ38:FL38"/>
    <mergeCell ref="FB39:FD39"/>
    <mergeCell ref="FF39:FH39"/>
    <mergeCell ref="FJ39:FL39"/>
    <mergeCell ref="FM32:FM33"/>
    <mergeCell ref="FN32:FN33"/>
    <mergeCell ref="FO32:FP32"/>
    <mergeCell ref="FQ32:FR32"/>
    <mergeCell ref="FS32:FT32"/>
    <mergeCell ref="FU32:FV32"/>
    <mergeCell ref="FM29:FM30"/>
    <mergeCell ref="FO29:FP29"/>
    <mergeCell ref="FS29:FT29"/>
    <mergeCell ref="FU29:FV29"/>
    <mergeCell ref="FO30:FP30"/>
    <mergeCell ref="DQ1:EB1"/>
    <mergeCell ref="DQ2:EB2"/>
    <mergeCell ref="DQ3:EB3"/>
    <mergeCell ref="DQ4:EB4"/>
    <mergeCell ref="DQ5:EB5"/>
    <mergeCell ref="DS14:DT14"/>
    <mergeCell ref="DU14:DV14"/>
    <mergeCell ref="DW14:DX14"/>
    <mergeCell ref="DY14:DZ14"/>
    <mergeCell ref="EA14:EB14"/>
    <mergeCell ref="DS15:DT15"/>
    <mergeCell ref="DU15:DV15"/>
    <mergeCell ref="DW15:DX15"/>
    <mergeCell ref="DY15:DZ15"/>
    <mergeCell ref="EA15:EB15"/>
    <mergeCell ref="DW18:DX18"/>
    <mergeCell ref="DY18:DZ18"/>
    <mergeCell ref="EA18:EB18"/>
    <mergeCell ref="DU17:DV17"/>
    <mergeCell ref="DR14:DR15"/>
    <mergeCell ref="DQ14:DQ15"/>
    <mergeCell ref="DQ17:DQ18"/>
    <mergeCell ref="EA16:EB16"/>
    <mergeCell ref="DR17:DR18"/>
    <mergeCell ref="DS16:DT16"/>
    <mergeCell ref="EC1:EN1"/>
    <mergeCell ref="EC2:EN2"/>
    <mergeCell ref="EC3:EN3"/>
    <mergeCell ref="EC4:EN4"/>
    <mergeCell ref="EC5:EN5"/>
    <mergeCell ref="EC11:EC12"/>
    <mergeCell ref="ED11:ED12"/>
    <mergeCell ref="EE11:EF12"/>
    <mergeCell ref="EG11:EH12"/>
    <mergeCell ref="EI17:EJ17"/>
    <mergeCell ref="EI11:EJ12"/>
    <mergeCell ref="EK11:EL12"/>
    <mergeCell ref="EM11:EN12"/>
    <mergeCell ref="EE13:EN13"/>
    <mergeCell ref="EC14:EC15"/>
    <mergeCell ref="ED14:ED15"/>
    <mergeCell ref="EE14:EF14"/>
    <mergeCell ref="EG14:EH14"/>
    <mergeCell ref="EI14:EJ14"/>
    <mergeCell ref="EK14:EL14"/>
    <mergeCell ref="EM14:EN14"/>
    <mergeCell ref="EE15:EF15"/>
    <mergeCell ref="EG15:EH15"/>
    <mergeCell ref="EI15:EJ15"/>
    <mergeCell ref="EK15:EL15"/>
    <mergeCell ref="EM15:EN15"/>
    <mergeCell ref="EC7:EN7"/>
    <mergeCell ref="EK17:EL17"/>
    <mergeCell ref="EM17:EN17"/>
    <mergeCell ref="EC17:EC18"/>
    <mergeCell ref="ED17:ED18"/>
    <mergeCell ref="EM18:EN18"/>
    <mergeCell ref="EO1:EZ1"/>
    <mergeCell ref="EO2:EZ2"/>
    <mergeCell ref="EO3:EZ3"/>
    <mergeCell ref="EO4:EZ4"/>
    <mergeCell ref="EO5:EZ5"/>
    <mergeCell ref="EO11:EO12"/>
    <mergeCell ref="EP11:EP12"/>
    <mergeCell ref="EQ11:ER12"/>
    <mergeCell ref="ES11:ET12"/>
    <mergeCell ref="EU11:EV12"/>
    <mergeCell ref="EW11:EX12"/>
    <mergeCell ref="EY11:EZ12"/>
    <mergeCell ref="EQ13:EZ13"/>
    <mergeCell ref="EO14:EO15"/>
    <mergeCell ref="EP14:EP15"/>
    <mergeCell ref="EQ14:ER14"/>
    <mergeCell ref="ES14:ET14"/>
    <mergeCell ref="EU14:EV14"/>
    <mergeCell ref="EW14:EX14"/>
    <mergeCell ref="EY14:EZ14"/>
    <mergeCell ref="EQ15:ER15"/>
    <mergeCell ref="ES15:ET15"/>
    <mergeCell ref="EU15:EV15"/>
    <mergeCell ref="EW15:EX15"/>
    <mergeCell ref="EY15:EZ15"/>
    <mergeCell ref="EO7:EZ7"/>
    <mergeCell ref="FA5:FL5"/>
    <mergeCell ref="FA11:FA12"/>
    <mergeCell ref="FB11:FB12"/>
    <mergeCell ref="FC11:FD12"/>
    <mergeCell ref="FE11:FF12"/>
    <mergeCell ref="FG11:FH12"/>
    <mergeCell ref="FI11:FJ12"/>
    <mergeCell ref="FK11:FL12"/>
    <mergeCell ref="FC13:FL13"/>
    <mergeCell ref="FA14:FA15"/>
    <mergeCell ref="FB14:FB15"/>
    <mergeCell ref="FC14:FD14"/>
    <mergeCell ref="FE14:FF14"/>
    <mergeCell ref="FG14:FH14"/>
    <mergeCell ref="FI14:FJ14"/>
    <mergeCell ref="FK14:FL14"/>
    <mergeCell ref="FC15:FD15"/>
    <mergeCell ref="FE15:FF15"/>
    <mergeCell ref="FG15:FH15"/>
    <mergeCell ref="FI15:FJ15"/>
    <mergeCell ref="FK15:FL15"/>
    <mergeCell ref="FA7:FL7"/>
    <mergeCell ref="FC33:FD33"/>
    <mergeCell ref="FE33:FF33"/>
    <mergeCell ref="FG33:FH33"/>
    <mergeCell ref="FI33:FJ33"/>
    <mergeCell ref="FA22:FA23"/>
    <mergeCell ref="FB22:FB23"/>
    <mergeCell ref="FE24:FF24"/>
    <mergeCell ref="FB20:FB21"/>
    <mergeCell ref="FE22:FF22"/>
    <mergeCell ref="FM1:FX1"/>
    <mergeCell ref="FM2:FX2"/>
    <mergeCell ref="FM3:FX3"/>
    <mergeCell ref="FM4:FX4"/>
    <mergeCell ref="FM5:FX5"/>
    <mergeCell ref="FM11:FM12"/>
    <mergeCell ref="FN11:FN12"/>
    <mergeCell ref="FO11:FP12"/>
    <mergeCell ref="FQ11:FR12"/>
    <mergeCell ref="FS11:FT12"/>
    <mergeCell ref="FU11:FV12"/>
    <mergeCell ref="FW11:FX12"/>
    <mergeCell ref="FO13:FX13"/>
    <mergeCell ref="FM14:FM15"/>
    <mergeCell ref="FN14:FN15"/>
    <mergeCell ref="FO14:FP14"/>
    <mergeCell ref="FA1:FL1"/>
    <mergeCell ref="FQ14:FR14"/>
    <mergeCell ref="FS14:FT14"/>
    <mergeCell ref="FU14:FV14"/>
    <mergeCell ref="FA2:FL2"/>
    <mergeCell ref="FA3:FL3"/>
    <mergeCell ref="FA4:FL4"/>
    <mergeCell ref="FW14:FX14"/>
    <mergeCell ref="FO15:FP15"/>
    <mergeCell ref="FQ15:FR15"/>
    <mergeCell ref="FS15:FT15"/>
    <mergeCell ref="FU15:FV15"/>
    <mergeCell ref="FW15:FX15"/>
    <mergeCell ref="FM7:FX7"/>
    <mergeCell ref="A29:A30"/>
    <mergeCell ref="C29:D29"/>
    <mergeCell ref="C30:D30"/>
    <mergeCell ref="G29:H29"/>
    <mergeCell ref="G30:H30"/>
    <mergeCell ref="I29:J29"/>
    <mergeCell ref="I30:J30"/>
    <mergeCell ref="M29:M30"/>
    <mergeCell ref="O29:P29"/>
    <mergeCell ref="S29:T29"/>
    <mergeCell ref="U29:V29"/>
    <mergeCell ref="O30:P30"/>
    <mergeCell ref="S30:T30"/>
    <mergeCell ref="U30:V30"/>
    <mergeCell ref="Y29:Y30"/>
    <mergeCell ref="AA29:AB29"/>
    <mergeCell ref="AE29:AF29"/>
    <mergeCell ref="AA30:AB30"/>
    <mergeCell ref="AE30:AF30"/>
    <mergeCell ref="B29:B30"/>
    <mergeCell ref="DQ29:DQ30"/>
    <mergeCell ref="DS29:DT29"/>
    <mergeCell ref="DW29:DX29"/>
    <mergeCell ref="DS30:DT30"/>
    <mergeCell ref="DW30:DX30"/>
    <mergeCell ref="EE32:EF32"/>
    <mergeCell ref="EG32:EH32"/>
    <mergeCell ref="EI32:EJ32"/>
    <mergeCell ref="EK32:EL32"/>
    <mergeCell ref="DR32:DR33"/>
    <mergeCell ref="FU18:FV18"/>
    <mergeCell ref="FW18:FX18"/>
    <mergeCell ref="FM19:FX19"/>
    <mergeCell ref="FC17:FD17"/>
    <mergeCell ref="FE17:FF17"/>
    <mergeCell ref="FS25:FT25"/>
    <mergeCell ref="FU25:FV25"/>
    <mergeCell ref="FM17:FM18"/>
    <mergeCell ref="FN17:FN18"/>
    <mergeCell ref="FG17:FH17"/>
    <mergeCell ref="FI17:FJ17"/>
    <mergeCell ref="FK17:FL17"/>
    <mergeCell ref="FC18:FD18"/>
    <mergeCell ref="FE18:FF18"/>
    <mergeCell ref="FG18:FH18"/>
    <mergeCell ref="FI18:FJ18"/>
    <mergeCell ref="FK18:FL18"/>
    <mergeCell ref="FB17:FB18"/>
    <mergeCell ref="FA19:FL19"/>
    <mergeCell ref="FA32:FA33"/>
    <mergeCell ref="FB32:FB33"/>
    <mergeCell ref="FC32:FD32"/>
    <mergeCell ref="FE32:FF32"/>
    <mergeCell ref="FA29:FA30"/>
    <mergeCell ref="FC30:FD30"/>
    <mergeCell ref="FG30:FH30"/>
    <mergeCell ref="FI30:FJ30"/>
    <mergeCell ref="DU29:DV29"/>
    <mergeCell ref="DU30:DV30"/>
    <mergeCell ref="DQ32:DQ33"/>
    <mergeCell ref="DY30:DZ30"/>
    <mergeCell ref="ET39:EV39"/>
    <mergeCell ref="EX39:EZ39"/>
    <mergeCell ref="EO32:EO33"/>
    <mergeCell ref="EP32:EP33"/>
    <mergeCell ref="ES32:ET32"/>
    <mergeCell ref="BC30:BD30"/>
    <mergeCell ref="BE30:BF30"/>
    <mergeCell ref="BI29:BI30"/>
    <mergeCell ref="BK29:BL29"/>
    <mergeCell ref="BO29:BP29"/>
    <mergeCell ref="BQ29:BR29"/>
    <mergeCell ref="BK30:BL30"/>
    <mergeCell ref="BO30:BP30"/>
    <mergeCell ref="BQ30:BR30"/>
    <mergeCell ref="CI29:CJ29"/>
    <mergeCell ref="CM29:CN29"/>
    <mergeCell ref="CO29:CP29"/>
    <mergeCell ref="CI30:CJ30"/>
    <mergeCell ref="CM30:CN30"/>
    <mergeCell ref="CO30:CP30"/>
    <mergeCell ref="CS29:CS30"/>
    <mergeCell ref="CE29:CF29"/>
    <mergeCell ref="EP39:ER39"/>
    <mergeCell ref="DF31:DP31"/>
    <mergeCell ref="EP38:ER38"/>
    <mergeCell ref="ET38:EV38"/>
    <mergeCell ref="EC32:EC33"/>
    <mergeCell ref="ED32:ED33"/>
    <mergeCell ref="FM40:FX40"/>
    <mergeCell ref="DQ41:EB41"/>
    <mergeCell ref="EC41:EN41"/>
    <mergeCell ref="EO41:EZ41"/>
    <mergeCell ref="FA41:FL41"/>
    <mergeCell ref="FM41:FX41"/>
    <mergeCell ref="DQ42:EB42"/>
    <mergeCell ref="EC42:EN42"/>
    <mergeCell ref="EO42:EZ42"/>
    <mergeCell ref="FA42:FL42"/>
    <mergeCell ref="FM42:FX42"/>
    <mergeCell ref="DQ43:EB43"/>
    <mergeCell ref="EC43:EN43"/>
    <mergeCell ref="EO43:EZ43"/>
    <mergeCell ref="FA43:FL43"/>
    <mergeCell ref="FM43:FX43"/>
    <mergeCell ref="DQ44:EB44"/>
    <mergeCell ref="EC44:EN44"/>
    <mergeCell ref="EO44:EZ44"/>
    <mergeCell ref="FA44:FL44"/>
    <mergeCell ref="FM44:FX44"/>
    <mergeCell ref="DQ40:EB40"/>
    <mergeCell ref="EC40:EN40"/>
    <mergeCell ref="EO40:EZ40"/>
    <mergeCell ref="FA40:FL40"/>
    <mergeCell ref="EO46:EZ46"/>
    <mergeCell ref="FA46:FL46"/>
    <mergeCell ref="FM46:FX46"/>
    <mergeCell ref="DQ50:DQ51"/>
    <mergeCell ref="DR50:DR51"/>
    <mergeCell ref="DS50:DT51"/>
    <mergeCell ref="DU50:DV51"/>
    <mergeCell ref="DW50:DX51"/>
    <mergeCell ref="DY50:DZ51"/>
    <mergeCell ref="EA50:EB51"/>
    <mergeCell ref="EC50:EC51"/>
    <mergeCell ref="ED50:ED51"/>
    <mergeCell ref="EE50:EF51"/>
    <mergeCell ref="EG50:EH51"/>
    <mergeCell ref="EI50:EJ51"/>
    <mergeCell ref="EK50:EL51"/>
    <mergeCell ref="EM50:EN51"/>
    <mergeCell ref="EO50:EO51"/>
    <mergeCell ref="EP50:EP51"/>
    <mergeCell ref="EQ50:ER51"/>
    <mergeCell ref="ES50:ET51"/>
    <mergeCell ref="EU50:EV51"/>
    <mergeCell ref="EW50:EX51"/>
    <mergeCell ref="EY50:EZ51"/>
    <mergeCell ref="FA50:FA51"/>
    <mergeCell ref="FB50:FB51"/>
    <mergeCell ref="FC50:FD51"/>
    <mergeCell ref="FE50:FF51"/>
    <mergeCell ref="FG50:FH51"/>
    <mergeCell ref="FI50:FJ51"/>
    <mergeCell ref="FK50:FL51"/>
    <mergeCell ref="FM50:FM51"/>
    <mergeCell ref="FN50:FN51"/>
    <mergeCell ref="FO50:FP51"/>
    <mergeCell ref="FQ50:FR51"/>
    <mergeCell ref="FS50:FT51"/>
    <mergeCell ref="FU50:FV51"/>
    <mergeCell ref="FW50:FX51"/>
    <mergeCell ref="DS52:EB52"/>
    <mergeCell ref="EE52:EN52"/>
    <mergeCell ref="EQ52:EZ52"/>
    <mergeCell ref="FC52:FL52"/>
    <mergeCell ref="FO52:FX52"/>
    <mergeCell ref="FC53:FD53"/>
    <mergeCell ref="FE53:FF53"/>
    <mergeCell ref="FG53:FH53"/>
    <mergeCell ref="FI53:FJ53"/>
    <mergeCell ref="FK53:FL53"/>
    <mergeCell ref="FM53:FM54"/>
    <mergeCell ref="FN53:FN54"/>
    <mergeCell ref="FO53:FP53"/>
    <mergeCell ref="FQ53:FR53"/>
    <mergeCell ref="FS53:FT53"/>
    <mergeCell ref="FU53:FV53"/>
    <mergeCell ref="FW53:FX53"/>
    <mergeCell ref="ES54:ET54"/>
    <mergeCell ref="EU54:EV54"/>
    <mergeCell ref="EW54:EX54"/>
    <mergeCell ref="EY54:EZ54"/>
    <mergeCell ref="FC54:FD54"/>
    <mergeCell ref="FE54:FF54"/>
    <mergeCell ref="FG54:FH54"/>
    <mergeCell ref="EC53:EC54"/>
    <mergeCell ref="ED53:ED54"/>
    <mergeCell ref="EM56:EN56"/>
    <mergeCell ref="EO56:EO57"/>
    <mergeCell ref="EP56:EP57"/>
    <mergeCell ref="EQ56:ER56"/>
    <mergeCell ref="FW57:FX57"/>
    <mergeCell ref="EO53:EO54"/>
    <mergeCell ref="EP53:EP54"/>
    <mergeCell ref="EQ53:ER53"/>
    <mergeCell ref="DS54:DT54"/>
    <mergeCell ref="DU54:DV54"/>
    <mergeCell ref="DW54:DX54"/>
    <mergeCell ref="DY54:DZ54"/>
    <mergeCell ref="EA54:EB54"/>
    <mergeCell ref="EE54:EF54"/>
    <mergeCell ref="EG54:EH54"/>
    <mergeCell ref="EI54:EJ54"/>
    <mergeCell ref="EK54:EL54"/>
    <mergeCell ref="EM54:EN54"/>
    <mergeCell ref="EQ54:ER54"/>
    <mergeCell ref="ES56:ET56"/>
    <mergeCell ref="EU56:EV56"/>
    <mergeCell ref="EW56:EX56"/>
    <mergeCell ref="EC56:EC57"/>
    <mergeCell ref="ED56:ED57"/>
    <mergeCell ref="EE56:EF56"/>
    <mergeCell ref="EG56:EH56"/>
    <mergeCell ref="EI56:EJ56"/>
    <mergeCell ref="EK56:EL56"/>
    <mergeCell ref="FI54:FJ54"/>
    <mergeCell ref="FK54:FL54"/>
    <mergeCell ref="EY57:EZ57"/>
    <mergeCell ref="FC57:FD57"/>
    <mergeCell ref="EY56:EZ56"/>
    <mergeCell ref="FA56:FA57"/>
    <mergeCell ref="FB56:FB57"/>
    <mergeCell ref="FO54:FP54"/>
    <mergeCell ref="FQ54:FR54"/>
    <mergeCell ref="FS54:FT54"/>
    <mergeCell ref="FU54:FV54"/>
    <mergeCell ref="FW54:FX54"/>
    <mergeCell ref="ES53:ET53"/>
    <mergeCell ref="EU53:EV53"/>
    <mergeCell ref="EW53:EX53"/>
    <mergeCell ref="EY53:EZ53"/>
    <mergeCell ref="FA53:FA54"/>
    <mergeCell ref="FB53:FB54"/>
    <mergeCell ref="FC56:FD56"/>
    <mergeCell ref="FE56:FF56"/>
    <mergeCell ref="FG56:FH56"/>
    <mergeCell ref="FI56:FJ56"/>
    <mergeCell ref="FK56:FL56"/>
    <mergeCell ref="FM56:FM57"/>
    <mergeCell ref="FN56:FN57"/>
    <mergeCell ref="FO56:FP56"/>
    <mergeCell ref="FQ56:FR56"/>
    <mergeCell ref="FS56:FT56"/>
    <mergeCell ref="FU56:FV56"/>
    <mergeCell ref="FW56:FX56"/>
    <mergeCell ref="ES57:ET57"/>
    <mergeCell ref="FE57:FF57"/>
    <mergeCell ref="FG57:FH57"/>
    <mergeCell ref="FO57:FP57"/>
    <mergeCell ref="FQ57:FR57"/>
    <mergeCell ref="FS57:FT57"/>
    <mergeCell ref="FM58:FX58"/>
    <mergeCell ref="DQ59:DQ60"/>
    <mergeCell ref="DR59:DR60"/>
    <mergeCell ref="DS59:DT59"/>
    <mergeCell ref="DU59:DV59"/>
    <mergeCell ref="DW59:DX59"/>
    <mergeCell ref="DY59:DZ59"/>
    <mergeCell ref="EA59:EB59"/>
    <mergeCell ref="EC59:EC60"/>
    <mergeCell ref="ED59:ED60"/>
    <mergeCell ref="EE59:EF59"/>
    <mergeCell ref="EG59:EH59"/>
    <mergeCell ref="EI59:EJ59"/>
    <mergeCell ref="EK59:EL59"/>
    <mergeCell ref="EM59:EN59"/>
    <mergeCell ref="EO59:EO60"/>
    <mergeCell ref="EP59:EP60"/>
    <mergeCell ref="DS60:DT60"/>
    <mergeCell ref="ED58:EN58"/>
    <mergeCell ref="FQ60:FR60"/>
    <mergeCell ref="FS60:FT60"/>
    <mergeCell ref="FO60:FP60"/>
    <mergeCell ref="EE57:EF57"/>
    <mergeCell ref="EG57:EH57"/>
    <mergeCell ref="EI57:EJ57"/>
    <mergeCell ref="EK57:EL57"/>
    <mergeCell ref="EM57:EN57"/>
    <mergeCell ref="EQ57:ER57"/>
    <mergeCell ref="EU57:EV57"/>
    <mergeCell ref="EW57:EX57"/>
    <mergeCell ref="EK60:EL60"/>
    <mergeCell ref="EM60:EN60"/>
    <mergeCell ref="EO58:EZ58"/>
    <mergeCell ref="FA58:FL58"/>
    <mergeCell ref="EA62:EB62"/>
    <mergeCell ref="EE62:EF62"/>
    <mergeCell ref="FI57:FJ57"/>
    <mergeCell ref="FK57:FL57"/>
    <mergeCell ref="FI60:FJ60"/>
    <mergeCell ref="FK60:FL60"/>
    <mergeCell ref="FG60:FH60"/>
    <mergeCell ref="FS62:FT62"/>
    <mergeCell ref="FU62:FV62"/>
    <mergeCell ref="FB59:FB60"/>
    <mergeCell ref="FC59:FD59"/>
    <mergeCell ref="FE59:FF59"/>
    <mergeCell ref="FG59:FH59"/>
    <mergeCell ref="FI59:FJ59"/>
    <mergeCell ref="FK59:FL59"/>
    <mergeCell ref="FM59:FM60"/>
    <mergeCell ref="FN59:FN60"/>
    <mergeCell ref="FO59:FP59"/>
    <mergeCell ref="FQ59:FR59"/>
    <mergeCell ref="FS59:FT59"/>
    <mergeCell ref="ES62:ET62"/>
    <mergeCell ref="EU62:EV62"/>
    <mergeCell ref="EW62:EX62"/>
    <mergeCell ref="EY62:EZ62"/>
    <mergeCell ref="FC62:FD62"/>
    <mergeCell ref="FE62:FF62"/>
    <mergeCell ref="FG62:FH62"/>
    <mergeCell ref="FI62:FJ62"/>
    <mergeCell ref="FU57:FV57"/>
    <mergeCell ref="EM62:EN62"/>
    <mergeCell ref="EQ62:ER62"/>
    <mergeCell ref="FU60:FV60"/>
    <mergeCell ref="FW60:FX60"/>
    <mergeCell ref="EQ59:ER59"/>
    <mergeCell ref="ES59:ET59"/>
    <mergeCell ref="EU59:EV59"/>
    <mergeCell ref="EW59:EX59"/>
    <mergeCell ref="EY59:EZ59"/>
    <mergeCell ref="FC61:FD61"/>
    <mergeCell ref="FE61:FF61"/>
    <mergeCell ref="FG61:FH61"/>
    <mergeCell ref="FI61:FJ61"/>
    <mergeCell ref="FK61:FL61"/>
    <mergeCell ref="FM61:FM62"/>
    <mergeCell ref="FN61:FN62"/>
    <mergeCell ref="FO61:FP61"/>
    <mergeCell ref="FQ61:FR61"/>
    <mergeCell ref="FS61:FT61"/>
    <mergeCell ref="FU61:FV61"/>
    <mergeCell ref="FW61:FX61"/>
    <mergeCell ref="FU59:FV59"/>
    <mergeCell ref="FW59:FX59"/>
    <mergeCell ref="EQ60:ER60"/>
    <mergeCell ref="FA59:FA60"/>
    <mergeCell ref="ES60:ET60"/>
    <mergeCell ref="EU60:EV60"/>
    <mergeCell ref="EW60:EX60"/>
    <mergeCell ref="EY60:EZ60"/>
    <mergeCell ref="FC60:FD60"/>
    <mergeCell ref="FE60:FF60"/>
    <mergeCell ref="FW63:FX63"/>
    <mergeCell ref="EU64:EV64"/>
    <mergeCell ref="EW64:EX64"/>
    <mergeCell ref="EY64:EZ64"/>
    <mergeCell ref="FK62:FL62"/>
    <mergeCell ref="FO62:FP62"/>
    <mergeCell ref="FQ62:FR62"/>
    <mergeCell ref="FI64:FJ64"/>
    <mergeCell ref="FK64:FL64"/>
    <mergeCell ref="FO64:FP64"/>
    <mergeCell ref="FQ64:FR64"/>
    <mergeCell ref="FS64:FT64"/>
    <mergeCell ref="FU64:FV64"/>
    <mergeCell ref="DQ61:DQ62"/>
    <mergeCell ref="DR61:DR62"/>
    <mergeCell ref="DS61:DT61"/>
    <mergeCell ref="DU61:DV61"/>
    <mergeCell ref="DW61:DX61"/>
    <mergeCell ref="DY61:DZ61"/>
    <mergeCell ref="EA61:EB61"/>
    <mergeCell ref="EC61:EC62"/>
    <mergeCell ref="ED61:ED62"/>
    <mergeCell ref="EE61:EF61"/>
    <mergeCell ref="EG61:EH61"/>
    <mergeCell ref="EI61:EJ61"/>
    <mergeCell ref="EK61:EL61"/>
    <mergeCell ref="EM61:EN61"/>
    <mergeCell ref="EO61:EO62"/>
    <mergeCell ref="EP61:EP62"/>
    <mergeCell ref="EQ61:ER61"/>
    <mergeCell ref="DS62:DT62"/>
    <mergeCell ref="DU62:DV62"/>
    <mergeCell ref="ES64:ET64"/>
    <mergeCell ref="EO63:EO64"/>
    <mergeCell ref="EP63:EP64"/>
    <mergeCell ref="EQ63:ER63"/>
    <mergeCell ref="DS64:DT64"/>
    <mergeCell ref="EG62:EH62"/>
    <mergeCell ref="EI62:EJ62"/>
    <mergeCell ref="EK62:EL62"/>
    <mergeCell ref="EE64:EF64"/>
    <mergeCell ref="EG64:EH64"/>
    <mergeCell ref="EI64:EJ64"/>
    <mergeCell ref="EK64:EL64"/>
    <mergeCell ref="EM64:EN64"/>
    <mergeCell ref="EQ64:ER64"/>
    <mergeCell ref="FW62:FX62"/>
    <mergeCell ref="ES61:ET61"/>
    <mergeCell ref="EU61:EV61"/>
    <mergeCell ref="EW61:EX61"/>
    <mergeCell ref="EY61:EZ61"/>
    <mergeCell ref="FA61:FA62"/>
    <mergeCell ref="FB61:FB62"/>
    <mergeCell ref="FC63:FD63"/>
    <mergeCell ref="FE63:FF63"/>
    <mergeCell ref="FG63:FH63"/>
    <mergeCell ref="FI63:FJ63"/>
    <mergeCell ref="FK63:FL63"/>
    <mergeCell ref="FM63:FM64"/>
    <mergeCell ref="FN63:FN64"/>
    <mergeCell ref="FO63:FP63"/>
    <mergeCell ref="FQ63:FR63"/>
    <mergeCell ref="FS63:FT63"/>
    <mergeCell ref="FU63:FV63"/>
    <mergeCell ref="EU63:EV63"/>
    <mergeCell ref="EW63:EX63"/>
    <mergeCell ref="EY63:EZ63"/>
    <mergeCell ref="FA63:FA64"/>
    <mergeCell ref="FB63:FB64"/>
    <mergeCell ref="FC66:FD66"/>
    <mergeCell ref="FE66:FF66"/>
    <mergeCell ref="FG66:FH66"/>
    <mergeCell ref="FI66:FJ66"/>
    <mergeCell ref="FK66:FL66"/>
    <mergeCell ref="FM66:FM67"/>
    <mergeCell ref="FN66:FN67"/>
    <mergeCell ref="FO66:FP66"/>
    <mergeCell ref="FQ66:FR66"/>
    <mergeCell ref="FS66:FT66"/>
    <mergeCell ref="FU66:FV66"/>
    <mergeCell ref="FC64:FD64"/>
    <mergeCell ref="FE64:FF64"/>
    <mergeCell ref="FG64:FH64"/>
    <mergeCell ref="EW67:EX67"/>
    <mergeCell ref="EY67:EZ67"/>
    <mergeCell ref="FC67:FD67"/>
    <mergeCell ref="FE67:FF67"/>
    <mergeCell ref="FG67:FH67"/>
    <mergeCell ref="FI67:FJ67"/>
    <mergeCell ref="FK67:FL67"/>
    <mergeCell ref="FO67:FP67"/>
    <mergeCell ref="FQ67:FR67"/>
    <mergeCell ref="FS67:FT67"/>
    <mergeCell ref="FU67:FV67"/>
    <mergeCell ref="FW67:FX67"/>
    <mergeCell ref="ES66:ET66"/>
    <mergeCell ref="EU66:EV66"/>
    <mergeCell ref="EW66:EX66"/>
    <mergeCell ref="EY66:EZ66"/>
    <mergeCell ref="FA66:FA67"/>
    <mergeCell ref="FB66:FB67"/>
    <mergeCell ref="FI69:FJ69"/>
    <mergeCell ref="FO69:FP69"/>
    <mergeCell ref="FS69:FT69"/>
    <mergeCell ref="FU69:FV69"/>
    <mergeCell ref="FO68:FP68"/>
    <mergeCell ref="DU64:DV64"/>
    <mergeCell ref="DW64:DX64"/>
    <mergeCell ref="EA64:EB64"/>
    <mergeCell ref="DS67:DT67"/>
    <mergeCell ref="DU67:DV67"/>
    <mergeCell ref="DW67:DX67"/>
    <mergeCell ref="DY67:DZ67"/>
    <mergeCell ref="EA67:EB67"/>
    <mergeCell ref="EE67:EF67"/>
    <mergeCell ref="EG67:EH67"/>
    <mergeCell ref="EI67:EJ67"/>
    <mergeCell ref="EK67:EL67"/>
    <mergeCell ref="EM67:EN67"/>
    <mergeCell ref="EQ67:ER67"/>
    <mergeCell ref="FW64:FX64"/>
    <mergeCell ref="EC63:EC64"/>
    <mergeCell ref="ED63:ED64"/>
    <mergeCell ref="EE63:EF63"/>
    <mergeCell ref="EG63:EH63"/>
    <mergeCell ref="ES63:ET63"/>
    <mergeCell ref="EQ68:ER68"/>
    <mergeCell ref="EU68:EV68"/>
    <mergeCell ref="EW68:EX68"/>
    <mergeCell ref="FA68:FA69"/>
    <mergeCell ref="FC68:FD68"/>
    <mergeCell ref="FG68:FH68"/>
    <mergeCell ref="FI68:FJ68"/>
    <mergeCell ref="FM68:FM69"/>
    <mergeCell ref="EW69:EX69"/>
    <mergeCell ref="FC69:FD69"/>
    <mergeCell ref="EQ69:ER69"/>
    <mergeCell ref="EU69:EV69"/>
    <mergeCell ref="FW66:FX66"/>
    <mergeCell ref="ES67:ET67"/>
    <mergeCell ref="EU67:EV67"/>
    <mergeCell ref="DW66:DX66"/>
    <mergeCell ref="DY66:DZ66"/>
    <mergeCell ref="EA66:EB66"/>
    <mergeCell ref="EC66:EC67"/>
    <mergeCell ref="ED66:ED67"/>
    <mergeCell ref="EE66:EF66"/>
    <mergeCell ref="EG66:EH66"/>
    <mergeCell ref="EI66:EJ66"/>
    <mergeCell ref="EK66:EL66"/>
    <mergeCell ref="EM66:EN66"/>
    <mergeCell ref="EO66:EO67"/>
    <mergeCell ref="EP66:EP67"/>
    <mergeCell ref="EA68:EB68"/>
    <mergeCell ref="EA69:EB69"/>
    <mergeCell ref="EM68:EN68"/>
    <mergeCell ref="EM69:EN69"/>
    <mergeCell ref="EQ66:ER66"/>
    <mergeCell ref="FS68:FT68"/>
    <mergeCell ref="FU68:FV68"/>
    <mergeCell ref="DS69:DT69"/>
    <mergeCell ref="BK71:BL71"/>
    <mergeCell ref="A71:A72"/>
    <mergeCell ref="B71:B72"/>
    <mergeCell ref="C71:D71"/>
    <mergeCell ref="E71:F71"/>
    <mergeCell ref="G71:H71"/>
    <mergeCell ref="I71:J71"/>
    <mergeCell ref="M71:M72"/>
    <mergeCell ref="N71:N72"/>
    <mergeCell ref="O71:P71"/>
    <mergeCell ref="Q71:R71"/>
    <mergeCell ref="S71:T71"/>
    <mergeCell ref="U71:V71"/>
    <mergeCell ref="Y71:Y72"/>
    <mergeCell ref="Z71:Z72"/>
    <mergeCell ref="AA71:AB71"/>
    <mergeCell ref="AC71:AD71"/>
    <mergeCell ref="AE71:AF71"/>
    <mergeCell ref="C72:D72"/>
    <mergeCell ref="E72:F72"/>
    <mergeCell ref="G72:H72"/>
    <mergeCell ref="I72:J72"/>
    <mergeCell ref="O72:P72"/>
    <mergeCell ref="Q72:R72"/>
    <mergeCell ref="S72:T72"/>
    <mergeCell ref="U72:V72"/>
    <mergeCell ref="AA72:AB72"/>
    <mergeCell ref="AC72:AD72"/>
    <mergeCell ref="EO68:EO69"/>
    <mergeCell ref="AG72:AH72"/>
    <mergeCell ref="AM72:AN72"/>
    <mergeCell ref="AO72:AP72"/>
    <mergeCell ref="AQ72:AR72"/>
    <mergeCell ref="AS72:AT72"/>
    <mergeCell ref="AY72:AZ72"/>
    <mergeCell ref="BA72:BB72"/>
    <mergeCell ref="BC72:BD72"/>
    <mergeCell ref="BE72:BF72"/>
    <mergeCell ref="BK72:BL72"/>
    <mergeCell ref="BM72:BN72"/>
    <mergeCell ref="BO71:BP71"/>
    <mergeCell ref="AE72:AF72"/>
    <mergeCell ref="O69:P69"/>
    <mergeCell ref="S69:T69"/>
    <mergeCell ref="U69:V69"/>
    <mergeCell ref="N68:N69"/>
    <mergeCell ref="AL68:AL69"/>
    <mergeCell ref="BA68:BB68"/>
    <mergeCell ref="BA69:BB69"/>
    <mergeCell ref="BM68:BN68"/>
    <mergeCell ref="BM69:BN69"/>
    <mergeCell ref="AU68:AV68"/>
    <mergeCell ref="AU69:AV69"/>
    <mergeCell ref="BO69:BP69"/>
    <mergeCell ref="BG69:BH69"/>
    <mergeCell ref="AI72:AJ72"/>
    <mergeCell ref="AU71:AV71"/>
    <mergeCell ref="AU72:AV72"/>
    <mergeCell ref="BG71:BH71"/>
    <mergeCell ref="BG72:BH72"/>
    <mergeCell ref="AS71:AT71"/>
    <mergeCell ref="AW71:AW72"/>
    <mergeCell ref="AX71:AX72"/>
    <mergeCell ref="AY71:AZ71"/>
    <mergeCell ref="BA71:BB71"/>
    <mergeCell ref="BC71:BD71"/>
    <mergeCell ref="BE71:BF71"/>
    <mergeCell ref="BI71:BI72"/>
    <mergeCell ref="BJ71:BJ72"/>
    <mergeCell ref="BS69:BT69"/>
    <mergeCell ref="BO72:BP72"/>
    <mergeCell ref="BQ72:BR72"/>
    <mergeCell ref="BV68:BV69"/>
    <mergeCell ref="AX68:AX69"/>
    <mergeCell ref="BJ68:BJ69"/>
    <mergeCell ref="DF68:DF69"/>
    <mergeCell ref="DI69:DJ69"/>
    <mergeCell ref="BK68:BL68"/>
    <mergeCell ref="BO68:BP68"/>
    <mergeCell ref="BM71:BN71"/>
    <mergeCell ref="BQ68:BR68"/>
    <mergeCell ref="BQ71:BR71"/>
    <mergeCell ref="BQ69:BR69"/>
    <mergeCell ref="BS68:BT68"/>
    <mergeCell ref="CQ71:CR71"/>
    <mergeCell ref="CQ72:CR72"/>
    <mergeCell ref="DI72:DJ72"/>
    <mergeCell ref="ED70:EL70"/>
    <mergeCell ref="BY71:BZ71"/>
    <mergeCell ref="CA71:CB71"/>
    <mergeCell ref="CC71:CD71"/>
    <mergeCell ref="CG71:CG72"/>
    <mergeCell ref="CH71:CH72"/>
    <mergeCell ref="BY72:BZ72"/>
    <mergeCell ref="CA72:CB72"/>
    <mergeCell ref="CC72:CD72"/>
    <mergeCell ref="CI71:CJ71"/>
    <mergeCell ref="CK71:CL71"/>
    <mergeCell ref="CM71:CN71"/>
    <mergeCell ref="CO71:CP71"/>
    <mergeCell ref="EM70:EN72"/>
    <mergeCell ref="DW69:DX69"/>
    <mergeCell ref="DY69:DZ69"/>
    <mergeCell ref="EE69:EF69"/>
    <mergeCell ref="EI69:EJ69"/>
    <mergeCell ref="EK69:EL69"/>
    <mergeCell ref="CG68:CG69"/>
    <mergeCell ref="CI68:CJ68"/>
    <mergeCell ref="CM68:CN68"/>
    <mergeCell ref="CO68:CP68"/>
    <mergeCell ref="CI69:CJ69"/>
    <mergeCell ref="CM69:CN69"/>
    <mergeCell ref="CO69:CP69"/>
    <mergeCell ref="EA70:EB72"/>
    <mergeCell ref="CS71:CS72"/>
    <mergeCell ref="EC68:EC69"/>
    <mergeCell ref="CH68:CH69"/>
    <mergeCell ref="CT68:CT69"/>
    <mergeCell ref="CA69:CB69"/>
    <mergeCell ref="FU72:FV72"/>
    <mergeCell ref="DQ71:DQ72"/>
    <mergeCell ref="DR71:DR72"/>
    <mergeCell ref="DS71:DT71"/>
    <mergeCell ref="DU71:DV71"/>
    <mergeCell ref="DW71:DX71"/>
    <mergeCell ref="DY71:DZ71"/>
    <mergeCell ref="EC71:EC72"/>
    <mergeCell ref="ED71:ED72"/>
    <mergeCell ref="EE71:EF71"/>
    <mergeCell ref="EG71:EH71"/>
    <mergeCell ref="EI71:EJ71"/>
    <mergeCell ref="EK71:EL71"/>
    <mergeCell ref="EO71:EO72"/>
    <mergeCell ref="EP71:EP72"/>
    <mergeCell ref="EQ71:ER71"/>
    <mergeCell ref="DS72:DT72"/>
    <mergeCell ref="DU72:DV72"/>
    <mergeCell ref="DW72:DX72"/>
    <mergeCell ref="DY72:DZ72"/>
    <mergeCell ref="EE72:EF72"/>
    <mergeCell ref="EG72:EH72"/>
    <mergeCell ref="EI72:EJ72"/>
    <mergeCell ref="EK72:EL72"/>
    <mergeCell ref="EQ72:ER72"/>
    <mergeCell ref="FK68:FL72"/>
    <mergeCell ref="FG69:FH69"/>
    <mergeCell ref="FC72:FD72"/>
    <mergeCell ref="FE72:FF72"/>
    <mergeCell ref="FG72:FH72"/>
    <mergeCell ref="FI72:FJ72"/>
    <mergeCell ref="DR70:DZ70"/>
    <mergeCell ref="B77:D77"/>
    <mergeCell ref="F77:H77"/>
    <mergeCell ref="J77:L77"/>
    <mergeCell ref="N77:P77"/>
    <mergeCell ref="R77:T77"/>
    <mergeCell ref="V77:X77"/>
    <mergeCell ref="Z77:AB77"/>
    <mergeCell ref="AD77:AF77"/>
    <mergeCell ref="AH77:AJ77"/>
    <mergeCell ref="AL77:AN77"/>
    <mergeCell ref="AP77:AR77"/>
    <mergeCell ref="AT77:AV77"/>
    <mergeCell ref="AX77:AZ77"/>
    <mergeCell ref="BB77:BD77"/>
    <mergeCell ref="BF77:BH77"/>
    <mergeCell ref="BJ77:BL77"/>
    <mergeCell ref="BN77:BP77"/>
    <mergeCell ref="BR78:BT78"/>
    <mergeCell ref="EL78:EN78"/>
    <mergeCell ref="EP78:ER78"/>
    <mergeCell ref="ET78:EV78"/>
    <mergeCell ref="BR77:BT77"/>
    <mergeCell ref="BV77:BX77"/>
    <mergeCell ref="BZ77:CB77"/>
    <mergeCell ref="CD77:CF77"/>
    <mergeCell ref="CH77:CJ77"/>
    <mergeCell ref="CL77:CN77"/>
    <mergeCell ref="CP77:CR77"/>
    <mergeCell ref="CT77:CV77"/>
    <mergeCell ref="CX77:CZ77"/>
    <mergeCell ref="DB77:DD77"/>
    <mergeCell ref="DF77:DH77"/>
    <mergeCell ref="DJ77:DL77"/>
    <mergeCell ref="DN77:DP77"/>
    <mergeCell ref="DR77:DT77"/>
    <mergeCell ref="DV77:DX77"/>
    <mergeCell ref="DZ77:EB77"/>
    <mergeCell ref="ED77:EF77"/>
    <mergeCell ref="B78:D78"/>
    <mergeCell ref="F78:H78"/>
    <mergeCell ref="J78:L78"/>
    <mergeCell ref="N78:P78"/>
    <mergeCell ref="R78:T78"/>
    <mergeCell ref="V78:X78"/>
    <mergeCell ref="Z78:AB78"/>
    <mergeCell ref="AD78:AF78"/>
    <mergeCell ref="AH78:AJ78"/>
    <mergeCell ref="AL78:AN78"/>
    <mergeCell ref="AP78:AR78"/>
    <mergeCell ref="AT78:AV78"/>
    <mergeCell ref="AX78:AZ78"/>
    <mergeCell ref="BB78:BD78"/>
    <mergeCell ref="BF78:BH78"/>
    <mergeCell ref="BJ78:BL78"/>
    <mergeCell ref="BN78:BP78"/>
    <mergeCell ref="EC46:EN46"/>
    <mergeCell ref="BY68:BZ68"/>
    <mergeCell ref="BY69:BZ69"/>
    <mergeCell ref="CK69:CL69"/>
    <mergeCell ref="CW68:CX68"/>
    <mergeCell ref="CW69:CX69"/>
    <mergeCell ref="DI68:DJ68"/>
    <mergeCell ref="EX78:EZ78"/>
    <mergeCell ref="FB78:FD78"/>
    <mergeCell ref="FF78:FH78"/>
    <mergeCell ref="FJ78:FL78"/>
    <mergeCell ref="FN78:FP78"/>
    <mergeCell ref="FR78:FT78"/>
    <mergeCell ref="FV78:FX78"/>
    <mergeCell ref="BV78:BX78"/>
    <mergeCell ref="BZ78:CB78"/>
    <mergeCell ref="CD78:CF78"/>
    <mergeCell ref="CH78:CJ78"/>
    <mergeCell ref="CL78:CN78"/>
    <mergeCell ref="CP78:CR78"/>
    <mergeCell ref="CT78:CV78"/>
    <mergeCell ref="CX78:CZ78"/>
    <mergeCell ref="DB78:DD78"/>
    <mergeCell ref="DF78:DH78"/>
    <mergeCell ref="DJ78:DL78"/>
    <mergeCell ref="DN78:DP78"/>
    <mergeCell ref="DR78:DT78"/>
    <mergeCell ref="DV78:DX78"/>
    <mergeCell ref="DZ78:EB78"/>
    <mergeCell ref="ED78:EF78"/>
    <mergeCell ref="EH78:EJ78"/>
    <mergeCell ref="FS72:FT72"/>
    <mergeCell ref="E29:F29"/>
    <mergeCell ref="E30:F30"/>
    <mergeCell ref="Q29:R29"/>
    <mergeCell ref="Q30:R30"/>
    <mergeCell ref="AC29:AD29"/>
    <mergeCell ref="AC30:AD30"/>
    <mergeCell ref="AO29:AP29"/>
    <mergeCell ref="AO30:AP30"/>
    <mergeCell ref="BA29:BB29"/>
    <mergeCell ref="BA30:BB30"/>
    <mergeCell ref="BY29:BZ29"/>
    <mergeCell ref="BY30:BZ30"/>
    <mergeCell ref="E68:F68"/>
    <mergeCell ref="E69:F69"/>
    <mergeCell ref="Q68:R68"/>
    <mergeCell ref="Q69:R69"/>
    <mergeCell ref="AC68:AD68"/>
    <mergeCell ref="AC69:AD69"/>
    <mergeCell ref="AO68:AP68"/>
    <mergeCell ref="AO69:AP69"/>
    <mergeCell ref="BW69:BX69"/>
    <mergeCell ref="AG29:AH29"/>
    <mergeCell ref="AG30:AH30"/>
    <mergeCell ref="AK29:AK30"/>
    <mergeCell ref="AM29:AN29"/>
    <mergeCell ref="BW33:BX33"/>
    <mergeCell ref="BY33:BZ33"/>
    <mergeCell ref="AW29:AW30"/>
    <mergeCell ref="AY29:AZ29"/>
    <mergeCell ref="AY30:AZ30"/>
    <mergeCell ref="AQ29:AR29"/>
    <mergeCell ref="AS29:AT29"/>
    <mergeCell ref="FY1:GJ1"/>
    <mergeCell ref="FY2:GJ2"/>
    <mergeCell ref="FY3:GJ3"/>
    <mergeCell ref="FY4:GJ4"/>
    <mergeCell ref="FY5:GJ5"/>
    <mergeCell ref="FY7:GJ7"/>
    <mergeCell ref="FY11:FY12"/>
    <mergeCell ref="FZ11:FZ12"/>
    <mergeCell ref="GA11:GB12"/>
    <mergeCell ref="GC11:GD12"/>
    <mergeCell ref="GE11:GF12"/>
    <mergeCell ref="GG11:GH12"/>
    <mergeCell ref="GI11:GJ12"/>
    <mergeCell ref="GA13:GJ13"/>
    <mergeCell ref="FY14:FY15"/>
    <mergeCell ref="FZ14:FZ15"/>
    <mergeCell ref="GA14:GB14"/>
    <mergeCell ref="GC14:GD14"/>
    <mergeCell ref="GE14:GF14"/>
    <mergeCell ref="GG14:GH14"/>
    <mergeCell ref="GI14:GJ14"/>
    <mergeCell ref="GA15:GB15"/>
    <mergeCell ref="GC15:GD15"/>
    <mergeCell ref="GE15:GF15"/>
    <mergeCell ref="GG15:GH15"/>
    <mergeCell ref="GI15:GJ15"/>
    <mergeCell ref="GG17:GH17"/>
    <mergeCell ref="GI17:GJ17"/>
    <mergeCell ref="GA18:GB18"/>
    <mergeCell ref="GC18:GD18"/>
    <mergeCell ref="GE18:GF18"/>
    <mergeCell ref="GG18:GH18"/>
    <mergeCell ref="GI18:GJ18"/>
    <mergeCell ref="FY19:GJ19"/>
    <mergeCell ref="FY20:FY21"/>
    <mergeCell ref="FZ20:FZ21"/>
    <mergeCell ref="GA20:GB20"/>
    <mergeCell ref="GC20:GD20"/>
    <mergeCell ref="GE20:GF20"/>
    <mergeCell ref="GG20:GH20"/>
    <mergeCell ref="GI20:GJ20"/>
    <mergeCell ref="GA21:GB21"/>
    <mergeCell ref="GC21:GD21"/>
    <mergeCell ref="GE21:GF21"/>
    <mergeCell ref="GG21:GH21"/>
    <mergeCell ref="GI21:GJ21"/>
    <mergeCell ref="FY17:FY18"/>
    <mergeCell ref="FZ17:FZ18"/>
    <mergeCell ref="GA17:GB17"/>
    <mergeCell ref="GC17:GD17"/>
    <mergeCell ref="GE17:GF17"/>
    <mergeCell ref="FY56:FY57"/>
    <mergeCell ref="FZ56:FZ57"/>
    <mergeCell ref="GA56:GB56"/>
    <mergeCell ref="GC56:GD56"/>
    <mergeCell ref="GE56:GF56"/>
    <mergeCell ref="GG56:GH56"/>
    <mergeCell ref="GI56:GJ56"/>
    <mergeCell ref="GA57:GB57"/>
    <mergeCell ref="GC57:GD57"/>
    <mergeCell ref="GE57:GF57"/>
    <mergeCell ref="GG57:GH57"/>
    <mergeCell ref="GI57:GJ57"/>
    <mergeCell ref="GI55:GJ55"/>
    <mergeCell ref="FZ38:GB38"/>
    <mergeCell ref="GD38:GF38"/>
    <mergeCell ref="GH38:GJ38"/>
    <mergeCell ref="FZ39:GB39"/>
    <mergeCell ref="GD39:GF39"/>
    <mergeCell ref="GH39:GJ39"/>
    <mergeCell ref="FY40:GJ40"/>
    <mergeCell ref="FY41:GJ41"/>
    <mergeCell ref="FY42:GJ42"/>
    <mergeCell ref="FY43:GJ43"/>
    <mergeCell ref="FY44:GJ44"/>
    <mergeCell ref="FY46:GJ46"/>
    <mergeCell ref="FY50:FY51"/>
    <mergeCell ref="FZ50:FZ51"/>
    <mergeCell ref="GA50:GB51"/>
    <mergeCell ref="GC50:GD51"/>
    <mergeCell ref="GE50:GF51"/>
    <mergeCell ref="GG50:GH51"/>
    <mergeCell ref="GI50:GJ51"/>
    <mergeCell ref="FY59:FY60"/>
    <mergeCell ref="FZ59:FZ60"/>
    <mergeCell ref="GA59:GB59"/>
    <mergeCell ref="GC59:GD59"/>
    <mergeCell ref="GE59:GF59"/>
    <mergeCell ref="GG59:GH59"/>
    <mergeCell ref="GI59:GJ59"/>
    <mergeCell ref="GA60:GB60"/>
    <mergeCell ref="GC60:GD60"/>
    <mergeCell ref="GE60:GF60"/>
    <mergeCell ref="GG60:GH60"/>
    <mergeCell ref="GI60:GJ60"/>
    <mergeCell ref="FY61:FY62"/>
    <mergeCell ref="FZ61:FZ62"/>
    <mergeCell ref="GA61:GB61"/>
    <mergeCell ref="GC61:GD61"/>
    <mergeCell ref="GE61:GF61"/>
    <mergeCell ref="GG61:GH61"/>
    <mergeCell ref="GI61:GJ61"/>
    <mergeCell ref="GA62:GB62"/>
    <mergeCell ref="GC62:GD62"/>
    <mergeCell ref="GE62:GF62"/>
    <mergeCell ref="GG62:GH62"/>
    <mergeCell ref="GI62:GJ62"/>
    <mergeCell ref="GG72:GH72"/>
    <mergeCell ref="FY63:FY64"/>
    <mergeCell ref="FZ63:FZ64"/>
    <mergeCell ref="GA63:GB63"/>
    <mergeCell ref="GC63:GD63"/>
    <mergeCell ref="GE63:GF63"/>
    <mergeCell ref="GG63:GH63"/>
    <mergeCell ref="GI63:GJ63"/>
    <mergeCell ref="GA64:GB64"/>
    <mergeCell ref="GC64:GD64"/>
    <mergeCell ref="GE64:GF64"/>
    <mergeCell ref="GG64:GH64"/>
    <mergeCell ref="GI64:GJ64"/>
    <mergeCell ref="FY66:FY67"/>
    <mergeCell ref="FZ66:FZ67"/>
    <mergeCell ref="GA66:GB66"/>
    <mergeCell ref="GC66:GD66"/>
    <mergeCell ref="GE66:GF66"/>
    <mergeCell ref="GG66:GH66"/>
    <mergeCell ref="GI66:GJ66"/>
    <mergeCell ref="GA67:GB67"/>
    <mergeCell ref="GC67:GD67"/>
    <mergeCell ref="GE67:GF67"/>
    <mergeCell ref="GG67:GH67"/>
    <mergeCell ref="GI67:GJ67"/>
    <mergeCell ref="GC68:GD68"/>
    <mergeCell ref="GC69:GD69"/>
    <mergeCell ref="FZ70:GH70"/>
    <mergeCell ref="GI68:GJ68"/>
    <mergeCell ref="GI69:GJ69"/>
    <mergeCell ref="GI70:GJ72"/>
    <mergeCell ref="FZ65:GJ65"/>
    <mergeCell ref="GH77:GJ77"/>
    <mergeCell ref="FZ78:GB78"/>
    <mergeCell ref="GD78:GF78"/>
    <mergeCell ref="GH78:GJ78"/>
    <mergeCell ref="GC29:GD29"/>
    <mergeCell ref="GC30:GD30"/>
    <mergeCell ref="FZ29:FZ30"/>
    <mergeCell ref="CH29:CH30"/>
    <mergeCell ref="CK29:CL29"/>
    <mergeCell ref="CK30:CL30"/>
    <mergeCell ref="CW29:CX29"/>
    <mergeCell ref="CW30:CX30"/>
    <mergeCell ref="DI29:DJ29"/>
    <mergeCell ref="DI30:DJ30"/>
    <mergeCell ref="DR29:DR30"/>
    <mergeCell ref="EG29:EH29"/>
    <mergeCell ref="EG30:EH30"/>
    <mergeCell ref="FY68:FY69"/>
    <mergeCell ref="FZ68:FZ69"/>
    <mergeCell ref="GA68:GB68"/>
    <mergeCell ref="GE68:GF68"/>
    <mergeCell ref="GG68:GH68"/>
    <mergeCell ref="GA69:GB69"/>
    <mergeCell ref="GE69:GF69"/>
    <mergeCell ref="GG69:GH69"/>
    <mergeCell ref="FY71:FY72"/>
    <mergeCell ref="FZ71:FZ72"/>
    <mergeCell ref="GA71:GB71"/>
    <mergeCell ref="GC71:GD71"/>
    <mergeCell ref="GE71:GF71"/>
    <mergeCell ref="GG71:GH71"/>
    <mergeCell ref="GA72:GB72"/>
    <mergeCell ref="FZ77:GB77"/>
    <mergeCell ref="GD77:GF77"/>
    <mergeCell ref="GC72:GD72"/>
    <mergeCell ref="GE72:GF72"/>
    <mergeCell ref="EH77:EJ77"/>
    <mergeCell ref="EL77:EN77"/>
    <mergeCell ref="EP77:ER77"/>
    <mergeCell ref="ET77:EV77"/>
    <mergeCell ref="EX77:EZ77"/>
    <mergeCell ref="FB77:FD77"/>
    <mergeCell ref="FF77:FH77"/>
    <mergeCell ref="FJ77:FL77"/>
    <mergeCell ref="FN77:FP77"/>
    <mergeCell ref="FR77:FT77"/>
    <mergeCell ref="FV77:FX77"/>
    <mergeCell ref="FA71:FA72"/>
    <mergeCell ref="FB71:FB72"/>
    <mergeCell ref="FC71:FD71"/>
    <mergeCell ref="FE71:FF71"/>
    <mergeCell ref="FG71:FH71"/>
    <mergeCell ref="FI71:FJ71"/>
    <mergeCell ref="FM71:FM72"/>
    <mergeCell ref="FN71:FN72"/>
    <mergeCell ref="FO71:FP71"/>
    <mergeCell ref="FQ71:FR71"/>
    <mergeCell ref="FS71:FT71"/>
    <mergeCell ref="FU71:FV71"/>
    <mergeCell ref="ES72:ET72"/>
    <mergeCell ref="FO72:FP72"/>
    <mergeCell ref="FQ72:FR72"/>
    <mergeCell ref="EY68:EZ72"/>
    <mergeCell ref="EU72:EV72"/>
    <mergeCell ref="EW72:EX72"/>
    <mergeCell ref="CI72:CJ72"/>
    <mergeCell ref="CK72:CL72"/>
    <mergeCell ref="CM72:CN72"/>
    <mergeCell ref="CO72:CP72"/>
    <mergeCell ref="CU72:CV72"/>
    <mergeCell ref="CW72:CX72"/>
    <mergeCell ref="CY72:CZ72"/>
    <mergeCell ref="DA72:DB72"/>
    <mergeCell ref="DG72:DH72"/>
    <mergeCell ref="ES71:ET71"/>
    <mergeCell ref="EU71:EV71"/>
    <mergeCell ref="EW71:EX71"/>
    <mergeCell ref="DQ56:DQ57"/>
    <mergeCell ref="DR56:DR57"/>
    <mergeCell ref="DS56:DT56"/>
    <mergeCell ref="DU56:DV56"/>
    <mergeCell ref="DW56:DX56"/>
    <mergeCell ref="CT71:CT72"/>
    <mergeCell ref="CU71:CV71"/>
    <mergeCell ref="CW71:CX71"/>
    <mergeCell ref="CY71:CZ71"/>
    <mergeCell ref="DA71:DB71"/>
    <mergeCell ref="DF71:DF72"/>
    <mergeCell ref="DG71:DH71"/>
    <mergeCell ref="DI71:DJ71"/>
    <mergeCell ref="DK71:DL71"/>
    <mergeCell ref="DQ68:DQ69"/>
    <mergeCell ref="DS68:DT68"/>
    <mergeCell ref="DW68:DX68"/>
    <mergeCell ref="DY68:DZ68"/>
    <mergeCell ref="CK68:CL68"/>
    <mergeCell ref="EG68:EH68"/>
    <mergeCell ref="EG69:EH69"/>
    <mergeCell ref="CC68:CD68"/>
    <mergeCell ref="CQ68:CR68"/>
    <mergeCell ref="CQ69:CR69"/>
    <mergeCell ref="EM55:EN55"/>
    <mergeCell ref="DC55:DD55"/>
    <mergeCell ref="CE68:CF68"/>
    <mergeCell ref="EE68:EF68"/>
    <mergeCell ref="EI68:EJ68"/>
    <mergeCell ref="EK68:EL68"/>
    <mergeCell ref="DQ63:DQ64"/>
    <mergeCell ref="DR63:DR64"/>
    <mergeCell ref="DS63:DT63"/>
    <mergeCell ref="DU63:DV63"/>
    <mergeCell ref="DW63:DX63"/>
    <mergeCell ref="DY63:DZ63"/>
    <mergeCell ref="EA63:EB63"/>
    <mergeCell ref="EI63:EJ63"/>
    <mergeCell ref="EK63:EL63"/>
    <mergeCell ref="EM63:EN63"/>
    <mergeCell ref="DY62:DZ62"/>
    <mergeCell ref="DO55:DP55"/>
    <mergeCell ref="EA55:EB55"/>
    <mergeCell ref="DY56:DZ56"/>
    <mergeCell ref="EA56:EB56"/>
    <mergeCell ref="DY64:DZ64"/>
    <mergeCell ref="DR68:DR69"/>
    <mergeCell ref="ED68:ED69"/>
    <mergeCell ref="DQ66:DQ67"/>
    <mergeCell ref="DR66:DR67"/>
    <mergeCell ref="CC69:CD69"/>
    <mergeCell ref="DS66:DT66"/>
    <mergeCell ref="DU66:DV66"/>
    <mergeCell ref="DC68:DD68"/>
    <mergeCell ref="DC69:DD69"/>
    <mergeCell ref="DO68:DP68"/>
    <mergeCell ref="DO69:DP69"/>
    <mergeCell ref="BI68:BI69"/>
    <mergeCell ref="DR26:EB26"/>
    <mergeCell ref="EA29:EB29"/>
    <mergeCell ref="EA30:EB30"/>
    <mergeCell ref="GA52:GJ52"/>
    <mergeCell ref="FY53:FY54"/>
    <mergeCell ref="FZ53:FZ54"/>
    <mergeCell ref="GE30:GF30"/>
    <mergeCell ref="GG30:GH30"/>
    <mergeCell ref="FY32:FY33"/>
    <mergeCell ref="FZ32:FZ33"/>
    <mergeCell ref="GA32:GB32"/>
    <mergeCell ref="GC32:GD32"/>
    <mergeCell ref="GE32:GF32"/>
    <mergeCell ref="GG32:GH32"/>
    <mergeCell ref="GA33:GB33"/>
    <mergeCell ref="GC33:GD33"/>
    <mergeCell ref="GE33:GF33"/>
    <mergeCell ref="GG33:GH33"/>
    <mergeCell ref="GA53:GB53"/>
    <mergeCell ref="GC53:GD53"/>
    <mergeCell ref="GE53:GF53"/>
    <mergeCell ref="GG53:GH53"/>
    <mergeCell ref="GI53:GJ53"/>
    <mergeCell ref="DU68:DV68"/>
    <mergeCell ref="DU69:DV69"/>
    <mergeCell ref="EM16:EN16"/>
    <mergeCell ref="ED29:ED30"/>
    <mergeCell ref="EM29:EN29"/>
    <mergeCell ref="EM30:EN30"/>
    <mergeCell ref="EM31:EN33"/>
    <mergeCell ref="GC54:GD54"/>
    <mergeCell ref="GE54:GF54"/>
    <mergeCell ref="GG54:GH54"/>
    <mergeCell ref="GI54:GJ54"/>
    <mergeCell ref="FY27:FY28"/>
    <mergeCell ref="FZ27:FZ28"/>
    <mergeCell ref="GA27:GB27"/>
    <mergeCell ref="GC27:GD27"/>
    <mergeCell ref="GE27:GF27"/>
    <mergeCell ref="GG27:GH27"/>
    <mergeCell ref="GI27:GJ27"/>
    <mergeCell ref="GE24:GF24"/>
    <mergeCell ref="GG24:GH24"/>
    <mergeCell ref="EE16:EF16"/>
    <mergeCell ref="GA16:GJ16"/>
    <mergeCell ref="GA26:GJ26"/>
    <mergeCell ref="GA28:GB28"/>
    <mergeCell ref="GC28:GD28"/>
    <mergeCell ref="GE28:GF28"/>
    <mergeCell ref="GG28:GH28"/>
    <mergeCell ref="GI28:GJ28"/>
    <mergeCell ref="FY29:FY30"/>
    <mergeCell ref="GA29:GB29"/>
    <mergeCell ref="GE29:GF29"/>
    <mergeCell ref="GG29:GH29"/>
    <mergeCell ref="GI29:GJ33"/>
    <mergeCell ref="GA30:GB30"/>
    <mergeCell ref="GA54:GB54"/>
    <mergeCell ref="CU30:CV30"/>
    <mergeCell ref="CY30:CZ30"/>
    <mergeCell ref="DA30:DB30"/>
    <mergeCell ref="DE29:DE30"/>
    <mergeCell ref="DG29:DH29"/>
    <mergeCell ref="DK29:DL29"/>
    <mergeCell ref="DM29:DN29"/>
    <mergeCell ref="DG30:DH30"/>
    <mergeCell ref="FZ22:FZ23"/>
    <mergeCell ref="GA22:GB22"/>
    <mergeCell ref="GC22:GD22"/>
    <mergeCell ref="GE22:GF22"/>
    <mergeCell ref="GG22:GH22"/>
    <mergeCell ref="GI22:GJ22"/>
    <mergeCell ref="GA23:GB23"/>
    <mergeCell ref="GC23:GD23"/>
    <mergeCell ref="GE23:GF23"/>
    <mergeCell ref="GG23:GH23"/>
    <mergeCell ref="GI23:GJ23"/>
    <mergeCell ref="FY24:FY25"/>
    <mergeCell ref="FZ24:FZ25"/>
    <mergeCell ref="GA24:GB24"/>
    <mergeCell ref="GC24:GD24"/>
    <mergeCell ref="GI24:GJ24"/>
    <mergeCell ref="GA25:GB25"/>
    <mergeCell ref="GC25:GD25"/>
    <mergeCell ref="GE25:GF25"/>
    <mergeCell ref="GG25:GH25"/>
    <mergeCell ref="GI25:GJ25"/>
    <mergeCell ref="FY22:FY23"/>
    <mergeCell ref="DQ46:EB46"/>
    <mergeCell ref="CE22:CF22"/>
    <mergeCell ref="CI21:CJ21"/>
    <mergeCell ref="AE22:AF22"/>
    <mergeCell ref="AG22:AH22"/>
    <mergeCell ref="AI22:AJ22"/>
    <mergeCell ref="AA20:AB20"/>
    <mergeCell ref="AE20:AF20"/>
    <mergeCell ref="AG20:AH20"/>
    <mergeCell ref="AI20:AJ20"/>
    <mergeCell ref="CE23:CF23"/>
    <mergeCell ref="AY22:AZ22"/>
    <mergeCell ref="CM23:CN23"/>
    <mergeCell ref="CG34:CK34"/>
    <mergeCell ref="BQ25:BR25"/>
    <mergeCell ref="BS25:BT25"/>
    <mergeCell ref="CH24:CH25"/>
    <mergeCell ref="AS28:AT28"/>
    <mergeCell ref="AL31:AV31"/>
    <mergeCell ref="Z31:AJ31"/>
    <mergeCell ref="CG22:CG23"/>
    <mergeCell ref="CH22:CH23"/>
    <mergeCell ref="CI22:CJ22"/>
    <mergeCell ref="Z24:Z25"/>
    <mergeCell ref="AA24:AB24"/>
    <mergeCell ref="AC24:AD24"/>
    <mergeCell ref="BE24:BF24"/>
    <mergeCell ref="AE21:AF21"/>
    <mergeCell ref="AG21:AH21"/>
    <mergeCell ref="BY21:BZ21"/>
    <mergeCell ref="AO21:AP21"/>
    <mergeCell ref="AQ21:AR21"/>
    <mergeCell ref="AS21:AT21"/>
    <mergeCell ref="CE57:CF57"/>
    <mergeCell ref="BY57:BZ57"/>
    <mergeCell ref="CA57:CB57"/>
    <mergeCell ref="BU56:BU57"/>
    <mergeCell ref="BV56:BV57"/>
    <mergeCell ref="BE60:BF60"/>
    <mergeCell ref="BG60:BH60"/>
    <mergeCell ref="BK60:BL60"/>
    <mergeCell ref="DW62:DX62"/>
    <mergeCell ref="DW32:DX32"/>
    <mergeCell ref="DY32:DZ32"/>
    <mergeCell ref="DR38:DT38"/>
    <mergeCell ref="DV38:DX38"/>
    <mergeCell ref="DZ38:EB38"/>
    <mergeCell ref="DR39:DT39"/>
    <mergeCell ref="DV39:DX39"/>
    <mergeCell ref="DZ39:EB39"/>
    <mergeCell ref="CC32:CD32"/>
    <mergeCell ref="CU32:CV32"/>
    <mergeCell ref="CW32:CX32"/>
    <mergeCell ref="CA33:CB33"/>
    <mergeCell ref="DK32:DL32"/>
    <mergeCell ref="DM32:DN32"/>
    <mergeCell ref="CK33:CL33"/>
    <mergeCell ref="BK33:BL33"/>
    <mergeCell ref="DG32:DH32"/>
    <mergeCell ref="CY33:CZ33"/>
    <mergeCell ref="DA33:DB33"/>
    <mergeCell ref="CC33:CD33"/>
    <mergeCell ref="BJ32:BJ33"/>
    <mergeCell ref="BK32:BL32"/>
    <mergeCell ref="BM32:BN32"/>
    <mergeCell ref="AQ28:AR28"/>
    <mergeCell ref="AU28:AV28"/>
    <mergeCell ref="AM27:AN27"/>
    <mergeCell ref="AM28:AN28"/>
    <mergeCell ref="AM30:AN30"/>
    <mergeCell ref="DR31:EB31"/>
    <mergeCell ref="B70:L70"/>
    <mergeCell ref="N70:X70"/>
    <mergeCell ref="Z70:AJ70"/>
    <mergeCell ref="AL70:AV70"/>
    <mergeCell ref="AX70:BH70"/>
    <mergeCell ref="BV70:CF70"/>
    <mergeCell ref="BJ70:BT70"/>
    <mergeCell ref="CH70:CR70"/>
    <mergeCell ref="CT70:DD70"/>
    <mergeCell ref="DF70:DP70"/>
    <mergeCell ref="CU55:CV55"/>
    <mergeCell ref="CW55:CX55"/>
    <mergeCell ref="CY55:CZ55"/>
    <mergeCell ref="DA55:DB55"/>
    <mergeCell ref="CU66:CV66"/>
    <mergeCell ref="CU67:CV67"/>
    <mergeCell ref="CW66:CX66"/>
    <mergeCell ref="CW67:CX67"/>
    <mergeCell ref="CY66:CZ66"/>
    <mergeCell ref="DW57:DX57"/>
    <mergeCell ref="DY57:DZ57"/>
    <mergeCell ref="EA57:EB57"/>
    <mergeCell ref="DS57:DT57"/>
    <mergeCell ref="DU57:DV57"/>
    <mergeCell ref="DS32:DT32"/>
    <mergeCell ref="DU32:DV32"/>
    <mergeCell ref="DK72:DL72"/>
    <mergeCell ref="BW72:BX72"/>
    <mergeCell ref="BV71:BV72"/>
    <mergeCell ref="BW71:BX71"/>
    <mergeCell ref="AG71:AH71"/>
    <mergeCell ref="AK71:AK72"/>
    <mergeCell ref="AL71:AL72"/>
    <mergeCell ref="AM71:AN71"/>
    <mergeCell ref="AO71:AP71"/>
    <mergeCell ref="AQ71:AR71"/>
    <mergeCell ref="CY67:CZ67"/>
    <mergeCell ref="S59:T60"/>
    <mergeCell ref="DC71:DD71"/>
    <mergeCell ref="DC72:DD72"/>
    <mergeCell ref="CI27:CJ27"/>
    <mergeCell ref="CI28:CJ28"/>
    <mergeCell ref="CK27:CL27"/>
    <mergeCell ref="CK28:CL28"/>
    <mergeCell ref="CM27:CN27"/>
    <mergeCell ref="CM28:CN28"/>
    <mergeCell ref="CO27:CP27"/>
    <mergeCell ref="CO28:CP28"/>
    <mergeCell ref="N31:X31"/>
    <mergeCell ref="AX31:BH31"/>
    <mergeCell ref="BJ31:BT31"/>
    <mergeCell ref="BV31:CF31"/>
    <mergeCell ref="CH31:CR31"/>
    <mergeCell ref="CT31:DD31"/>
    <mergeCell ref="AA59:AB59"/>
    <mergeCell ref="AC59:AD59"/>
    <mergeCell ref="BK69:BL69"/>
    <mergeCell ref="CE69:CF69"/>
  </mergeCells>
  <conditionalFormatting sqref="A45:EB54 A55:AA55 AC55 AE55 AG55 AI55 AK55:EB55 A56:EB72">
    <cfRule type="containsText" dxfId="7" priority="1" operator="containsText" text="P.E.">
      <formula>NOT(ISERROR(SEARCH("P.E.",A45)))</formula>
    </cfRule>
  </conditionalFormatting>
  <conditionalFormatting sqref="A6:GJ26 A27:CI28 CK27:CK28 CM27:CM28 CO27:CO28 CQ27:CQ28 CS27:GJ28 A29:GJ33">
    <cfRule type="containsText" dxfId="6" priority="3" operator="containsText" text="P.E.">
      <formula>NOT(ISERROR(SEARCH("P.E.",A6)))</formula>
    </cfRule>
  </conditionalFormatting>
  <conditionalFormatting sqref="A45:GJ54 A55:C55 E55 G55 I55 K55 M55:AA55 AC55 AE55 AG55 AI55 AK55:CU55 CW55 CY55 DA55 DC55 DE55:GJ55 A56:GJ65 A66:CU67 CW66:CW67 CY66:CY67 DA66:DA67 DC66:DC67 DE66:GJ67 A68:GJ70 A71:DC72 DE71:GJ72">
    <cfRule type="containsText" dxfId="5" priority="2" operator="containsText" text="P.E.">
      <formula>NOT(ISERROR(SEARCH("P.E.",A45)))</formula>
    </cfRule>
  </conditionalFormatting>
  <pageMargins left="0.70866141732283472" right="0.70866141732283472" top="0.55118110236220474" bottom="0.35433070866141736" header="0.31496062992125984" footer="0.31496062992125984"/>
  <pageSetup paperSize="9" scale="95" orientation="landscape" horizontalDpi="360" verticalDpi="360" r:id="rId1"/>
  <rowBreaks count="1" manualBreakCount="1">
    <brk id="39" max="16383" man="1"/>
  </rowBreaks>
  <colBreaks count="12" manualBreakCount="12">
    <brk id="12" max="73" man="1"/>
    <brk id="24" max="73" man="1"/>
    <brk id="36" max="73" man="1"/>
    <brk id="48" max="75" man="1"/>
    <brk id="60" max="75" man="1"/>
    <brk id="72" max="73" man="1"/>
    <brk id="84" max="73" man="1"/>
    <brk id="96" max="73" man="1"/>
    <brk id="108" max="73" man="1"/>
    <brk id="120" max="73" man="1"/>
    <brk id="132" max="75" man="1"/>
    <brk id="180" max="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2:J12"/>
  <sheetViews>
    <sheetView workbookViewId="0">
      <selection activeCell="J21" sqref="J21"/>
    </sheetView>
  </sheetViews>
  <sheetFormatPr defaultRowHeight="14.5"/>
  <sheetData>
    <row r="2" spans="4:10">
      <c r="J2">
        <v>5</v>
      </c>
    </row>
    <row r="3" spans="4:10">
      <c r="D3">
        <v>1</v>
      </c>
      <c r="E3" s="88">
        <v>0.30555555555555552</v>
      </c>
      <c r="F3" s="88">
        <v>0.33888888888888885</v>
      </c>
      <c r="G3" s="88">
        <f>F3-E3</f>
        <v>3.3333333333333326E-2</v>
      </c>
      <c r="I3" s="88">
        <f>G3*$J$2</f>
        <v>0.16666666666666663</v>
      </c>
    </row>
    <row r="4" spans="4:10">
      <c r="D4">
        <v>2</v>
      </c>
      <c r="E4" s="88">
        <f>F3</f>
        <v>0.33888888888888885</v>
      </c>
      <c r="F4" s="88">
        <v>0.38055555555555554</v>
      </c>
      <c r="G4" s="88">
        <f t="shared" ref="G4:G11" si="0">F4-E4</f>
        <v>4.1666666666666685E-2</v>
      </c>
      <c r="I4" s="88">
        <f t="shared" ref="I4:I11" si="1">G4*$J$2</f>
        <v>0.20833333333333343</v>
      </c>
      <c r="J4">
        <v>1</v>
      </c>
    </row>
    <row r="5" spans="4:10">
      <c r="E5" s="89">
        <f>F4</f>
        <v>0.38055555555555554</v>
      </c>
      <c r="F5" s="89">
        <f>E6</f>
        <v>0.39999999999999997</v>
      </c>
      <c r="G5" s="89">
        <f t="shared" si="0"/>
        <v>1.9444444444444431E-2</v>
      </c>
      <c r="I5" s="88"/>
    </row>
    <row r="6" spans="4:10">
      <c r="D6">
        <v>3</v>
      </c>
      <c r="E6" s="88">
        <v>0.39999999999999997</v>
      </c>
      <c r="F6" s="88">
        <v>0.43333333333333335</v>
      </c>
      <c r="G6" s="88">
        <f t="shared" si="0"/>
        <v>3.3333333333333381E-2</v>
      </c>
      <c r="I6" s="88">
        <f t="shared" si="1"/>
        <v>0.16666666666666691</v>
      </c>
    </row>
    <row r="7" spans="4:10">
      <c r="D7">
        <v>4</v>
      </c>
      <c r="E7" s="88">
        <f>F6</f>
        <v>0.43333333333333335</v>
      </c>
      <c r="F7" s="88">
        <v>0.46666666666666662</v>
      </c>
      <c r="G7" s="88">
        <f t="shared" si="0"/>
        <v>3.333333333333327E-2</v>
      </c>
      <c r="I7" s="88">
        <f t="shared" si="1"/>
        <v>0.16666666666666635</v>
      </c>
    </row>
    <row r="8" spans="4:10">
      <c r="D8">
        <v>5</v>
      </c>
      <c r="E8" s="88">
        <f>F7</f>
        <v>0.46666666666666662</v>
      </c>
      <c r="F8" s="88">
        <v>0.4993055555555555</v>
      </c>
      <c r="G8" s="88">
        <f t="shared" si="0"/>
        <v>3.2638888888888884E-2</v>
      </c>
      <c r="I8" s="88">
        <f t="shared" si="1"/>
        <v>0.16319444444444442</v>
      </c>
    </row>
    <row r="9" spans="4:10">
      <c r="D9">
        <v>6</v>
      </c>
      <c r="E9" s="88">
        <v>4.1666666666666664E-2</v>
      </c>
      <c r="F9" s="88">
        <v>8.3333333333333329E-2</v>
      </c>
      <c r="G9" s="88">
        <f t="shared" si="0"/>
        <v>4.1666666666666664E-2</v>
      </c>
      <c r="I9" s="88">
        <f t="shared" si="1"/>
        <v>0.20833333333333331</v>
      </c>
      <c r="J9">
        <v>1</v>
      </c>
    </row>
    <row r="10" spans="4:10">
      <c r="D10">
        <v>7</v>
      </c>
      <c r="E10" s="88">
        <f>F9</f>
        <v>8.3333333333333329E-2</v>
      </c>
      <c r="F10" s="88">
        <v>0.11666666666666665</v>
      </c>
      <c r="G10" s="88">
        <f t="shared" si="0"/>
        <v>3.3333333333333326E-2</v>
      </c>
      <c r="I10" s="88">
        <f t="shared" si="1"/>
        <v>0.16666666666666663</v>
      </c>
    </row>
    <row r="11" spans="4:10">
      <c r="D11">
        <v>8</v>
      </c>
      <c r="E11" s="88">
        <v>0.13194444444444445</v>
      </c>
      <c r="F11" s="88">
        <v>0.17361111111111113</v>
      </c>
      <c r="G11" s="88">
        <f t="shared" si="0"/>
        <v>4.1666666666666685E-2</v>
      </c>
      <c r="I11" s="88">
        <f t="shared" si="1"/>
        <v>0.20833333333333343</v>
      </c>
      <c r="J11">
        <v>1</v>
      </c>
    </row>
    <row r="12" spans="4:10">
      <c r="E12" s="88"/>
      <c r="F12" s="88"/>
      <c r="G12" s="88"/>
      <c r="I12" s="8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PP68"/>
  <sheetViews>
    <sheetView view="pageBreakPreview" topLeftCell="A10" zoomScale="87" zoomScaleNormal="100" zoomScaleSheetLayoutView="87" workbookViewId="0">
      <selection activeCell="IE37" sqref="IE37"/>
    </sheetView>
  </sheetViews>
  <sheetFormatPr defaultRowHeight="14.5"/>
  <cols>
    <col min="2" max="12" width="8.1796875" customWidth="1"/>
    <col min="14" max="24" width="8.1796875" customWidth="1"/>
    <col min="26" max="36" width="8.1796875" customWidth="1"/>
    <col min="38" max="48" width="8.1796875" customWidth="1"/>
    <col min="50" max="60" width="8.1796875" customWidth="1"/>
    <col min="62" max="72" width="8.1796875" customWidth="1"/>
    <col min="74" max="84" width="8.1796875" customWidth="1"/>
    <col min="86" max="96" width="8.1796875" customWidth="1"/>
    <col min="98" max="108" width="8.1796875" customWidth="1"/>
    <col min="110" max="120" width="8.1796875" customWidth="1"/>
    <col min="122" max="132" width="8.1796875" customWidth="1"/>
    <col min="134" max="144" width="8.1796875" customWidth="1"/>
    <col min="146" max="156" width="8.1796875" customWidth="1"/>
    <col min="158" max="168" width="8.1796875" customWidth="1"/>
    <col min="170" max="180" width="8.1796875" customWidth="1"/>
    <col min="182" max="192" width="8.1796875" customWidth="1"/>
    <col min="194" max="204" width="8.1796875" customWidth="1"/>
    <col min="206" max="216" width="8.1796875" customWidth="1"/>
    <col min="218" max="228" width="8.1796875" customWidth="1"/>
    <col min="230" max="240" width="8.1796875" customWidth="1"/>
    <col min="242" max="252" width="8.1796875" customWidth="1"/>
    <col min="254" max="264" width="8.1796875" customWidth="1"/>
    <col min="266" max="276" width="8.1796875" customWidth="1"/>
    <col min="278" max="288" width="8.1796875" customWidth="1"/>
    <col min="290" max="300" width="8.1796875" customWidth="1"/>
    <col min="302" max="312" width="8.1796875" customWidth="1"/>
    <col min="314" max="324" width="8.1796875" customWidth="1"/>
    <col min="326" max="336" width="8.1796875" customWidth="1"/>
    <col min="338" max="348" width="8.1796875" customWidth="1"/>
    <col min="350" max="360" width="8.1796875" customWidth="1"/>
    <col min="362" max="372" width="8.1796875" customWidth="1"/>
    <col min="374" max="384" width="8.1796875" customWidth="1"/>
    <col min="386" max="396" width="8.1796875" customWidth="1"/>
    <col min="398" max="408" width="8.1796875" customWidth="1"/>
    <col min="410" max="420" width="8.1796875" customWidth="1"/>
    <col min="422" max="432" width="8.1796875" customWidth="1"/>
  </cols>
  <sheetData>
    <row r="1" spans="1:432">
      <c r="A1" s="258" t="s">
        <v>285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 t="s">
        <v>285</v>
      </c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 t="s">
        <v>285</v>
      </c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 t="s">
        <v>285</v>
      </c>
      <c r="AL1" s="258"/>
      <c r="AM1" s="258"/>
      <c r="AN1" s="258"/>
      <c r="AO1" s="258"/>
      <c r="AP1" s="258"/>
      <c r="AQ1" s="258"/>
      <c r="AR1" s="258"/>
      <c r="AS1" s="258"/>
      <c r="AT1" s="258"/>
      <c r="AU1" s="258"/>
      <c r="AV1" s="258"/>
      <c r="AW1" s="258" t="s">
        <v>285</v>
      </c>
      <c r="AX1" s="258"/>
      <c r="AY1" s="258"/>
      <c r="AZ1" s="258"/>
      <c r="BA1" s="258"/>
      <c r="BB1" s="258"/>
      <c r="BC1" s="258"/>
      <c r="BD1" s="258"/>
      <c r="BE1" s="258"/>
      <c r="BF1" s="258"/>
      <c r="BG1" s="258"/>
      <c r="BH1" s="258"/>
      <c r="BI1" s="258" t="s">
        <v>285</v>
      </c>
      <c r="BJ1" s="258"/>
      <c r="BK1" s="258"/>
      <c r="BL1" s="258"/>
      <c r="BM1" s="258"/>
      <c r="BN1" s="258"/>
      <c r="BO1" s="258"/>
      <c r="BP1" s="258"/>
      <c r="BQ1" s="258"/>
      <c r="BR1" s="258"/>
      <c r="BS1" s="258"/>
      <c r="BT1" s="258"/>
      <c r="BU1" s="258" t="s">
        <v>285</v>
      </c>
      <c r="BV1" s="258"/>
      <c r="BW1" s="258"/>
      <c r="BX1" s="258"/>
      <c r="BY1" s="258"/>
      <c r="BZ1" s="258"/>
      <c r="CA1" s="258"/>
      <c r="CB1" s="258"/>
      <c r="CC1" s="258"/>
      <c r="CD1" s="258"/>
      <c r="CE1" s="258"/>
      <c r="CF1" s="258"/>
      <c r="CG1" s="258" t="s">
        <v>285</v>
      </c>
      <c r="CH1" s="258"/>
      <c r="CI1" s="258"/>
      <c r="CJ1" s="258"/>
      <c r="CK1" s="258"/>
      <c r="CL1" s="258"/>
      <c r="CM1" s="258"/>
      <c r="CN1" s="258"/>
      <c r="CO1" s="258"/>
      <c r="CP1" s="258"/>
      <c r="CQ1" s="258"/>
      <c r="CR1" s="258"/>
      <c r="CS1" s="258" t="s">
        <v>285</v>
      </c>
      <c r="CT1" s="258"/>
      <c r="CU1" s="258"/>
      <c r="CV1" s="258"/>
      <c r="CW1" s="258"/>
      <c r="CX1" s="258"/>
      <c r="CY1" s="258"/>
      <c r="CZ1" s="258"/>
      <c r="DA1" s="258"/>
      <c r="DB1" s="258"/>
      <c r="DC1" s="258"/>
      <c r="DD1" s="258"/>
      <c r="DE1" s="258" t="s">
        <v>285</v>
      </c>
      <c r="DF1" s="258"/>
      <c r="DG1" s="258"/>
      <c r="DH1" s="258"/>
      <c r="DI1" s="258"/>
      <c r="DJ1" s="258"/>
      <c r="DK1" s="258"/>
      <c r="DL1" s="258"/>
      <c r="DM1" s="258"/>
      <c r="DN1" s="258"/>
      <c r="DO1" s="258"/>
      <c r="DP1" s="258"/>
      <c r="DQ1" s="258" t="s">
        <v>285</v>
      </c>
      <c r="DR1" s="258"/>
      <c r="DS1" s="258"/>
      <c r="DT1" s="258"/>
      <c r="DU1" s="258"/>
      <c r="DV1" s="258"/>
      <c r="DW1" s="258"/>
      <c r="DX1" s="258"/>
      <c r="DY1" s="258"/>
      <c r="DZ1" s="258"/>
      <c r="EA1" s="258"/>
      <c r="EB1" s="258"/>
      <c r="EC1" s="258" t="s">
        <v>285</v>
      </c>
      <c r="ED1" s="258"/>
      <c r="EE1" s="258"/>
      <c r="EF1" s="258"/>
      <c r="EG1" s="258"/>
      <c r="EH1" s="258"/>
      <c r="EI1" s="258"/>
      <c r="EJ1" s="258"/>
      <c r="EK1" s="258"/>
      <c r="EL1" s="258"/>
      <c r="EM1" s="258"/>
      <c r="EN1" s="258"/>
      <c r="EO1" s="258" t="s">
        <v>285</v>
      </c>
      <c r="EP1" s="258"/>
      <c r="EQ1" s="258"/>
      <c r="ER1" s="258"/>
      <c r="ES1" s="258"/>
      <c r="ET1" s="258"/>
      <c r="EU1" s="258"/>
      <c r="EV1" s="258"/>
      <c r="EW1" s="258"/>
      <c r="EX1" s="258"/>
      <c r="EY1" s="258"/>
      <c r="EZ1" s="258"/>
      <c r="FA1" s="258" t="s">
        <v>285</v>
      </c>
      <c r="FB1" s="258"/>
      <c r="FC1" s="258"/>
      <c r="FD1" s="258"/>
      <c r="FE1" s="258"/>
      <c r="FF1" s="258"/>
      <c r="FG1" s="258"/>
      <c r="FH1" s="258"/>
      <c r="FI1" s="258"/>
      <c r="FJ1" s="258"/>
      <c r="FK1" s="258"/>
      <c r="FL1" s="258"/>
      <c r="FM1" s="258" t="s">
        <v>285</v>
      </c>
      <c r="FN1" s="258"/>
      <c r="FO1" s="258"/>
      <c r="FP1" s="258"/>
      <c r="FQ1" s="258"/>
      <c r="FR1" s="258"/>
      <c r="FS1" s="258"/>
      <c r="FT1" s="258"/>
      <c r="FU1" s="258"/>
      <c r="FV1" s="258"/>
      <c r="FW1" s="258"/>
      <c r="FX1" s="258"/>
      <c r="FY1" s="258" t="s">
        <v>285</v>
      </c>
      <c r="FZ1" s="258"/>
      <c r="GA1" s="258"/>
      <c r="GB1" s="258"/>
      <c r="GC1" s="258"/>
      <c r="GD1" s="258"/>
      <c r="GE1" s="258"/>
      <c r="GF1" s="258"/>
      <c r="GG1" s="258"/>
      <c r="GH1" s="258"/>
      <c r="GI1" s="258"/>
      <c r="GJ1" s="258"/>
      <c r="GK1" s="258" t="s">
        <v>285</v>
      </c>
      <c r="GL1" s="258"/>
      <c r="GM1" s="258"/>
      <c r="GN1" s="258"/>
      <c r="GO1" s="258"/>
      <c r="GP1" s="258"/>
      <c r="GQ1" s="258"/>
      <c r="GR1" s="258"/>
      <c r="GS1" s="258"/>
      <c r="GT1" s="258"/>
      <c r="GU1" s="258"/>
      <c r="GV1" s="258"/>
      <c r="GW1" s="258" t="s">
        <v>285</v>
      </c>
      <c r="GX1" s="258"/>
      <c r="GY1" s="258"/>
      <c r="GZ1" s="258"/>
      <c r="HA1" s="258"/>
      <c r="HB1" s="258"/>
      <c r="HC1" s="258"/>
      <c r="HD1" s="258"/>
      <c r="HE1" s="258"/>
      <c r="HF1" s="258"/>
      <c r="HG1" s="258"/>
      <c r="HH1" s="258"/>
      <c r="HI1" s="258" t="s">
        <v>285</v>
      </c>
      <c r="HJ1" s="258"/>
      <c r="HK1" s="258"/>
      <c r="HL1" s="258"/>
      <c r="HM1" s="258"/>
      <c r="HN1" s="258"/>
      <c r="HO1" s="258"/>
      <c r="HP1" s="258"/>
      <c r="HQ1" s="258"/>
      <c r="HR1" s="258"/>
      <c r="HS1" s="258"/>
      <c r="HT1" s="258"/>
      <c r="HU1" s="258" t="s">
        <v>285</v>
      </c>
      <c r="HV1" s="258"/>
      <c r="HW1" s="258"/>
      <c r="HX1" s="258"/>
      <c r="HY1" s="258"/>
      <c r="HZ1" s="258"/>
      <c r="IA1" s="258"/>
      <c r="IB1" s="258"/>
      <c r="IC1" s="258"/>
      <c r="ID1" s="258"/>
      <c r="IE1" s="258"/>
      <c r="IF1" s="258"/>
      <c r="IG1" s="258" t="s">
        <v>285</v>
      </c>
      <c r="IH1" s="258"/>
      <c r="II1" s="258"/>
      <c r="IJ1" s="258"/>
      <c r="IK1" s="258"/>
      <c r="IL1" s="258"/>
      <c r="IM1" s="258"/>
      <c r="IN1" s="258"/>
      <c r="IO1" s="258"/>
      <c r="IP1" s="258"/>
      <c r="IQ1" s="258"/>
      <c r="IR1" s="258"/>
      <c r="IS1" s="258" t="s">
        <v>285</v>
      </c>
      <c r="IT1" s="258"/>
      <c r="IU1" s="258"/>
      <c r="IV1" s="258"/>
      <c r="IW1" s="258"/>
      <c r="IX1" s="258"/>
      <c r="IY1" s="258"/>
      <c r="IZ1" s="258"/>
      <c r="JA1" s="258"/>
      <c r="JB1" s="258"/>
      <c r="JC1" s="258"/>
      <c r="JD1" s="258"/>
      <c r="JE1" s="258" t="s">
        <v>285</v>
      </c>
      <c r="JF1" s="258"/>
      <c r="JG1" s="258"/>
      <c r="JH1" s="258"/>
      <c r="JI1" s="258"/>
      <c r="JJ1" s="258"/>
      <c r="JK1" s="258"/>
      <c r="JL1" s="258"/>
      <c r="JM1" s="258"/>
      <c r="JN1" s="258"/>
      <c r="JO1" s="258"/>
      <c r="JP1" s="258"/>
      <c r="JQ1" s="258" t="s">
        <v>285</v>
      </c>
      <c r="JR1" s="258"/>
      <c r="JS1" s="258"/>
      <c r="JT1" s="258"/>
      <c r="JU1" s="258"/>
      <c r="JV1" s="258"/>
      <c r="JW1" s="258"/>
      <c r="JX1" s="258"/>
      <c r="JY1" s="258"/>
      <c r="JZ1" s="258"/>
      <c r="KA1" s="258"/>
      <c r="KB1" s="258"/>
      <c r="KC1" s="258" t="s">
        <v>285</v>
      </c>
      <c r="KD1" s="258"/>
      <c r="KE1" s="258"/>
      <c r="KF1" s="258"/>
      <c r="KG1" s="258"/>
      <c r="KH1" s="258"/>
      <c r="KI1" s="258"/>
      <c r="KJ1" s="258"/>
      <c r="KK1" s="258"/>
      <c r="KL1" s="258"/>
      <c r="KM1" s="258"/>
      <c r="KN1" s="258"/>
      <c r="KO1" s="258" t="s">
        <v>285</v>
      </c>
      <c r="KP1" s="258"/>
      <c r="KQ1" s="258"/>
      <c r="KR1" s="258"/>
      <c r="KS1" s="258"/>
      <c r="KT1" s="258"/>
      <c r="KU1" s="258"/>
      <c r="KV1" s="258"/>
      <c r="KW1" s="258"/>
      <c r="KX1" s="258"/>
      <c r="KY1" s="258"/>
      <c r="KZ1" s="258"/>
      <c r="LA1" s="258" t="s">
        <v>285</v>
      </c>
      <c r="LB1" s="258"/>
      <c r="LC1" s="258"/>
      <c r="LD1" s="258"/>
      <c r="LE1" s="258"/>
      <c r="LF1" s="258"/>
      <c r="LG1" s="258"/>
      <c r="LH1" s="258"/>
      <c r="LI1" s="258"/>
      <c r="LJ1" s="258"/>
      <c r="LK1" s="258"/>
      <c r="LL1" s="258"/>
      <c r="LM1" s="258" t="s">
        <v>285</v>
      </c>
      <c r="LN1" s="258"/>
      <c r="LO1" s="258"/>
      <c r="LP1" s="258"/>
      <c r="LQ1" s="258"/>
      <c r="LR1" s="258"/>
      <c r="LS1" s="258"/>
      <c r="LT1" s="258"/>
      <c r="LU1" s="258"/>
      <c r="LV1" s="258"/>
      <c r="LW1" s="258"/>
      <c r="LX1" s="258"/>
      <c r="LY1" s="258" t="s">
        <v>285</v>
      </c>
      <c r="LZ1" s="258"/>
      <c r="MA1" s="258"/>
      <c r="MB1" s="258"/>
      <c r="MC1" s="258"/>
      <c r="MD1" s="258"/>
      <c r="ME1" s="258"/>
      <c r="MF1" s="258"/>
      <c r="MG1" s="258"/>
      <c r="MH1" s="258"/>
      <c r="MI1" s="258"/>
      <c r="MJ1" s="258"/>
      <c r="MK1" s="258" t="s">
        <v>285</v>
      </c>
      <c r="ML1" s="258"/>
      <c r="MM1" s="258"/>
      <c r="MN1" s="258"/>
      <c r="MO1" s="258"/>
      <c r="MP1" s="258"/>
      <c r="MQ1" s="258"/>
      <c r="MR1" s="258"/>
      <c r="MS1" s="258"/>
      <c r="MT1" s="258"/>
      <c r="MU1" s="258"/>
      <c r="MV1" s="258"/>
      <c r="MW1" s="258" t="s">
        <v>285</v>
      </c>
      <c r="MX1" s="258"/>
      <c r="MY1" s="258"/>
      <c r="MZ1" s="258"/>
      <c r="NA1" s="258"/>
      <c r="NB1" s="258"/>
      <c r="NC1" s="258"/>
      <c r="ND1" s="258"/>
      <c r="NE1" s="258"/>
      <c r="NF1" s="258"/>
      <c r="NG1" s="258"/>
      <c r="NH1" s="258"/>
      <c r="NI1" s="258" t="s">
        <v>285</v>
      </c>
      <c r="NJ1" s="258"/>
      <c r="NK1" s="258"/>
      <c r="NL1" s="258"/>
      <c r="NM1" s="258"/>
      <c r="NN1" s="258"/>
      <c r="NO1" s="258"/>
      <c r="NP1" s="258"/>
      <c r="NQ1" s="258"/>
      <c r="NR1" s="258"/>
      <c r="NS1" s="258"/>
      <c r="NT1" s="258"/>
      <c r="NU1" s="258" t="s">
        <v>285</v>
      </c>
      <c r="NV1" s="258"/>
      <c r="NW1" s="258"/>
      <c r="NX1" s="258"/>
      <c r="NY1" s="258"/>
      <c r="NZ1" s="258"/>
      <c r="OA1" s="258"/>
      <c r="OB1" s="258"/>
      <c r="OC1" s="258"/>
      <c r="OD1" s="258"/>
      <c r="OE1" s="258"/>
      <c r="OF1" s="258"/>
      <c r="OG1" s="258" t="s">
        <v>285</v>
      </c>
      <c r="OH1" s="258"/>
      <c r="OI1" s="258"/>
      <c r="OJ1" s="258"/>
      <c r="OK1" s="258"/>
      <c r="OL1" s="258"/>
      <c r="OM1" s="258"/>
      <c r="ON1" s="258"/>
      <c r="OO1" s="258"/>
      <c r="OP1" s="258"/>
      <c r="OQ1" s="258"/>
      <c r="OR1" s="258"/>
      <c r="OS1" s="258" t="s">
        <v>285</v>
      </c>
      <c r="OT1" s="258"/>
      <c r="OU1" s="258"/>
      <c r="OV1" s="258"/>
      <c r="OW1" s="258"/>
      <c r="OX1" s="258"/>
      <c r="OY1" s="258"/>
      <c r="OZ1" s="258"/>
      <c r="PA1" s="258"/>
      <c r="PB1" s="258"/>
      <c r="PC1" s="258"/>
      <c r="PD1" s="258"/>
      <c r="PE1" s="258" t="s">
        <v>285</v>
      </c>
      <c r="PF1" s="258"/>
      <c r="PG1" s="258"/>
      <c r="PH1" s="258"/>
      <c r="PI1" s="258"/>
      <c r="PJ1" s="258"/>
      <c r="PK1" s="258"/>
      <c r="PL1" s="258"/>
      <c r="PM1" s="258"/>
      <c r="PN1" s="258"/>
      <c r="PO1" s="258"/>
      <c r="PP1" s="258"/>
    </row>
    <row r="2" spans="1:432">
      <c r="A2" s="258" t="s">
        <v>1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 t="s">
        <v>1</v>
      </c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 t="s">
        <v>1</v>
      </c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 t="s">
        <v>1</v>
      </c>
      <c r="AL2" s="258"/>
      <c r="AM2" s="258"/>
      <c r="AN2" s="258"/>
      <c r="AO2" s="258"/>
      <c r="AP2" s="258"/>
      <c r="AQ2" s="258"/>
      <c r="AR2" s="258"/>
      <c r="AS2" s="258"/>
      <c r="AT2" s="258"/>
      <c r="AU2" s="258"/>
      <c r="AV2" s="258"/>
      <c r="AW2" s="258" t="s">
        <v>1</v>
      </c>
      <c r="AX2" s="258"/>
      <c r="AY2" s="258"/>
      <c r="AZ2" s="258"/>
      <c r="BA2" s="258"/>
      <c r="BB2" s="258"/>
      <c r="BC2" s="258"/>
      <c r="BD2" s="258"/>
      <c r="BE2" s="258"/>
      <c r="BF2" s="258"/>
      <c r="BG2" s="258"/>
      <c r="BH2" s="258"/>
      <c r="BI2" s="258" t="s">
        <v>1</v>
      </c>
      <c r="BJ2" s="258"/>
      <c r="BK2" s="258"/>
      <c r="BL2" s="258"/>
      <c r="BM2" s="258"/>
      <c r="BN2" s="258"/>
      <c r="BO2" s="258"/>
      <c r="BP2" s="258"/>
      <c r="BQ2" s="258"/>
      <c r="BR2" s="258"/>
      <c r="BS2" s="258"/>
      <c r="BT2" s="258"/>
      <c r="BU2" s="258" t="s">
        <v>1</v>
      </c>
      <c r="BV2" s="258"/>
      <c r="BW2" s="258"/>
      <c r="BX2" s="258"/>
      <c r="BY2" s="258"/>
      <c r="BZ2" s="258"/>
      <c r="CA2" s="258"/>
      <c r="CB2" s="258"/>
      <c r="CC2" s="258"/>
      <c r="CD2" s="258"/>
      <c r="CE2" s="258"/>
      <c r="CF2" s="258"/>
      <c r="CG2" s="258" t="s">
        <v>1</v>
      </c>
      <c r="CH2" s="258"/>
      <c r="CI2" s="258"/>
      <c r="CJ2" s="258"/>
      <c r="CK2" s="258"/>
      <c r="CL2" s="258"/>
      <c r="CM2" s="258"/>
      <c r="CN2" s="258"/>
      <c r="CO2" s="258"/>
      <c r="CP2" s="258"/>
      <c r="CQ2" s="258"/>
      <c r="CR2" s="258"/>
      <c r="CS2" s="258" t="s">
        <v>1</v>
      </c>
      <c r="CT2" s="258"/>
      <c r="CU2" s="258"/>
      <c r="CV2" s="258"/>
      <c r="CW2" s="258"/>
      <c r="CX2" s="258"/>
      <c r="CY2" s="258"/>
      <c r="CZ2" s="258"/>
      <c r="DA2" s="258"/>
      <c r="DB2" s="258"/>
      <c r="DC2" s="258"/>
      <c r="DD2" s="258"/>
      <c r="DE2" s="258" t="s">
        <v>1</v>
      </c>
      <c r="DF2" s="258"/>
      <c r="DG2" s="258"/>
      <c r="DH2" s="258"/>
      <c r="DI2" s="258"/>
      <c r="DJ2" s="258"/>
      <c r="DK2" s="258"/>
      <c r="DL2" s="258"/>
      <c r="DM2" s="258"/>
      <c r="DN2" s="258"/>
      <c r="DO2" s="258"/>
      <c r="DP2" s="258"/>
      <c r="DQ2" s="258" t="s">
        <v>1</v>
      </c>
      <c r="DR2" s="258"/>
      <c r="DS2" s="258"/>
      <c r="DT2" s="258"/>
      <c r="DU2" s="258"/>
      <c r="DV2" s="258"/>
      <c r="DW2" s="258"/>
      <c r="DX2" s="258"/>
      <c r="DY2" s="258"/>
      <c r="DZ2" s="258"/>
      <c r="EA2" s="258"/>
      <c r="EB2" s="258"/>
      <c r="EC2" s="258" t="s">
        <v>1</v>
      </c>
      <c r="ED2" s="258"/>
      <c r="EE2" s="258"/>
      <c r="EF2" s="258"/>
      <c r="EG2" s="258"/>
      <c r="EH2" s="258"/>
      <c r="EI2" s="258"/>
      <c r="EJ2" s="258"/>
      <c r="EK2" s="258"/>
      <c r="EL2" s="258"/>
      <c r="EM2" s="258"/>
      <c r="EN2" s="258"/>
      <c r="EO2" s="258" t="s">
        <v>1</v>
      </c>
      <c r="EP2" s="258"/>
      <c r="EQ2" s="258"/>
      <c r="ER2" s="258"/>
      <c r="ES2" s="258"/>
      <c r="ET2" s="258"/>
      <c r="EU2" s="258"/>
      <c r="EV2" s="258"/>
      <c r="EW2" s="258"/>
      <c r="EX2" s="258"/>
      <c r="EY2" s="258"/>
      <c r="EZ2" s="258"/>
      <c r="FA2" s="258" t="s">
        <v>1</v>
      </c>
      <c r="FB2" s="258"/>
      <c r="FC2" s="258"/>
      <c r="FD2" s="258"/>
      <c r="FE2" s="258"/>
      <c r="FF2" s="258"/>
      <c r="FG2" s="258"/>
      <c r="FH2" s="258"/>
      <c r="FI2" s="258"/>
      <c r="FJ2" s="258"/>
      <c r="FK2" s="258"/>
      <c r="FL2" s="258"/>
      <c r="FM2" s="258" t="s">
        <v>1</v>
      </c>
      <c r="FN2" s="258"/>
      <c r="FO2" s="258"/>
      <c r="FP2" s="258"/>
      <c r="FQ2" s="258"/>
      <c r="FR2" s="258"/>
      <c r="FS2" s="258"/>
      <c r="FT2" s="258"/>
      <c r="FU2" s="258"/>
      <c r="FV2" s="258"/>
      <c r="FW2" s="258"/>
      <c r="FX2" s="258"/>
      <c r="FY2" s="258" t="s">
        <v>1</v>
      </c>
      <c r="FZ2" s="258"/>
      <c r="GA2" s="258"/>
      <c r="GB2" s="258"/>
      <c r="GC2" s="258"/>
      <c r="GD2" s="258"/>
      <c r="GE2" s="258"/>
      <c r="GF2" s="258"/>
      <c r="GG2" s="258"/>
      <c r="GH2" s="258"/>
      <c r="GI2" s="258"/>
      <c r="GJ2" s="258"/>
      <c r="GK2" s="258" t="s">
        <v>1</v>
      </c>
      <c r="GL2" s="258"/>
      <c r="GM2" s="258"/>
      <c r="GN2" s="258"/>
      <c r="GO2" s="258"/>
      <c r="GP2" s="258"/>
      <c r="GQ2" s="258"/>
      <c r="GR2" s="258"/>
      <c r="GS2" s="258"/>
      <c r="GT2" s="258"/>
      <c r="GU2" s="258"/>
      <c r="GV2" s="258"/>
      <c r="GW2" s="258" t="s">
        <v>1</v>
      </c>
      <c r="GX2" s="258"/>
      <c r="GY2" s="258"/>
      <c r="GZ2" s="258"/>
      <c r="HA2" s="258"/>
      <c r="HB2" s="258"/>
      <c r="HC2" s="258"/>
      <c r="HD2" s="258"/>
      <c r="HE2" s="258"/>
      <c r="HF2" s="258"/>
      <c r="HG2" s="258"/>
      <c r="HH2" s="258"/>
      <c r="HI2" s="258" t="s">
        <v>1</v>
      </c>
      <c r="HJ2" s="258"/>
      <c r="HK2" s="258"/>
      <c r="HL2" s="258"/>
      <c r="HM2" s="258"/>
      <c r="HN2" s="258"/>
      <c r="HO2" s="258"/>
      <c r="HP2" s="258"/>
      <c r="HQ2" s="258"/>
      <c r="HR2" s="258"/>
      <c r="HS2" s="258"/>
      <c r="HT2" s="258"/>
      <c r="HU2" s="258" t="s">
        <v>1</v>
      </c>
      <c r="HV2" s="258"/>
      <c r="HW2" s="258"/>
      <c r="HX2" s="258"/>
      <c r="HY2" s="258"/>
      <c r="HZ2" s="258"/>
      <c r="IA2" s="258"/>
      <c r="IB2" s="258"/>
      <c r="IC2" s="258"/>
      <c r="ID2" s="258"/>
      <c r="IE2" s="258"/>
      <c r="IF2" s="258"/>
      <c r="IG2" s="258" t="s">
        <v>1</v>
      </c>
      <c r="IH2" s="258"/>
      <c r="II2" s="258"/>
      <c r="IJ2" s="258"/>
      <c r="IK2" s="258"/>
      <c r="IL2" s="258"/>
      <c r="IM2" s="258"/>
      <c r="IN2" s="258"/>
      <c r="IO2" s="258"/>
      <c r="IP2" s="258"/>
      <c r="IQ2" s="258"/>
      <c r="IR2" s="258"/>
      <c r="IS2" s="258" t="s">
        <v>1</v>
      </c>
      <c r="IT2" s="258"/>
      <c r="IU2" s="258"/>
      <c r="IV2" s="258"/>
      <c r="IW2" s="258"/>
      <c r="IX2" s="258"/>
      <c r="IY2" s="258"/>
      <c r="IZ2" s="258"/>
      <c r="JA2" s="258"/>
      <c r="JB2" s="258"/>
      <c r="JC2" s="258"/>
      <c r="JD2" s="258"/>
      <c r="JE2" s="258" t="s">
        <v>1</v>
      </c>
      <c r="JF2" s="258"/>
      <c r="JG2" s="258"/>
      <c r="JH2" s="258"/>
      <c r="JI2" s="258"/>
      <c r="JJ2" s="258"/>
      <c r="JK2" s="258"/>
      <c r="JL2" s="258"/>
      <c r="JM2" s="258"/>
      <c r="JN2" s="258"/>
      <c r="JO2" s="258"/>
      <c r="JP2" s="258"/>
      <c r="JQ2" s="258" t="s">
        <v>1</v>
      </c>
      <c r="JR2" s="258"/>
      <c r="JS2" s="258"/>
      <c r="JT2" s="258"/>
      <c r="JU2" s="258"/>
      <c r="JV2" s="258"/>
      <c r="JW2" s="258"/>
      <c r="JX2" s="258"/>
      <c r="JY2" s="258"/>
      <c r="JZ2" s="258"/>
      <c r="KA2" s="258"/>
      <c r="KB2" s="258"/>
      <c r="KC2" s="258" t="s">
        <v>1</v>
      </c>
      <c r="KD2" s="258"/>
      <c r="KE2" s="258"/>
      <c r="KF2" s="258"/>
      <c r="KG2" s="258"/>
      <c r="KH2" s="258"/>
      <c r="KI2" s="258"/>
      <c r="KJ2" s="258"/>
      <c r="KK2" s="258"/>
      <c r="KL2" s="258"/>
      <c r="KM2" s="258"/>
      <c r="KN2" s="258"/>
      <c r="KO2" s="258" t="s">
        <v>1</v>
      </c>
      <c r="KP2" s="258"/>
      <c r="KQ2" s="258"/>
      <c r="KR2" s="258"/>
      <c r="KS2" s="258"/>
      <c r="KT2" s="258"/>
      <c r="KU2" s="258"/>
      <c r="KV2" s="258"/>
      <c r="KW2" s="258"/>
      <c r="KX2" s="258"/>
      <c r="KY2" s="258"/>
      <c r="KZ2" s="258"/>
      <c r="LA2" s="258" t="s">
        <v>1</v>
      </c>
      <c r="LB2" s="258"/>
      <c r="LC2" s="258"/>
      <c r="LD2" s="258"/>
      <c r="LE2" s="258"/>
      <c r="LF2" s="258"/>
      <c r="LG2" s="258"/>
      <c r="LH2" s="258"/>
      <c r="LI2" s="258"/>
      <c r="LJ2" s="258"/>
      <c r="LK2" s="258"/>
      <c r="LL2" s="258"/>
      <c r="LM2" s="258" t="s">
        <v>1</v>
      </c>
      <c r="LN2" s="258"/>
      <c r="LO2" s="258"/>
      <c r="LP2" s="258"/>
      <c r="LQ2" s="258"/>
      <c r="LR2" s="258"/>
      <c r="LS2" s="258"/>
      <c r="LT2" s="258"/>
      <c r="LU2" s="258"/>
      <c r="LV2" s="258"/>
      <c r="LW2" s="258"/>
      <c r="LX2" s="258"/>
      <c r="LY2" s="258" t="s">
        <v>1</v>
      </c>
      <c r="LZ2" s="258"/>
      <c r="MA2" s="258"/>
      <c r="MB2" s="258"/>
      <c r="MC2" s="258"/>
      <c r="MD2" s="258"/>
      <c r="ME2" s="258"/>
      <c r="MF2" s="258"/>
      <c r="MG2" s="258"/>
      <c r="MH2" s="258"/>
      <c r="MI2" s="258"/>
      <c r="MJ2" s="258"/>
      <c r="MK2" s="258" t="s">
        <v>1</v>
      </c>
      <c r="ML2" s="258"/>
      <c r="MM2" s="258"/>
      <c r="MN2" s="258"/>
      <c r="MO2" s="258"/>
      <c r="MP2" s="258"/>
      <c r="MQ2" s="258"/>
      <c r="MR2" s="258"/>
      <c r="MS2" s="258"/>
      <c r="MT2" s="258"/>
      <c r="MU2" s="258"/>
      <c r="MV2" s="258"/>
      <c r="MW2" s="258" t="s">
        <v>1</v>
      </c>
      <c r="MX2" s="258"/>
      <c r="MY2" s="258"/>
      <c r="MZ2" s="258"/>
      <c r="NA2" s="258"/>
      <c r="NB2" s="258"/>
      <c r="NC2" s="258"/>
      <c r="ND2" s="258"/>
      <c r="NE2" s="258"/>
      <c r="NF2" s="258"/>
      <c r="NG2" s="258"/>
      <c r="NH2" s="258"/>
      <c r="NI2" s="258" t="s">
        <v>1</v>
      </c>
      <c r="NJ2" s="258"/>
      <c r="NK2" s="258"/>
      <c r="NL2" s="258"/>
      <c r="NM2" s="258"/>
      <c r="NN2" s="258"/>
      <c r="NO2" s="258"/>
      <c r="NP2" s="258"/>
      <c r="NQ2" s="258"/>
      <c r="NR2" s="258"/>
      <c r="NS2" s="258"/>
      <c r="NT2" s="258"/>
      <c r="NU2" s="258" t="s">
        <v>1</v>
      </c>
      <c r="NV2" s="258"/>
      <c r="NW2" s="258"/>
      <c r="NX2" s="258"/>
      <c r="NY2" s="258"/>
      <c r="NZ2" s="258"/>
      <c r="OA2" s="258"/>
      <c r="OB2" s="258"/>
      <c r="OC2" s="258"/>
      <c r="OD2" s="258"/>
      <c r="OE2" s="258"/>
      <c r="OF2" s="258"/>
      <c r="OG2" s="258" t="s">
        <v>1</v>
      </c>
      <c r="OH2" s="258"/>
      <c r="OI2" s="258"/>
      <c r="OJ2" s="258"/>
      <c r="OK2" s="258"/>
      <c r="OL2" s="258"/>
      <c r="OM2" s="258"/>
      <c r="ON2" s="258"/>
      <c r="OO2" s="258"/>
      <c r="OP2" s="258"/>
      <c r="OQ2" s="258"/>
      <c r="OR2" s="258"/>
      <c r="OS2" s="258" t="s">
        <v>1</v>
      </c>
      <c r="OT2" s="258"/>
      <c r="OU2" s="258"/>
      <c r="OV2" s="258"/>
      <c r="OW2" s="258"/>
      <c r="OX2" s="258"/>
      <c r="OY2" s="258"/>
      <c r="OZ2" s="258"/>
      <c r="PA2" s="258"/>
      <c r="PB2" s="258"/>
      <c r="PC2" s="258"/>
      <c r="PD2" s="258"/>
      <c r="PE2" s="258" t="s">
        <v>1</v>
      </c>
      <c r="PF2" s="258"/>
      <c r="PG2" s="258"/>
      <c r="PH2" s="258"/>
      <c r="PI2" s="258"/>
      <c r="PJ2" s="258"/>
      <c r="PK2" s="258"/>
      <c r="PL2" s="258"/>
      <c r="PM2" s="258"/>
      <c r="PN2" s="258"/>
      <c r="PO2" s="258"/>
      <c r="PP2" s="258"/>
    </row>
    <row r="3" spans="1:432">
      <c r="A3" s="258" t="s">
        <v>228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 t="s">
        <v>228</v>
      </c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 t="s">
        <v>228</v>
      </c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 t="s">
        <v>228</v>
      </c>
      <c r="AL3" s="258"/>
      <c r="AM3" s="258"/>
      <c r="AN3" s="258"/>
      <c r="AO3" s="258"/>
      <c r="AP3" s="258"/>
      <c r="AQ3" s="258"/>
      <c r="AR3" s="258"/>
      <c r="AS3" s="258"/>
      <c r="AT3" s="258"/>
      <c r="AU3" s="258"/>
      <c r="AV3" s="258"/>
      <c r="AW3" s="258" t="s">
        <v>228</v>
      </c>
      <c r="AX3" s="258"/>
      <c r="AY3" s="258"/>
      <c r="AZ3" s="258"/>
      <c r="BA3" s="258"/>
      <c r="BB3" s="258"/>
      <c r="BC3" s="258"/>
      <c r="BD3" s="258"/>
      <c r="BE3" s="258"/>
      <c r="BF3" s="258"/>
      <c r="BG3" s="258"/>
      <c r="BH3" s="258"/>
      <c r="BI3" s="258" t="s">
        <v>228</v>
      </c>
      <c r="BJ3" s="258"/>
      <c r="BK3" s="258"/>
      <c r="BL3" s="258"/>
      <c r="BM3" s="258"/>
      <c r="BN3" s="258"/>
      <c r="BO3" s="258"/>
      <c r="BP3" s="258"/>
      <c r="BQ3" s="258"/>
      <c r="BR3" s="258"/>
      <c r="BS3" s="258"/>
      <c r="BT3" s="258"/>
      <c r="BU3" s="258" t="s">
        <v>228</v>
      </c>
      <c r="BV3" s="258"/>
      <c r="BW3" s="258"/>
      <c r="BX3" s="258"/>
      <c r="BY3" s="258"/>
      <c r="BZ3" s="258"/>
      <c r="CA3" s="258"/>
      <c r="CB3" s="258"/>
      <c r="CC3" s="258"/>
      <c r="CD3" s="258"/>
      <c r="CE3" s="258"/>
      <c r="CF3" s="258"/>
      <c r="CG3" s="258" t="s">
        <v>228</v>
      </c>
      <c r="CH3" s="258"/>
      <c r="CI3" s="258"/>
      <c r="CJ3" s="258"/>
      <c r="CK3" s="258"/>
      <c r="CL3" s="258"/>
      <c r="CM3" s="258"/>
      <c r="CN3" s="258"/>
      <c r="CO3" s="258"/>
      <c r="CP3" s="258"/>
      <c r="CQ3" s="258"/>
      <c r="CR3" s="258"/>
      <c r="CS3" s="258" t="s">
        <v>228</v>
      </c>
      <c r="CT3" s="258"/>
      <c r="CU3" s="258"/>
      <c r="CV3" s="258"/>
      <c r="CW3" s="258"/>
      <c r="CX3" s="258"/>
      <c r="CY3" s="258"/>
      <c r="CZ3" s="258"/>
      <c r="DA3" s="258"/>
      <c r="DB3" s="258"/>
      <c r="DC3" s="258"/>
      <c r="DD3" s="258"/>
      <c r="DE3" s="258" t="s">
        <v>228</v>
      </c>
      <c r="DF3" s="258"/>
      <c r="DG3" s="258"/>
      <c r="DH3" s="258"/>
      <c r="DI3" s="258"/>
      <c r="DJ3" s="258"/>
      <c r="DK3" s="258"/>
      <c r="DL3" s="258"/>
      <c r="DM3" s="258"/>
      <c r="DN3" s="258"/>
      <c r="DO3" s="258"/>
      <c r="DP3" s="258"/>
      <c r="DQ3" s="258" t="s">
        <v>228</v>
      </c>
      <c r="DR3" s="258"/>
      <c r="DS3" s="258"/>
      <c r="DT3" s="258"/>
      <c r="DU3" s="258"/>
      <c r="DV3" s="258"/>
      <c r="DW3" s="258"/>
      <c r="DX3" s="258"/>
      <c r="DY3" s="258"/>
      <c r="DZ3" s="258"/>
      <c r="EA3" s="258"/>
      <c r="EB3" s="258"/>
      <c r="EC3" s="258" t="s">
        <v>228</v>
      </c>
      <c r="ED3" s="258"/>
      <c r="EE3" s="258"/>
      <c r="EF3" s="258"/>
      <c r="EG3" s="258"/>
      <c r="EH3" s="258"/>
      <c r="EI3" s="258"/>
      <c r="EJ3" s="258"/>
      <c r="EK3" s="258"/>
      <c r="EL3" s="258"/>
      <c r="EM3" s="258"/>
      <c r="EN3" s="258"/>
      <c r="EO3" s="258" t="s">
        <v>228</v>
      </c>
      <c r="EP3" s="258"/>
      <c r="EQ3" s="258"/>
      <c r="ER3" s="258"/>
      <c r="ES3" s="258"/>
      <c r="ET3" s="258"/>
      <c r="EU3" s="258"/>
      <c r="EV3" s="258"/>
      <c r="EW3" s="258"/>
      <c r="EX3" s="258"/>
      <c r="EY3" s="258"/>
      <c r="EZ3" s="258"/>
      <c r="FA3" s="258" t="s">
        <v>228</v>
      </c>
      <c r="FB3" s="258"/>
      <c r="FC3" s="258"/>
      <c r="FD3" s="258"/>
      <c r="FE3" s="258"/>
      <c r="FF3" s="258"/>
      <c r="FG3" s="258"/>
      <c r="FH3" s="258"/>
      <c r="FI3" s="258"/>
      <c r="FJ3" s="258"/>
      <c r="FK3" s="258"/>
      <c r="FL3" s="258"/>
      <c r="FM3" s="258" t="s">
        <v>228</v>
      </c>
      <c r="FN3" s="258"/>
      <c r="FO3" s="258"/>
      <c r="FP3" s="258"/>
      <c r="FQ3" s="258"/>
      <c r="FR3" s="258"/>
      <c r="FS3" s="258"/>
      <c r="FT3" s="258"/>
      <c r="FU3" s="258"/>
      <c r="FV3" s="258"/>
      <c r="FW3" s="258"/>
      <c r="FX3" s="258"/>
      <c r="FY3" s="258" t="s">
        <v>228</v>
      </c>
      <c r="FZ3" s="258"/>
      <c r="GA3" s="258"/>
      <c r="GB3" s="258"/>
      <c r="GC3" s="258"/>
      <c r="GD3" s="258"/>
      <c r="GE3" s="258"/>
      <c r="GF3" s="258"/>
      <c r="GG3" s="258"/>
      <c r="GH3" s="258"/>
      <c r="GI3" s="258"/>
      <c r="GJ3" s="258"/>
      <c r="GK3" s="258" t="s">
        <v>228</v>
      </c>
      <c r="GL3" s="258"/>
      <c r="GM3" s="258"/>
      <c r="GN3" s="258"/>
      <c r="GO3" s="258"/>
      <c r="GP3" s="258"/>
      <c r="GQ3" s="258"/>
      <c r="GR3" s="258"/>
      <c r="GS3" s="258"/>
      <c r="GT3" s="258"/>
      <c r="GU3" s="258"/>
      <c r="GV3" s="258"/>
      <c r="GW3" s="258" t="s">
        <v>228</v>
      </c>
      <c r="GX3" s="258"/>
      <c r="GY3" s="258"/>
      <c r="GZ3" s="258"/>
      <c r="HA3" s="258"/>
      <c r="HB3" s="258"/>
      <c r="HC3" s="258"/>
      <c r="HD3" s="258"/>
      <c r="HE3" s="258"/>
      <c r="HF3" s="258"/>
      <c r="HG3" s="258"/>
      <c r="HH3" s="258"/>
      <c r="HI3" s="258" t="s">
        <v>228</v>
      </c>
      <c r="HJ3" s="258"/>
      <c r="HK3" s="258"/>
      <c r="HL3" s="258"/>
      <c r="HM3" s="258"/>
      <c r="HN3" s="258"/>
      <c r="HO3" s="258"/>
      <c r="HP3" s="258"/>
      <c r="HQ3" s="258"/>
      <c r="HR3" s="258"/>
      <c r="HS3" s="258"/>
      <c r="HT3" s="258"/>
      <c r="HU3" s="258" t="s">
        <v>228</v>
      </c>
      <c r="HV3" s="258"/>
      <c r="HW3" s="258"/>
      <c r="HX3" s="258"/>
      <c r="HY3" s="258"/>
      <c r="HZ3" s="258"/>
      <c r="IA3" s="258"/>
      <c r="IB3" s="258"/>
      <c r="IC3" s="258"/>
      <c r="ID3" s="258"/>
      <c r="IE3" s="258"/>
      <c r="IF3" s="258"/>
      <c r="IG3" s="258" t="s">
        <v>228</v>
      </c>
      <c r="IH3" s="258"/>
      <c r="II3" s="258"/>
      <c r="IJ3" s="258"/>
      <c r="IK3" s="258"/>
      <c r="IL3" s="258"/>
      <c r="IM3" s="258"/>
      <c r="IN3" s="258"/>
      <c r="IO3" s="258"/>
      <c r="IP3" s="258"/>
      <c r="IQ3" s="258"/>
      <c r="IR3" s="258"/>
      <c r="IS3" s="258" t="s">
        <v>228</v>
      </c>
      <c r="IT3" s="258"/>
      <c r="IU3" s="258"/>
      <c r="IV3" s="258"/>
      <c r="IW3" s="258"/>
      <c r="IX3" s="258"/>
      <c r="IY3" s="258"/>
      <c r="IZ3" s="258"/>
      <c r="JA3" s="258"/>
      <c r="JB3" s="258"/>
      <c r="JC3" s="258"/>
      <c r="JD3" s="258"/>
      <c r="JE3" s="258" t="s">
        <v>228</v>
      </c>
      <c r="JF3" s="258"/>
      <c r="JG3" s="258"/>
      <c r="JH3" s="258"/>
      <c r="JI3" s="258"/>
      <c r="JJ3" s="258"/>
      <c r="JK3" s="258"/>
      <c r="JL3" s="258"/>
      <c r="JM3" s="258"/>
      <c r="JN3" s="258"/>
      <c r="JO3" s="258"/>
      <c r="JP3" s="258"/>
      <c r="JQ3" s="258" t="s">
        <v>228</v>
      </c>
      <c r="JR3" s="258"/>
      <c r="JS3" s="258"/>
      <c r="JT3" s="258"/>
      <c r="JU3" s="258"/>
      <c r="JV3" s="258"/>
      <c r="JW3" s="258"/>
      <c r="JX3" s="258"/>
      <c r="JY3" s="258"/>
      <c r="JZ3" s="258"/>
      <c r="KA3" s="258"/>
      <c r="KB3" s="258"/>
      <c r="KC3" s="258" t="s">
        <v>228</v>
      </c>
      <c r="KD3" s="258"/>
      <c r="KE3" s="258"/>
      <c r="KF3" s="258"/>
      <c r="KG3" s="258"/>
      <c r="KH3" s="258"/>
      <c r="KI3" s="258"/>
      <c r="KJ3" s="258"/>
      <c r="KK3" s="258"/>
      <c r="KL3" s="258"/>
      <c r="KM3" s="258"/>
      <c r="KN3" s="258"/>
      <c r="KO3" s="258" t="s">
        <v>228</v>
      </c>
      <c r="KP3" s="258"/>
      <c r="KQ3" s="258"/>
      <c r="KR3" s="258"/>
      <c r="KS3" s="258"/>
      <c r="KT3" s="258"/>
      <c r="KU3" s="258"/>
      <c r="KV3" s="258"/>
      <c r="KW3" s="258"/>
      <c r="KX3" s="258"/>
      <c r="KY3" s="258"/>
      <c r="KZ3" s="258"/>
      <c r="LA3" s="258" t="s">
        <v>228</v>
      </c>
      <c r="LB3" s="258"/>
      <c r="LC3" s="258"/>
      <c r="LD3" s="258"/>
      <c r="LE3" s="258"/>
      <c r="LF3" s="258"/>
      <c r="LG3" s="258"/>
      <c r="LH3" s="258"/>
      <c r="LI3" s="258"/>
      <c r="LJ3" s="258"/>
      <c r="LK3" s="258"/>
      <c r="LL3" s="258"/>
      <c r="LM3" s="258" t="s">
        <v>228</v>
      </c>
      <c r="LN3" s="258"/>
      <c r="LO3" s="258"/>
      <c r="LP3" s="258"/>
      <c r="LQ3" s="258"/>
      <c r="LR3" s="258"/>
      <c r="LS3" s="258"/>
      <c r="LT3" s="258"/>
      <c r="LU3" s="258"/>
      <c r="LV3" s="258"/>
      <c r="LW3" s="258"/>
      <c r="LX3" s="258"/>
      <c r="LY3" s="258" t="s">
        <v>228</v>
      </c>
      <c r="LZ3" s="258"/>
      <c r="MA3" s="258"/>
      <c r="MB3" s="258"/>
      <c r="MC3" s="258"/>
      <c r="MD3" s="258"/>
      <c r="ME3" s="258"/>
      <c r="MF3" s="258"/>
      <c r="MG3" s="258"/>
      <c r="MH3" s="258"/>
      <c r="MI3" s="258"/>
      <c r="MJ3" s="258"/>
      <c r="MK3" s="258" t="s">
        <v>228</v>
      </c>
      <c r="ML3" s="258"/>
      <c r="MM3" s="258"/>
      <c r="MN3" s="258"/>
      <c r="MO3" s="258"/>
      <c r="MP3" s="258"/>
      <c r="MQ3" s="258"/>
      <c r="MR3" s="258"/>
      <c r="MS3" s="258"/>
      <c r="MT3" s="258"/>
      <c r="MU3" s="258"/>
      <c r="MV3" s="258"/>
      <c r="MW3" s="258" t="s">
        <v>228</v>
      </c>
      <c r="MX3" s="258"/>
      <c r="MY3" s="258"/>
      <c r="MZ3" s="258"/>
      <c r="NA3" s="258"/>
      <c r="NB3" s="258"/>
      <c r="NC3" s="258"/>
      <c r="ND3" s="258"/>
      <c r="NE3" s="258"/>
      <c r="NF3" s="258"/>
      <c r="NG3" s="258"/>
      <c r="NH3" s="258"/>
      <c r="NI3" s="258" t="s">
        <v>228</v>
      </c>
      <c r="NJ3" s="258"/>
      <c r="NK3" s="258"/>
      <c r="NL3" s="258"/>
      <c r="NM3" s="258"/>
      <c r="NN3" s="258"/>
      <c r="NO3" s="258"/>
      <c r="NP3" s="258"/>
      <c r="NQ3" s="258"/>
      <c r="NR3" s="258"/>
      <c r="NS3" s="258"/>
      <c r="NT3" s="258"/>
      <c r="NU3" s="258" t="s">
        <v>228</v>
      </c>
      <c r="NV3" s="258"/>
      <c r="NW3" s="258"/>
      <c r="NX3" s="258"/>
      <c r="NY3" s="258"/>
      <c r="NZ3" s="258"/>
      <c r="OA3" s="258"/>
      <c r="OB3" s="258"/>
      <c r="OC3" s="258"/>
      <c r="OD3" s="258"/>
      <c r="OE3" s="258"/>
      <c r="OF3" s="258"/>
      <c r="OG3" s="258" t="s">
        <v>228</v>
      </c>
      <c r="OH3" s="258"/>
      <c r="OI3" s="258"/>
      <c r="OJ3" s="258"/>
      <c r="OK3" s="258"/>
      <c r="OL3" s="258"/>
      <c r="OM3" s="258"/>
      <c r="ON3" s="258"/>
      <c r="OO3" s="258"/>
      <c r="OP3" s="258"/>
      <c r="OQ3" s="258"/>
      <c r="OR3" s="258"/>
      <c r="OS3" s="258" t="s">
        <v>228</v>
      </c>
      <c r="OT3" s="258"/>
      <c r="OU3" s="258"/>
      <c r="OV3" s="258"/>
      <c r="OW3" s="258"/>
      <c r="OX3" s="258"/>
      <c r="OY3" s="258"/>
      <c r="OZ3" s="258"/>
      <c r="PA3" s="258"/>
      <c r="PB3" s="258"/>
      <c r="PC3" s="258"/>
      <c r="PD3" s="258"/>
      <c r="PE3" s="258" t="s">
        <v>228</v>
      </c>
      <c r="PF3" s="258"/>
      <c r="PG3" s="258"/>
      <c r="PH3" s="258"/>
      <c r="PI3" s="258"/>
      <c r="PJ3" s="258"/>
      <c r="PK3" s="258"/>
      <c r="PL3" s="258"/>
      <c r="PM3" s="258"/>
      <c r="PN3" s="258"/>
      <c r="PO3" s="258"/>
      <c r="PP3" s="258"/>
    </row>
    <row r="4" spans="1:432" ht="15.5">
      <c r="A4" s="284" t="s">
        <v>2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 t="s">
        <v>2</v>
      </c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 t="s">
        <v>2</v>
      </c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 t="s">
        <v>2</v>
      </c>
      <c r="AL4" s="284"/>
      <c r="AM4" s="284"/>
      <c r="AN4" s="284"/>
      <c r="AO4" s="284"/>
      <c r="AP4" s="284"/>
      <c r="AQ4" s="284"/>
      <c r="AR4" s="284"/>
      <c r="AS4" s="284"/>
      <c r="AT4" s="284"/>
      <c r="AU4" s="284"/>
      <c r="AV4" s="284"/>
      <c r="AW4" s="284" t="s">
        <v>2</v>
      </c>
      <c r="AX4" s="284"/>
      <c r="AY4" s="284"/>
      <c r="AZ4" s="284"/>
      <c r="BA4" s="284"/>
      <c r="BB4" s="284"/>
      <c r="BC4" s="284"/>
      <c r="BD4" s="284"/>
      <c r="BE4" s="284"/>
      <c r="BF4" s="284"/>
      <c r="BG4" s="284"/>
      <c r="BH4" s="284"/>
      <c r="BI4" s="284" t="s">
        <v>2</v>
      </c>
      <c r="BJ4" s="284"/>
      <c r="BK4" s="284"/>
      <c r="BL4" s="284"/>
      <c r="BM4" s="284"/>
      <c r="BN4" s="284"/>
      <c r="BO4" s="284"/>
      <c r="BP4" s="284"/>
      <c r="BQ4" s="284"/>
      <c r="BR4" s="284"/>
      <c r="BS4" s="284"/>
      <c r="BT4" s="284"/>
      <c r="BU4" s="284" t="s">
        <v>2</v>
      </c>
      <c r="BV4" s="284"/>
      <c r="BW4" s="284"/>
      <c r="BX4" s="284"/>
      <c r="BY4" s="284"/>
      <c r="BZ4" s="284"/>
      <c r="CA4" s="284"/>
      <c r="CB4" s="284"/>
      <c r="CC4" s="284"/>
      <c r="CD4" s="284"/>
      <c r="CE4" s="284"/>
      <c r="CF4" s="284"/>
      <c r="CG4" s="284" t="s">
        <v>2</v>
      </c>
      <c r="CH4" s="284"/>
      <c r="CI4" s="284"/>
      <c r="CJ4" s="284"/>
      <c r="CK4" s="284"/>
      <c r="CL4" s="284"/>
      <c r="CM4" s="284"/>
      <c r="CN4" s="284"/>
      <c r="CO4" s="284"/>
      <c r="CP4" s="284"/>
      <c r="CQ4" s="284"/>
      <c r="CR4" s="284"/>
      <c r="CS4" s="284" t="s">
        <v>2</v>
      </c>
      <c r="CT4" s="284"/>
      <c r="CU4" s="284"/>
      <c r="CV4" s="284"/>
      <c r="CW4" s="284"/>
      <c r="CX4" s="284"/>
      <c r="CY4" s="284"/>
      <c r="CZ4" s="284"/>
      <c r="DA4" s="284"/>
      <c r="DB4" s="284"/>
      <c r="DC4" s="284"/>
      <c r="DD4" s="284"/>
      <c r="DE4" s="284" t="s">
        <v>2</v>
      </c>
      <c r="DF4" s="284"/>
      <c r="DG4" s="284"/>
      <c r="DH4" s="284"/>
      <c r="DI4" s="284"/>
      <c r="DJ4" s="284"/>
      <c r="DK4" s="284"/>
      <c r="DL4" s="284"/>
      <c r="DM4" s="284"/>
      <c r="DN4" s="284"/>
      <c r="DO4" s="284"/>
      <c r="DP4" s="284"/>
      <c r="DQ4" s="284" t="s">
        <v>2</v>
      </c>
      <c r="DR4" s="284"/>
      <c r="DS4" s="284"/>
      <c r="DT4" s="284"/>
      <c r="DU4" s="284"/>
      <c r="DV4" s="284"/>
      <c r="DW4" s="284"/>
      <c r="DX4" s="284"/>
      <c r="DY4" s="284"/>
      <c r="DZ4" s="284"/>
      <c r="EA4" s="284"/>
      <c r="EB4" s="284"/>
      <c r="EC4" s="284" t="s">
        <v>2</v>
      </c>
      <c r="ED4" s="284"/>
      <c r="EE4" s="284"/>
      <c r="EF4" s="284"/>
      <c r="EG4" s="284"/>
      <c r="EH4" s="284"/>
      <c r="EI4" s="284"/>
      <c r="EJ4" s="284"/>
      <c r="EK4" s="284"/>
      <c r="EL4" s="284"/>
      <c r="EM4" s="284"/>
      <c r="EN4" s="284"/>
      <c r="EO4" s="284" t="s">
        <v>2</v>
      </c>
      <c r="EP4" s="284"/>
      <c r="EQ4" s="284"/>
      <c r="ER4" s="284"/>
      <c r="ES4" s="284"/>
      <c r="ET4" s="284"/>
      <c r="EU4" s="284"/>
      <c r="EV4" s="284"/>
      <c r="EW4" s="284"/>
      <c r="EX4" s="284"/>
      <c r="EY4" s="284"/>
      <c r="EZ4" s="284"/>
      <c r="FA4" s="284" t="s">
        <v>2</v>
      </c>
      <c r="FB4" s="284"/>
      <c r="FC4" s="284"/>
      <c r="FD4" s="284"/>
      <c r="FE4" s="284"/>
      <c r="FF4" s="284"/>
      <c r="FG4" s="284"/>
      <c r="FH4" s="284"/>
      <c r="FI4" s="284"/>
      <c r="FJ4" s="284"/>
      <c r="FK4" s="284"/>
      <c r="FL4" s="284"/>
      <c r="FM4" s="284" t="s">
        <v>2</v>
      </c>
      <c r="FN4" s="284"/>
      <c r="FO4" s="284"/>
      <c r="FP4" s="284"/>
      <c r="FQ4" s="284"/>
      <c r="FR4" s="284"/>
      <c r="FS4" s="284"/>
      <c r="FT4" s="284"/>
      <c r="FU4" s="284"/>
      <c r="FV4" s="284"/>
      <c r="FW4" s="284"/>
      <c r="FX4" s="284"/>
      <c r="FY4" s="284" t="s">
        <v>2</v>
      </c>
      <c r="FZ4" s="284"/>
      <c r="GA4" s="284"/>
      <c r="GB4" s="284"/>
      <c r="GC4" s="284"/>
      <c r="GD4" s="284"/>
      <c r="GE4" s="284"/>
      <c r="GF4" s="284"/>
      <c r="GG4" s="284"/>
      <c r="GH4" s="284"/>
      <c r="GI4" s="284"/>
      <c r="GJ4" s="284"/>
      <c r="GK4" s="284" t="s">
        <v>2</v>
      </c>
      <c r="GL4" s="284"/>
      <c r="GM4" s="284"/>
      <c r="GN4" s="284"/>
      <c r="GO4" s="284"/>
      <c r="GP4" s="284"/>
      <c r="GQ4" s="284"/>
      <c r="GR4" s="284"/>
      <c r="GS4" s="284"/>
      <c r="GT4" s="284"/>
      <c r="GU4" s="284"/>
      <c r="GV4" s="284"/>
      <c r="GW4" s="284" t="s">
        <v>2</v>
      </c>
      <c r="GX4" s="284"/>
      <c r="GY4" s="284"/>
      <c r="GZ4" s="284"/>
      <c r="HA4" s="284"/>
      <c r="HB4" s="284"/>
      <c r="HC4" s="284"/>
      <c r="HD4" s="284"/>
      <c r="HE4" s="284"/>
      <c r="HF4" s="284"/>
      <c r="HG4" s="284"/>
      <c r="HH4" s="284"/>
      <c r="HI4" s="284" t="s">
        <v>2</v>
      </c>
      <c r="HJ4" s="284"/>
      <c r="HK4" s="284"/>
      <c r="HL4" s="284"/>
      <c r="HM4" s="284"/>
      <c r="HN4" s="284"/>
      <c r="HO4" s="284"/>
      <c r="HP4" s="284"/>
      <c r="HQ4" s="284"/>
      <c r="HR4" s="284"/>
      <c r="HS4" s="284"/>
      <c r="HT4" s="284"/>
      <c r="HU4" s="284" t="s">
        <v>2</v>
      </c>
      <c r="HV4" s="284"/>
      <c r="HW4" s="284"/>
      <c r="HX4" s="284"/>
      <c r="HY4" s="284"/>
      <c r="HZ4" s="284"/>
      <c r="IA4" s="284"/>
      <c r="IB4" s="284"/>
      <c r="IC4" s="284"/>
      <c r="ID4" s="284"/>
      <c r="IE4" s="284"/>
      <c r="IF4" s="284"/>
      <c r="IG4" s="284" t="s">
        <v>2</v>
      </c>
      <c r="IH4" s="284"/>
      <c r="II4" s="284"/>
      <c r="IJ4" s="284"/>
      <c r="IK4" s="284"/>
      <c r="IL4" s="284"/>
      <c r="IM4" s="284"/>
      <c r="IN4" s="284"/>
      <c r="IO4" s="284"/>
      <c r="IP4" s="284"/>
      <c r="IQ4" s="284"/>
      <c r="IR4" s="284"/>
      <c r="IS4" s="284" t="s">
        <v>2</v>
      </c>
      <c r="IT4" s="284"/>
      <c r="IU4" s="284"/>
      <c r="IV4" s="284"/>
      <c r="IW4" s="284"/>
      <c r="IX4" s="284"/>
      <c r="IY4" s="284"/>
      <c r="IZ4" s="284"/>
      <c r="JA4" s="284"/>
      <c r="JB4" s="284"/>
      <c r="JC4" s="284"/>
      <c r="JD4" s="284"/>
      <c r="JE4" s="284" t="s">
        <v>2</v>
      </c>
      <c r="JF4" s="284"/>
      <c r="JG4" s="284"/>
      <c r="JH4" s="284"/>
      <c r="JI4" s="284"/>
      <c r="JJ4" s="284"/>
      <c r="JK4" s="284"/>
      <c r="JL4" s="284"/>
      <c r="JM4" s="284"/>
      <c r="JN4" s="284"/>
      <c r="JO4" s="284"/>
      <c r="JP4" s="284"/>
      <c r="JQ4" s="284" t="s">
        <v>2</v>
      </c>
      <c r="JR4" s="284"/>
      <c r="JS4" s="284"/>
      <c r="JT4" s="284"/>
      <c r="JU4" s="284"/>
      <c r="JV4" s="284"/>
      <c r="JW4" s="284"/>
      <c r="JX4" s="284"/>
      <c r="JY4" s="284"/>
      <c r="JZ4" s="284"/>
      <c r="KA4" s="284"/>
      <c r="KB4" s="284"/>
      <c r="KC4" s="284" t="s">
        <v>2</v>
      </c>
      <c r="KD4" s="284"/>
      <c r="KE4" s="284"/>
      <c r="KF4" s="284"/>
      <c r="KG4" s="284"/>
      <c r="KH4" s="284"/>
      <c r="KI4" s="284"/>
      <c r="KJ4" s="284"/>
      <c r="KK4" s="284"/>
      <c r="KL4" s="284"/>
      <c r="KM4" s="284"/>
      <c r="KN4" s="284"/>
      <c r="KO4" s="284" t="s">
        <v>2</v>
      </c>
      <c r="KP4" s="284"/>
      <c r="KQ4" s="284"/>
      <c r="KR4" s="284"/>
      <c r="KS4" s="284"/>
      <c r="KT4" s="284"/>
      <c r="KU4" s="284"/>
      <c r="KV4" s="284"/>
      <c r="KW4" s="284"/>
      <c r="KX4" s="284"/>
      <c r="KY4" s="284"/>
      <c r="KZ4" s="284"/>
      <c r="LA4" s="284" t="s">
        <v>2</v>
      </c>
      <c r="LB4" s="284"/>
      <c r="LC4" s="284"/>
      <c r="LD4" s="284"/>
      <c r="LE4" s="284"/>
      <c r="LF4" s="284"/>
      <c r="LG4" s="284"/>
      <c r="LH4" s="284"/>
      <c r="LI4" s="284"/>
      <c r="LJ4" s="284"/>
      <c r="LK4" s="284"/>
      <c r="LL4" s="284"/>
      <c r="LM4" s="284" t="s">
        <v>2</v>
      </c>
      <c r="LN4" s="284"/>
      <c r="LO4" s="284"/>
      <c r="LP4" s="284"/>
      <c r="LQ4" s="284"/>
      <c r="LR4" s="284"/>
      <c r="LS4" s="284"/>
      <c r="LT4" s="284"/>
      <c r="LU4" s="284"/>
      <c r="LV4" s="284"/>
      <c r="LW4" s="284"/>
      <c r="LX4" s="284"/>
      <c r="LY4" s="284" t="s">
        <v>2</v>
      </c>
      <c r="LZ4" s="284"/>
      <c r="MA4" s="284"/>
      <c r="MB4" s="284"/>
      <c r="MC4" s="284"/>
      <c r="MD4" s="284"/>
      <c r="ME4" s="284"/>
      <c r="MF4" s="284"/>
      <c r="MG4" s="284"/>
      <c r="MH4" s="284"/>
      <c r="MI4" s="284"/>
      <c r="MJ4" s="284"/>
      <c r="MK4" s="284" t="s">
        <v>2</v>
      </c>
      <c r="ML4" s="284"/>
      <c r="MM4" s="284"/>
      <c r="MN4" s="284"/>
      <c r="MO4" s="284"/>
      <c r="MP4" s="284"/>
      <c r="MQ4" s="284"/>
      <c r="MR4" s="284"/>
      <c r="MS4" s="284"/>
      <c r="MT4" s="284"/>
      <c r="MU4" s="284"/>
      <c r="MV4" s="284"/>
      <c r="MW4" s="284" t="s">
        <v>2</v>
      </c>
      <c r="MX4" s="284"/>
      <c r="MY4" s="284"/>
      <c r="MZ4" s="284"/>
      <c r="NA4" s="284"/>
      <c r="NB4" s="284"/>
      <c r="NC4" s="284"/>
      <c r="ND4" s="284"/>
      <c r="NE4" s="284"/>
      <c r="NF4" s="284"/>
      <c r="NG4" s="284"/>
      <c r="NH4" s="284"/>
      <c r="NI4" s="284" t="s">
        <v>2</v>
      </c>
      <c r="NJ4" s="284"/>
      <c r="NK4" s="284"/>
      <c r="NL4" s="284"/>
      <c r="NM4" s="284"/>
      <c r="NN4" s="284"/>
      <c r="NO4" s="284"/>
      <c r="NP4" s="284"/>
      <c r="NQ4" s="284"/>
      <c r="NR4" s="284"/>
      <c r="NS4" s="284"/>
      <c r="NT4" s="284"/>
      <c r="NU4" s="284" t="s">
        <v>2</v>
      </c>
      <c r="NV4" s="284"/>
      <c r="NW4" s="284"/>
      <c r="NX4" s="284"/>
      <c r="NY4" s="284"/>
      <c r="NZ4" s="284"/>
      <c r="OA4" s="284"/>
      <c r="OB4" s="284"/>
      <c r="OC4" s="284"/>
      <c r="OD4" s="284"/>
      <c r="OE4" s="284"/>
      <c r="OF4" s="284"/>
      <c r="OG4" s="284" t="s">
        <v>2</v>
      </c>
      <c r="OH4" s="284"/>
      <c r="OI4" s="284"/>
      <c r="OJ4" s="284"/>
      <c r="OK4" s="284"/>
      <c r="OL4" s="284"/>
      <c r="OM4" s="284"/>
      <c r="ON4" s="284"/>
      <c r="OO4" s="284"/>
      <c r="OP4" s="284"/>
      <c r="OQ4" s="284"/>
      <c r="OR4" s="284"/>
      <c r="OS4" s="284" t="s">
        <v>2</v>
      </c>
      <c r="OT4" s="284"/>
      <c r="OU4" s="284"/>
      <c r="OV4" s="284"/>
      <c r="OW4" s="284"/>
      <c r="OX4" s="284"/>
      <c r="OY4" s="284"/>
      <c r="OZ4" s="284"/>
      <c r="PA4" s="284"/>
      <c r="PB4" s="284"/>
      <c r="PC4" s="284"/>
      <c r="PD4" s="284"/>
      <c r="PE4" s="284" t="s">
        <v>2</v>
      </c>
      <c r="PF4" s="284"/>
      <c r="PG4" s="284"/>
      <c r="PH4" s="284"/>
      <c r="PI4" s="284"/>
      <c r="PJ4" s="284"/>
      <c r="PK4" s="284"/>
      <c r="PL4" s="284"/>
      <c r="PM4" s="284"/>
      <c r="PN4" s="284"/>
      <c r="PO4" s="284"/>
      <c r="PP4" s="284"/>
    </row>
    <row r="5" spans="1:432">
      <c r="A5" s="258" t="s">
        <v>286</v>
      </c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 t="s">
        <v>286</v>
      </c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 t="s">
        <v>286</v>
      </c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 t="s">
        <v>286</v>
      </c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258" t="s">
        <v>286</v>
      </c>
      <c r="AX5" s="258"/>
      <c r="AY5" s="258"/>
      <c r="AZ5" s="258"/>
      <c r="BA5" s="258"/>
      <c r="BB5" s="258"/>
      <c r="BC5" s="258"/>
      <c r="BD5" s="258"/>
      <c r="BE5" s="258"/>
      <c r="BF5" s="258"/>
      <c r="BG5" s="258"/>
      <c r="BH5" s="258"/>
      <c r="BI5" s="258" t="s">
        <v>286</v>
      </c>
      <c r="BJ5" s="258"/>
      <c r="BK5" s="258"/>
      <c r="BL5" s="258"/>
      <c r="BM5" s="258"/>
      <c r="BN5" s="258"/>
      <c r="BO5" s="258"/>
      <c r="BP5" s="258"/>
      <c r="BQ5" s="258"/>
      <c r="BR5" s="258"/>
      <c r="BS5" s="258"/>
      <c r="BT5" s="258"/>
      <c r="BU5" s="258" t="s">
        <v>286</v>
      </c>
      <c r="BV5" s="258"/>
      <c r="BW5" s="258"/>
      <c r="BX5" s="258"/>
      <c r="BY5" s="258"/>
      <c r="BZ5" s="258"/>
      <c r="CA5" s="258"/>
      <c r="CB5" s="258"/>
      <c r="CC5" s="258"/>
      <c r="CD5" s="258"/>
      <c r="CE5" s="258"/>
      <c r="CF5" s="258"/>
      <c r="CG5" s="258" t="s">
        <v>286</v>
      </c>
      <c r="CH5" s="258"/>
      <c r="CI5" s="258"/>
      <c r="CJ5" s="258"/>
      <c r="CK5" s="258"/>
      <c r="CL5" s="258"/>
      <c r="CM5" s="258"/>
      <c r="CN5" s="258"/>
      <c r="CO5" s="258"/>
      <c r="CP5" s="258"/>
      <c r="CQ5" s="258"/>
      <c r="CR5" s="258"/>
      <c r="CS5" s="258" t="s">
        <v>286</v>
      </c>
      <c r="CT5" s="258"/>
      <c r="CU5" s="258"/>
      <c r="CV5" s="258"/>
      <c r="CW5" s="258"/>
      <c r="CX5" s="258"/>
      <c r="CY5" s="258"/>
      <c r="CZ5" s="258"/>
      <c r="DA5" s="258"/>
      <c r="DB5" s="258"/>
      <c r="DC5" s="258"/>
      <c r="DD5" s="258"/>
      <c r="DE5" s="258" t="s">
        <v>286</v>
      </c>
      <c r="DF5" s="258"/>
      <c r="DG5" s="258"/>
      <c r="DH5" s="258"/>
      <c r="DI5" s="258"/>
      <c r="DJ5" s="258"/>
      <c r="DK5" s="258"/>
      <c r="DL5" s="258"/>
      <c r="DM5" s="258"/>
      <c r="DN5" s="258"/>
      <c r="DO5" s="258"/>
      <c r="DP5" s="258"/>
      <c r="DQ5" s="258" t="s">
        <v>286</v>
      </c>
      <c r="DR5" s="258"/>
      <c r="DS5" s="258"/>
      <c r="DT5" s="258"/>
      <c r="DU5" s="258"/>
      <c r="DV5" s="258"/>
      <c r="DW5" s="258"/>
      <c r="DX5" s="258"/>
      <c r="DY5" s="258"/>
      <c r="DZ5" s="258"/>
      <c r="EA5" s="258"/>
      <c r="EB5" s="258"/>
      <c r="EC5" s="258" t="s">
        <v>286</v>
      </c>
      <c r="ED5" s="258"/>
      <c r="EE5" s="258"/>
      <c r="EF5" s="258"/>
      <c r="EG5" s="258"/>
      <c r="EH5" s="258"/>
      <c r="EI5" s="258"/>
      <c r="EJ5" s="258"/>
      <c r="EK5" s="258"/>
      <c r="EL5" s="258"/>
      <c r="EM5" s="258"/>
      <c r="EN5" s="258"/>
      <c r="EO5" s="258" t="s">
        <v>286</v>
      </c>
      <c r="EP5" s="258"/>
      <c r="EQ5" s="258"/>
      <c r="ER5" s="258"/>
      <c r="ES5" s="258"/>
      <c r="ET5" s="258"/>
      <c r="EU5" s="258"/>
      <c r="EV5" s="258"/>
      <c r="EW5" s="258"/>
      <c r="EX5" s="258"/>
      <c r="EY5" s="258"/>
      <c r="EZ5" s="258"/>
      <c r="FA5" s="258" t="s">
        <v>286</v>
      </c>
      <c r="FB5" s="258"/>
      <c r="FC5" s="258"/>
      <c r="FD5" s="258"/>
      <c r="FE5" s="258"/>
      <c r="FF5" s="258"/>
      <c r="FG5" s="258"/>
      <c r="FH5" s="258"/>
      <c r="FI5" s="258"/>
      <c r="FJ5" s="258"/>
      <c r="FK5" s="258"/>
      <c r="FL5" s="258"/>
      <c r="FM5" s="258" t="s">
        <v>286</v>
      </c>
      <c r="FN5" s="258"/>
      <c r="FO5" s="258"/>
      <c r="FP5" s="258"/>
      <c r="FQ5" s="258"/>
      <c r="FR5" s="258"/>
      <c r="FS5" s="258"/>
      <c r="FT5" s="258"/>
      <c r="FU5" s="258"/>
      <c r="FV5" s="258"/>
      <c r="FW5" s="258"/>
      <c r="FX5" s="258"/>
      <c r="FY5" s="258" t="s">
        <v>286</v>
      </c>
      <c r="FZ5" s="258"/>
      <c r="GA5" s="258"/>
      <c r="GB5" s="258"/>
      <c r="GC5" s="258"/>
      <c r="GD5" s="258"/>
      <c r="GE5" s="258"/>
      <c r="GF5" s="258"/>
      <c r="GG5" s="258"/>
      <c r="GH5" s="258"/>
      <c r="GI5" s="258"/>
      <c r="GJ5" s="258"/>
      <c r="GK5" s="258" t="s">
        <v>286</v>
      </c>
      <c r="GL5" s="258"/>
      <c r="GM5" s="258"/>
      <c r="GN5" s="258"/>
      <c r="GO5" s="258"/>
      <c r="GP5" s="258"/>
      <c r="GQ5" s="258"/>
      <c r="GR5" s="258"/>
      <c r="GS5" s="258"/>
      <c r="GT5" s="258"/>
      <c r="GU5" s="258"/>
      <c r="GV5" s="258"/>
      <c r="GW5" s="258" t="s">
        <v>286</v>
      </c>
      <c r="GX5" s="258"/>
      <c r="GY5" s="258"/>
      <c r="GZ5" s="258"/>
      <c r="HA5" s="258"/>
      <c r="HB5" s="258"/>
      <c r="HC5" s="258"/>
      <c r="HD5" s="258"/>
      <c r="HE5" s="258"/>
      <c r="HF5" s="258"/>
      <c r="HG5" s="258"/>
      <c r="HH5" s="258"/>
      <c r="HI5" s="258" t="s">
        <v>286</v>
      </c>
      <c r="HJ5" s="258"/>
      <c r="HK5" s="258"/>
      <c r="HL5" s="258"/>
      <c r="HM5" s="258"/>
      <c r="HN5" s="258"/>
      <c r="HO5" s="258"/>
      <c r="HP5" s="258"/>
      <c r="HQ5" s="258"/>
      <c r="HR5" s="258"/>
      <c r="HS5" s="258"/>
      <c r="HT5" s="258"/>
      <c r="HU5" s="258" t="s">
        <v>286</v>
      </c>
      <c r="HV5" s="258"/>
      <c r="HW5" s="258"/>
      <c r="HX5" s="258"/>
      <c r="HY5" s="258"/>
      <c r="HZ5" s="258"/>
      <c r="IA5" s="258"/>
      <c r="IB5" s="258"/>
      <c r="IC5" s="258"/>
      <c r="ID5" s="258"/>
      <c r="IE5" s="258"/>
      <c r="IF5" s="258"/>
      <c r="IG5" s="258" t="s">
        <v>286</v>
      </c>
      <c r="IH5" s="258"/>
      <c r="II5" s="258"/>
      <c r="IJ5" s="258"/>
      <c r="IK5" s="258"/>
      <c r="IL5" s="258"/>
      <c r="IM5" s="258"/>
      <c r="IN5" s="258"/>
      <c r="IO5" s="258"/>
      <c r="IP5" s="258"/>
      <c r="IQ5" s="258"/>
      <c r="IR5" s="258"/>
      <c r="IS5" s="258" t="s">
        <v>286</v>
      </c>
      <c r="IT5" s="258"/>
      <c r="IU5" s="258"/>
      <c r="IV5" s="258"/>
      <c r="IW5" s="258"/>
      <c r="IX5" s="258"/>
      <c r="IY5" s="258"/>
      <c r="IZ5" s="258"/>
      <c r="JA5" s="258"/>
      <c r="JB5" s="258"/>
      <c r="JC5" s="258"/>
      <c r="JD5" s="258"/>
      <c r="JE5" s="258" t="s">
        <v>286</v>
      </c>
      <c r="JF5" s="258"/>
      <c r="JG5" s="258"/>
      <c r="JH5" s="258"/>
      <c r="JI5" s="258"/>
      <c r="JJ5" s="258"/>
      <c r="JK5" s="258"/>
      <c r="JL5" s="258"/>
      <c r="JM5" s="258"/>
      <c r="JN5" s="258"/>
      <c r="JO5" s="258"/>
      <c r="JP5" s="258"/>
      <c r="JQ5" s="258" t="s">
        <v>286</v>
      </c>
      <c r="JR5" s="258"/>
      <c r="JS5" s="258"/>
      <c r="JT5" s="258"/>
      <c r="JU5" s="258"/>
      <c r="JV5" s="258"/>
      <c r="JW5" s="258"/>
      <c r="JX5" s="258"/>
      <c r="JY5" s="258"/>
      <c r="JZ5" s="258"/>
      <c r="KA5" s="258"/>
      <c r="KB5" s="258"/>
      <c r="KC5" s="258" t="s">
        <v>286</v>
      </c>
      <c r="KD5" s="258"/>
      <c r="KE5" s="258"/>
      <c r="KF5" s="258"/>
      <c r="KG5" s="258"/>
      <c r="KH5" s="258"/>
      <c r="KI5" s="258"/>
      <c r="KJ5" s="258"/>
      <c r="KK5" s="258"/>
      <c r="KL5" s="258"/>
      <c r="KM5" s="258"/>
      <c r="KN5" s="258"/>
      <c r="KO5" s="258" t="s">
        <v>286</v>
      </c>
      <c r="KP5" s="258"/>
      <c r="KQ5" s="258"/>
      <c r="KR5" s="258"/>
      <c r="KS5" s="258"/>
      <c r="KT5" s="258"/>
      <c r="KU5" s="258"/>
      <c r="KV5" s="258"/>
      <c r="KW5" s="258"/>
      <c r="KX5" s="258"/>
      <c r="KY5" s="258"/>
      <c r="KZ5" s="258"/>
      <c r="LA5" s="258" t="s">
        <v>286</v>
      </c>
      <c r="LB5" s="258"/>
      <c r="LC5" s="258"/>
      <c r="LD5" s="258"/>
      <c r="LE5" s="258"/>
      <c r="LF5" s="258"/>
      <c r="LG5" s="258"/>
      <c r="LH5" s="258"/>
      <c r="LI5" s="258"/>
      <c r="LJ5" s="258"/>
      <c r="LK5" s="258"/>
      <c r="LL5" s="258"/>
      <c r="LM5" s="258" t="s">
        <v>286</v>
      </c>
      <c r="LN5" s="258"/>
      <c r="LO5" s="258"/>
      <c r="LP5" s="258"/>
      <c r="LQ5" s="258"/>
      <c r="LR5" s="258"/>
      <c r="LS5" s="258"/>
      <c r="LT5" s="258"/>
      <c r="LU5" s="258"/>
      <c r="LV5" s="258"/>
      <c r="LW5" s="258"/>
      <c r="LX5" s="258"/>
      <c r="LY5" s="258" t="s">
        <v>286</v>
      </c>
      <c r="LZ5" s="258"/>
      <c r="MA5" s="258"/>
      <c r="MB5" s="258"/>
      <c r="MC5" s="258"/>
      <c r="MD5" s="258"/>
      <c r="ME5" s="258"/>
      <c r="MF5" s="258"/>
      <c r="MG5" s="258"/>
      <c r="MH5" s="258"/>
      <c r="MI5" s="258"/>
      <c r="MJ5" s="258"/>
      <c r="MK5" s="258" t="s">
        <v>286</v>
      </c>
      <c r="ML5" s="258"/>
      <c r="MM5" s="258"/>
      <c r="MN5" s="258"/>
      <c r="MO5" s="258"/>
      <c r="MP5" s="258"/>
      <c r="MQ5" s="258"/>
      <c r="MR5" s="258"/>
      <c r="MS5" s="258"/>
      <c r="MT5" s="258"/>
      <c r="MU5" s="258"/>
      <c r="MV5" s="258"/>
      <c r="MW5" s="258" t="s">
        <v>286</v>
      </c>
      <c r="MX5" s="258"/>
      <c r="MY5" s="258"/>
      <c r="MZ5" s="258"/>
      <c r="NA5" s="258"/>
      <c r="NB5" s="258"/>
      <c r="NC5" s="258"/>
      <c r="ND5" s="258"/>
      <c r="NE5" s="258"/>
      <c r="NF5" s="258"/>
      <c r="NG5" s="258"/>
      <c r="NH5" s="258"/>
      <c r="NI5" s="258" t="s">
        <v>286</v>
      </c>
      <c r="NJ5" s="258"/>
      <c r="NK5" s="258"/>
      <c r="NL5" s="258"/>
      <c r="NM5" s="258"/>
      <c r="NN5" s="258"/>
      <c r="NO5" s="258"/>
      <c r="NP5" s="258"/>
      <c r="NQ5" s="258"/>
      <c r="NR5" s="258"/>
      <c r="NS5" s="258"/>
      <c r="NT5" s="258"/>
      <c r="NU5" s="258" t="s">
        <v>286</v>
      </c>
      <c r="NV5" s="258"/>
      <c r="NW5" s="258"/>
      <c r="NX5" s="258"/>
      <c r="NY5" s="258"/>
      <c r="NZ5" s="258"/>
      <c r="OA5" s="258"/>
      <c r="OB5" s="258"/>
      <c r="OC5" s="258"/>
      <c r="OD5" s="258"/>
      <c r="OE5" s="258"/>
      <c r="OF5" s="258"/>
      <c r="OG5" s="258" t="s">
        <v>286</v>
      </c>
      <c r="OH5" s="258"/>
      <c r="OI5" s="258"/>
      <c r="OJ5" s="258"/>
      <c r="OK5" s="258"/>
      <c r="OL5" s="258"/>
      <c r="OM5" s="258"/>
      <c r="ON5" s="258"/>
      <c r="OO5" s="258"/>
      <c r="OP5" s="258"/>
      <c r="OQ5" s="258"/>
      <c r="OR5" s="258"/>
      <c r="OS5" s="258" t="s">
        <v>286</v>
      </c>
      <c r="OT5" s="258"/>
      <c r="OU5" s="258"/>
      <c r="OV5" s="258"/>
      <c r="OW5" s="258"/>
      <c r="OX5" s="258"/>
      <c r="OY5" s="258"/>
      <c r="OZ5" s="258"/>
      <c r="PA5" s="258"/>
      <c r="PB5" s="258"/>
      <c r="PC5" s="258"/>
      <c r="PD5" s="258"/>
      <c r="PE5" s="258" t="s">
        <v>286</v>
      </c>
      <c r="PF5" s="258"/>
      <c r="PG5" s="258"/>
      <c r="PH5" s="258"/>
      <c r="PI5" s="258"/>
      <c r="PJ5" s="258"/>
      <c r="PK5" s="258"/>
      <c r="PL5" s="258"/>
      <c r="PM5" s="258"/>
      <c r="PN5" s="258"/>
      <c r="PO5" s="258"/>
      <c r="PP5" s="258"/>
    </row>
    <row r="6" spans="1:432" ht="10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51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51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 t="s">
        <v>51</v>
      </c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</row>
    <row r="7" spans="1:432">
      <c r="A7" s="323" t="s">
        <v>309</v>
      </c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 t="s">
        <v>309</v>
      </c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 t="s">
        <v>309</v>
      </c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 t="s">
        <v>309</v>
      </c>
      <c r="AL7" s="323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 t="s">
        <v>309</v>
      </c>
      <c r="AX7" s="323"/>
      <c r="AY7" s="323"/>
      <c r="AZ7" s="323"/>
      <c r="BA7" s="323"/>
      <c r="BB7" s="323"/>
      <c r="BC7" s="323"/>
      <c r="BD7" s="323"/>
      <c r="BE7" s="323"/>
      <c r="BF7" s="323"/>
      <c r="BG7" s="323"/>
      <c r="BH7" s="323"/>
      <c r="BI7" s="323" t="s">
        <v>309</v>
      </c>
      <c r="BJ7" s="323"/>
      <c r="BK7" s="323"/>
      <c r="BL7" s="323"/>
      <c r="BM7" s="323"/>
      <c r="BN7" s="323"/>
      <c r="BO7" s="323"/>
      <c r="BP7" s="323"/>
      <c r="BQ7" s="323"/>
      <c r="BR7" s="323"/>
      <c r="BS7" s="323"/>
      <c r="BT7" s="323"/>
      <c r="BU7" s="323" t="s">
        <v>309</v>
      </c>
      <c r="BV7" s="323"/>
      <c r="BW7" s="323"/>
      <c r="BX7" s="323"/>
      <c r="BY7" s="323"/>
      <c r="BZ7" s="323"/>
      <c r="CA7" s="323"/>
      <c r="CB7" s="323"/>
      <c r="CC7" s="323"/>
      <c r="CD7" s="323"/>
      <c r="CE7" s="323"/>
      <c r="CF7" s="323"/>
      <c r="CG7" s="323" t="s">
        <v>309</v>
      </c>
      <c r="CH7" s="323"/>
      <c r="CI7" s="323"/>
      <c r="CJ7" s="323"/>
      <c r="CK7" s="323"/>
      <c r="CL7" s="323"/>
      <c r="CM7" s="323"/>
      <c r="CN7" s="323"/>
      <c r="CO7" s="323"/>
      <c r="CP7" s="323"/>
      <c r="CQ7" s="323"/>
      <c r="CR7" s="323"/>
      <c r="CS7" s="323" t="s">
        <v>309</v>
      </c>
      <c r="CT7" s="323"/>
      <c r="CU7" s="323"/>
      <c r="CV7" s="323"/>
      <c r="CW7" s="323"/>
      <c r="CX7" s="323"/>
      <c r="CY7" s="323"/>
      <c r="CZ7" s="323"/>
      <c r="DA7" s="323"/>
      <c r="DB7" s="323"/>
      <c r="DC7" s="323"/>
      <c r="DD7" s="323"/>
      <c r="DE7" s="323" t="s">
        <v>309</v>
      </c>
      <c r="DF7" s="323"/>
      <c r="DG7" s="323"/>
      <c r="DH7" s="323"/>
      <c r="DI7" s="323"/>
      <c r="DJ7" s="323"/>
      <c r="DK7" s="323"/>
      <c r="DL7" s="323"/>
      <c r="DM7" s="323"/>
      <c r="DN7" s="323"/>
      <c r="DO7" s="323"/>
      <c r="DP7" s="323"/>
      <c r="DQ7" s="323" t="s">
        <v>309</v>
      </c>
      <c r="DR7" s="323"/>
      <c r="DS7" s="323"/>
      <c r="DT7" s="323"/>
      <c r="DU7" s="323"/>
      <c r="DV7" s="323"/>
      <c r="DW7" s="323"/>
      <c r="DX7" s="323"/>
      <c r="DY7" s="323"/>
      <c r="DZ7" s="323"/>
      <c r="EA7" s="323"/>
      <c r="EB7" s="323"/>
      <c r="EC7" s="323" t="s">
        <v>309</v>
      </c>
      <c r="ED7" s="323"/>
      <c r="EE7" s="323"/>
      <c r="EF7" s="323"/>
      <c r="EG7" s="323"/>
      <c r="EH7" s="323"/>
      <c r="EI7" s="323"/>
      <c r="EJ7" s="323"/>
      <c r="EK7" s="323"/>
      <c r="EL7" s="323"/>
      <c r="EM7" s="323"/>
      <c r="EN7" s="323"/>
      <c r="EO7" s="323" t="s">
        <v>309</v>
      </c>
      <c r="EP7" s="323"/>
      <c r="EQ7" s="323"/>
      <c r="ER7" s="323"/>
      <c r="ES7" s="323"/>
      <c r="ET7" s="323"/>
      <c r="EU7" s="323"/>
      <c r="EV7" s="323"/>
      <c r="EW7" s="323"/>
      <c r="EX7" s="323"/>
      <c r="EY7" s="323"/>
      <c r="EZ7" s="323"/>
      <c r="FA7" s="323" t="s">
        <v>309</v>
      </c>
      <c r="FB7" s="323"/>
      <c r="FC7" s="323"/>
      <c r="FD7" s="323"/>
      <c r="FE7" s="323"/>
      <c r="FF7" s="323"/>
      <c r="FG7" s="323"/>
      <c r="FH7" s="323"/>
      <c r="FI7" s="323"/>
      <c r="FJ7" s="323"/>
      <c r="FK7" s="323"/>
      <c r="FL7" s="323"/>
      <c r="FM7" s="323" t="s">
        <v>309</v>
      </c>
      <c r="FN7" s="323"/>
      <c r="FO7" s="323"/>
      <c r="FP7" s="323"/>
      <c r="FQ7" s="323"/>
      <c r="FR7" s="323"/>
      <c r="FS7" s="323"/>
      <c r="FT7" s="323"/>
      <c r="FU7" s="323"/>
      <c r="FV7" s="323"/>
      <c r="FW7" s="323"/>
      <c r="FX7" s="323"/>
      <c r="FY7" s="323" t="s">
        <v>309</v>
      </c>
      <c r="FZ7" s="323"/>
      <c r="GA7" s="323"/>
      <c r="GB7" s="323"/>
      <c r="GC7" s="323"/>
      <c r="GD7" s="323"/>
      <c r="GE7" s="323"/>
      <c r="GF7" s="323"/>
      <c r="GG7" s="323"/>
      <c r="GH7" s="323"/>
      <c r="GI7" s="323"/>
      <c r="GJ7" s="323"/>
      <c r="GK7" s="323" t="s">
        <v>309</v>
      </c>
      <c r="GL7" s="323"/>
      <c r="GM7" s="323"/>
      <c r="GN7" s="323"/>
      <c r="GO7" s="323"/>
      <c r="GP7" s="323"/>
      <c r="GQ7" s="323"/>
      <c r="GR7" s="323"/>
      <c r="GS7" s="323"/>
      <c r="GT7" s="323"/>
      <c r="GU7" s="323"/>
      <c r="GV7" s="323"/>
      <c r="GW7" s="323" t="s">
        <v>309</v>
      </c>
      <c r="GX7" s="323"/>
      <c r="GY7" s="323"/>
      <c r="GZ7" s="323"/>
      <c r="HA7" s="323"/>
      <c r="HB7" s="323"/>
      <c r="HC7" s="323"/>
      <c r="HD7" s="323"/>
      <c r="HE7" s="323"/>
      <c r="HF7" s="323"/>
      <c r="HG7" s="323"/>
      <c r="HH7" s="323"/>
      <c r="HI7" s="323" t="s">
        <v>309</v>
      </c>
      <c r="HJ7" s="323"/>
      <c r="HK7" s="323"/>
      <c r="HL7" s="323"/>
      <c r="HM7" s="323"/>
      <c r="HN7" s="323"/>
      <c r="HO7" s="323"/>
      <c r="HP7" s="323"/>
      <c r="HQ7" s="323"/>
      <c r="HR7" s="323"/>
      <c r="HS7" s="323"/>
      <c r="HT7" s="323"/>
      <c r="HU7" s="323" t="s">
        <v>309</v>
      </c>
      <c r="HV7" s="323"/>
      <c r="HW7" s="323"/>
      <c r="HX7" s="323"/>
      <c r="HY7" s="323"/>
      <c r="HZ7" s="323"/>
      <c r="IA7" s="323"/>
      <c r="IB7" s="323"/>
      <c r="IC7" s="323"/>
      <c r="ID7" s="323"/>
      <c r="IE7" s="323"/>
      <c r="IF7" s="323"/>
      <c r="IG7" s="323" t="s">
        <v>309</v>
      </c>
      <c r="IH7" s="323"/>
      <c r="II7" s="323"/>
      <c r="IJ7" s="323"/>
      <c r="IK7" s="323"/>
      <c r="IL7" s="323"/>
      <c r="IM7" s="323"/>
      <c r="IN7" s="323"/>
      <c r="IO7" s="323"/>
      <c r="IP7" s="323"/>
      <c r="IQ7" s="323"/>
      <c r="IR7" s="323"/>
      <c r="IS7" s="323" t="s">
        <v>309</v>
      </c>
      <c r="IT7" s="323"/>
      <c r="IU7" s="323"/>
      <c r="IV7" s="323"/>
      <c r="IW7" s="323"/>
      <c r="IX7" s="323"/>
      <c r="IY7" s="323"/>
      <c r="IZ7" s="323"/>
      <c r="JA7" s="323"/>
      <c r="JB7" s="323"/>
      <c r="JC7" s="323"/>
      <c r="JD7" s="323"/>
      <c r="JE7" s="323" t="s">
        <v>309</v>
      </c>
      <c r="JF7" s="323"/>
      <c r="JG7" s="323"/>
      <c r="JH7" s="323"/>
      <c r="JI7" s="323"/>
      <c r="JJ7" s="323"/>
      <c r="JK7" s="323"/>
      <c r="JL7" s="323"/>
      <c r="JM7" s="323"/>
      <c r="JN7" s="323"/>
      <c r="JO7" s="323"/>
      <c r="JP7" s="323"/>
      <c r="JQ7" s="323" t="s">
        <v>309</v>
      </c>
      <c r="JR7" s="323"/>
      <c r="JS7" s="323"/>
      <c r="JT7" s="323"/>
      <c r="JU7" s="323"/>
      <c r="JV7" s="323"/>
      <c r="JW7" s="323"/>
      <c r="JX7" s="323"/>
      <c r="JY7" s="323"/>
      <c r="JZ7" s="323"/>
      <c r="KA7" s="323"/>
      <c r="KB7" s="323"/>
      <c r="KC7" s="323" t="s">
        <v>309</v>
      </c>
      <c r="KD7" s="323"/>
      <c r="KE7" s="323"/>
      <c r="KF7" s="323"/>
      <c r="KG7" s="323"/>
      <c r="KH7" s="323"/>
      <c r="KI7" s="323"/>
      <c r="KJ7" s="323"/>
      <c r="KK7" s="323"/>
      <c r="KL7" s="323"/>
      <c r="KM7" s="323"/>
      <c r="KN7" s="323"/>
      <c r="KO7" s="323" t="s">
        <v>309</v>
      </c>
      <c r="KP7" s="323"/>
      <c r="KQ7" s="323"/>
      <c r="KR7" s="323"/>
      <c r="KS7" s="323"/>
      <c r="KT7" s="323"/>
      <c r="KU7" s="323"/>
      <c r="KV7" s="323"/>
      <c r="KW7" s="323"/>
      <c r="KX7" s="323"/>
      <c r="KY7" s="323"/>
      <c r="KZ7" s="323"/>
      <c r="LA7" s="323" t="s">
        <v>309</v>
      </c>
      <c r="LB7" s="323"/>
      <c r="LC7" s="323"/>
      <c r="LD7" s="323"/>
      <c r="LE7" s="323"/>
      <c r="LF7" s="323"/>
      <c r="LG7" s="323"/>
      <c r="LH7" s="323"/>
      <c r="LI7" s="323"/>
      <c r="LJ7" s="323"/>
      <c r="LK7" s="323"/>
      <c r="LL7" s="323"/>
      <c r="LM7" s="323" t="s">
        <v>309</v>
      </c>
      <c r="LN7" s="323"/>
      <c r="LO7" s="323"/>
      <c r="LP7" s="323"/>
      <c r="LQ7" s="323"/>
      <c r="LR7" s="323"/>
      <c r="LS7" s="323"/>
      <c r="LT7" s="323"/>
      <c r="LU7" s="323"/>
      <c r="LV7" s="323"/>
      <c r="LW7" s="323"/>
      <c r="LX7" s="323"/>
      <c r="LY7" s="323" t="s">
        <v>309</v>
      </c>
      <c r="LZ7" s="323"/>
      <c r="MA7" s="323"/>
      <c r="MB7" s="323"/>
      <c r="MC7" s="323"/>
      <c r="MD7" s="323"/>
      <c r="ME7" s="323"/>
      <c r="MF7" s="323"/>
      <c r="MG7" s="323"/>
      <c r="MH7" s="323"/>
      <c r="MI7" s="323"/>
      <c r="MJ7" s="323"/>
      <c r="MK7" s="323" t="s">
        <v>309</v>
      </c>
      <c r="ML7" s="323"/>
      <c r="MM7" s="323"/>
      <c r="MN7" s="323"/>
      <c r="MO7" s="323"/>
      <c r="MP7" s="323"/>
      <c r="MQ7" s="323"/>
      <c r="MR7" s="323"/>
      <c r="MS7" s="323"/>
      <c r="MT7" s="323"/>
      <c r="MU7" s="323"/>
      <c r="MV7" s="323"/>
      <c r="MW7" s="323" t="s">
        <v>309</v>
      </c>
      <c r="MX7" s="323"/>
      <c r="MY7" s="323"/>
      <c r="MZ7" s="323"/>
      <c r="NA7" s="323"/>
      <c r="NB7" s="323"/>
      <c r="NC7" s="323"/>
      <c r="ND7" s="323"/>
      <c r="NE7" s="323"/>
      <c r="NF7" s="323"/>
      <c r="NG7" s="323"/>
      <c r="NH7" s="323"/>
      <c r="NI7" s="323" t="s">
        <v>309</v>
      </c>
      <c r="NJ7" s="323"/>
      <c r="NK7" s="323"/>
      <c r="NL7" s="323"/>
      <c r="NM7" s="323"/>
      <c r="NN7" s="323"/>
      <c r="NO7" s="323"/>
      <c r="NP7" s="323"/>
      <c r="NQ7" s="323"/>
      <c r="NR7" s="323"/>
      <c r="NS7" s="323"/>
      <c r="NT7" s="323"/>
      <c r="NU7" s="323" t="s">
        <v>309</v>
      </c>
      <c r="NV7" s="323"/>
      <c r="NW7" s="323"/>
      <c r="NX7" s="323"/>
      <c r="NY7" s="323"/>
      <c r="NZ7" s="323"/>
      <c r="OA7" s="323"/>
      <c r="OB7" s="323"/>
      <c r="OC7" s="323"/>
      <c r="OD7" s="323"/>
      <c r="OE7" s="323"/>
      <c r="OF7" s="323"/>
      <c r="OG7" s="323" t="s">
        <v>309</v>
      </c>
      <c r="OH7" s="323"/>
      <c r="OI7" s="323"/>
      <c r="OJ7" s="323"/>
      <c r="OK7" s="323"/>
      <c r="OL7" s="323"/>
      <c r="OM7" s="323"/>
      <c r="ON7" s="323"/>
      <c r="OO7" s="323"/>
      <c r="OP7" s="323"/>
      <c r="OQ7" s="323"/>
      <c r="OR7" s="323"/>
      <c r="OS7" s="323" t="s">
        <v>309</v>
      </c>
      <c r="OT7" s="323"/>
      <c r="OU7" s="323"/>
      <c r="OV7" s="323"/>
      <c r="OW7" s="323"/>
      <c r="OX7" s="323"/>
      <c r="OY7" s="323"/>
      <c r="OZ7" s="323"/>
      <c r="PA7" s="323"/>
      <c r="PB7" s="323"/>
      <c r="PC7" s="323"/>
      <c r="PD7" s="323"/>
      <c r="PE7" s="323" t="s">
        <v>309</v>
      </c>
      <c r="PF7" s="323"/>
      <c r="PG7" s="323"/>
      <c r="PH7" s="323"/>
      <c r="PI7" s="323"/>
      <c r="PJ7" s="323"/>
      <c r="PK7" s="323"/>
      <c r="PL7" s="323"/>
      <c r="PM7" s="323"/>
      <c r="PN7" s="323"/>
      <c r="PO7" s="323"/>
      <c r="PP7" s="323"/>
    </row>
    <row r="8" spans="1:432">
      <c r="A8" s="258" t="str">
        <f>'Class Sch'!$I$9</f>
        <v xml:space="preserve"> First Semester S.Y. 2024-2025</v>
      </c>
      <c r="B8" s="258"/>
      <c r="C8" s="258"/>
      <c r="D8" s="258"/>
      <c r="E8" s="258"/>
      <c r="F8" s="258"/>
      <c r="G8" s="258"/>
      <c r="H8" s="258"/>
      <c r="I8" s="258"/>
      <c r="J8" s="258"/>
      <c r="K8" s="258"/>
      <c r="L8" s="258"/>
      <c r="M8" s="258" t="str">
        <f>'Class Sch'!$I$9</f>
        <v xml:space="preserve"> First Semester S.Y. 2024-2025</v>
      </c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 t="str">
        <f>'Class Sch'!$I$9</f>
        <v xml:space="preserve"> First Semester S.Y. 2024-2025</v>
      </c>
      <c r="Z8" s="258"/>
      <c r="AA8" s="258"/>
      <c r="AB8" s="258"/>
      <c r="AC8" s="258"/>
      <c r="AD8" s="258"/>
      <c r="AE8" s="258"/>
      <c r="AF8" s="258"/>
      <c r="AG8" s="258"/>
      <c r="AH8" s="258"/>
      <c r="AI8" s="258"/>
      <c r="AJ8" s="258"/>
      <c r="AK8" s="258" t="str">
        <f>'Class Sch'!$I$9</f>
        <v xml:space="preserve"> First Semester S.Y. 2024-2025</v>
      </c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 t="str">
        <f>'Class Sch'!$I$9</f>
        <v xml:space="preserve"> First Semester S.Y. 2024-2025</v>
      </c>
      <c r="AX8" s="258"/>
      <c r="AY8" s="258"/>
      <c r="AZ8" s="258"/>
      <c r="BA8" s="258"/>
      <c r="BB8" s="258"/>
      <c r="BC8" s="258"/>
      <c r="BD8" s="258"/>
      <c r="BE8" s="258"/>
      <c r="BF8" s="258"/>
      <c r="BG8" s="258"/>
      <c r="BH8" s="258"/>
      <c r="BI8" s="258" t="str">
        <f>'Class Sch'!$I$9</f>
        <v xml:space="preserve"> First Semester S.Y. 2024-2025</v>
      </c>
      <c r="BJ8" s="258"/>
      <c r="BK8" s="258"/>
      <c r="BL8" s="258"/>
      <c r="BM8" s="258"/>
      <c r="BN8" s="258"/>
      <c r="BO8" s="258"/>
      <c r="BP8" s="258"/>
      <c r="BQ8" s="258"/>
      <c r="BR8" s="258"/>
      <c r="BS8" s="258"/>
      <c r="BT8" s="258"/>
      <c r="BU8" s="258" t="str">
        <f>'Class Sch'!$I$9</f>
        <v xml:space="preserve"> First Semester S.Y. 2024-2025</v>
      </c>
      <c r="BV8" s="258"/>
      <c r="BW8" s="258"/>
      <c r="BX8" s="258"/>
      <c r="BY8" s="258"/>
      <c r="BZ8" s="258"/>
      <c r="CA8" s="258"/>
      <c r="CB8" s="258"/>
      <c r="CC8" s="258"/>
      <c r="CD8" s="258"/>
      <c r="CE8" s="258"/>
      <c r="CF8" s="258"/>
      <c r="CG8" s="258" t="str">
        <f>'Class Sch'!$I$9</f>
        <v xml:space="preserve"> First Semester S.Y. 2024-2025</v>
      </c>
      <c r="CH8" s="258"/>
      <c r="CI8" s="258"/>
      <c r="CJ8" s="258"/>
      <c r="CK8" s="258"/>
      <c r="CL8" s="258"/>
      <c r="CM8" s="258"/>
      <c r="CN8" s="258"/>
      <c r="CO8" s="258"/>
      <c r="CP8" s="258"/>
      <c r="CQ8" s="258"/>
      <c r="CR8" s="258"/>
      <c r="CS8" s="258" t="str">
        <f>'Class Sch'!$I$9</f>
        <v xml:space="preserve"> First Semester S.Y. 2024-2025</v>
      </c>
      <c r="CT8" s="258"/>
      <c r="CU8" s="258"/>
      <c r="CV8" s="258"/>
      <c r="CW8" s="258"/>
      <c r="CX8" s="258"/>
      <c r="CY8" s="258"/>
      <c r="CZ8" s="258"/>
      <c r="DA8" s="258"/>
      <c r="DB8" s="258"/>
      <c r="DC8" s="258"/>
      <c r="DD8" s="258"/>
      <c r="DE8" s="258" t="str">
        <f>'Class Sch'!$I$9</f>
        <v xml:space="preserve"> First Semester S.Y. 2024-2025</v>
      </c>
      <c r="DF8" s="258"/>
      <c r="DG8" s="258"/>
      <c r="DH8" s="258"/>
      <c r="DI8" s="258"/>
      <c r="DJ8" s="258"/>
      <c r="DK8" s="258"/>
      <c r="DL8" s="258"/>
      <c r="DM8" s="258"/>
      <c r="DN8" s="258"/>
      <c r="DO8" s="258"/>
      <c r="DP8" s="258"/>
      <c r="DQ8" s="258" t="str">
        <f>'Class Sch'!$I$9</f>
        <v xml:space="preserve"> First Semester S.Y. 2024-2025</v>
      </c>
      <c r="DR8" s="258"/>
      <c r="DS8" s="258"/>
      <c r="DT8" s="258"/>
      <c r="DU8" s="258"/>
      <c r="DV8" s="258"/>
      <c r="DW8" s="258"/>
      <c r="DX8" s="258"/>
      <c r="DY8" s="258"/>
      <c r="DZ8" s="258"/>
      <c r="EA8" s="258"/>
      <c r="EB8" s="258"/>
      <c r="EC8" s="258" t="str">
        <f>'Class Sch'!$I$9</f>
        <v xml:space="preserve"> First Semester S.Y. 2024-2025</v>
      </c>
      <c r="ED8" s="258"/>
      <c r="EE8" s="258"/>
      <c r="EF8" s="258"/>
      <c r="EG8" s="258"/>
      <c r="EH8" s="258"/>
      <c r="EI8" s="258"/>
      <c r="EJ8" s="258"/>
      <c r="EK8" s="258"/>
      <c r="EL8" s="258"/>
      <c r="EM8" s="258"/>
      <c r="EN8" s="258"/>
      <c r="EO8" s="258" t="str">
        <f>'Class Sch'!$I$9</f>
        <v xml:space="preserve"> First Semester S.Y. 2024-2025</v>
      </c>
      <c r="EP8" s="258"/>
      <c r="EQ8" s="258"/>
      <c r="ER8" s="258"/>
      <c r="ES8" s="258"/>
      <c r="ET8" s="258"/>
      <c r="EU8" s="258"/>
      <c r="EV8" s="258"/>
      <c r="EW8" s="258"/>
      <c r="EX8" s="258"/>
      <c r="EY8" s="258"/>
      <c r="EZ8" s="258"/>
      <c r="FA8" s="258" t="str">
        <f>'Class Sch'!$I$9</f>
        <v xml:space="preserve"> First Semester S.Y. 2024-2025</v>
      </c>
      <c r="FB8" s="258"/>
      <c r="FC8" s="258"/>
      <c r="FD8" s="258"/>
      <c r="FE8" s="258"/>
      <c r="FF8" s="258"/>
      <c r="FG8" s="258"/>
      <c r="FH8" s="258"/>
      <c r="FI8" s="258"/>
      <c r="FJ8" s="258"/>
      <c r="FK8" s="258"/>
      <c r="FL8" s="258"/>
      <c r="FM8" s="258" t="str">
        <f>'Class Sch'!$I$9</f>
        <v xml:space="preserve"> First Semester S.Y. 2024-2025</v>
      </c>
      <c r="FN8" s="258"/>
      <c r="FO8" s="258"/>
      <c r="FP8" s="258"/>
      <c r="FQ8" s="258"/>
      <c r="FR8" s="258"/>
      <c r="FS8" s="258"/>
      <c r="FT8" s="258"/>
      <c r="FU8" s="258"/>
      <c r="FV8" s="258"/>
      <c r="FW8" s="258"/>
      <c r="FX8" s="258"/>
      <c r="FY8" s="258" t="str">
        <f>'Class Sch'!$I$9</f>
        <v xml:space="preserve"> First Semester S.Y. 2024-2025</v>
      </c>
      <c r="FZ8" s="258"/>
      <c r="GA8" s="258"/>
      <c r="GB8" s="258"/>
      <c r="GC8" s="258"/>
      <c r="GD8" s="258"/>
      <c r="GE8" s="258"/>
      <c r="GF8" s="258"/>
      <c r="GG8" s="258"/>
      <c r="GH8" s="258"/>
      <c r="GI8" s="258"/>
      <c r="GJ8" s="258"/>
      <c r="GK8" s="258" t="str">
        <f>'Class Sch'!$I$9</f>
        <v xml:space="preserve"> First Semester S.Y. 2024-2025</v>
      </c>
      <c r="GL8" s="258"/>
      <c r="GM8" s="258"/>
      <c r="GN8" s="258"/>
      <c r="GO8" s="258"/>
      <c r="GP8" s="258"/>
      <c r="GQ8" s="258"/>
      <c r="GR8" s="258"/>
      <c r="GS8" s="258"/>
      <c r="GT8" s="258"/>
      <c r="GU8" s="258"/>
      <c r="GV8" s="258"/>
      <c r="GW8" s="258" t="str">
        <f>'Class Sch'!$I$9</f>
        <v xml:space="preserve"> First Semester S.Y. 2024-2025</v>
      </c>
      <c r="GX8" s="258"/>
      <c r="GY8" s="258"/>
      <c r="GZ8" s="258"/>
      <c r="HA8" s="258"/>
      <c r="HB8" s="258"/>
      <c r="HC8" s="258"/>
      <c r="HD8" s="258"/>
      <c r="HE8" s="258"/>
      <c r="HF8" s="258"/>
      <c r="HG8" s="258"/>
      <c r="HH8" s="258"/>
      <c r="HI8" s="258" t="str">
        <f>'Class Sch'!$I$9</f>
        <v xml:space="preserve"> First Semester S.Y. 2024-2025</v>
      </c>
      <c r="HJ8" s="258"/>
      <c r="HK8" s="258"/>
      <c r="HL8" s="258"/>
      <c r="HM8" s="258"/>
      <c r="HN8" s="258"/>
      <c r="HO8" s="258"/>
      <c r="HP8" s="258"/>
      <c r="HQ8" s="258"/>
      <c r="HR8" s="258"/>
      <c r="HS8" s="258"/>
      <c r="HT8" s="258"/>
      <c r="HU8" s="258" t="str">
        <f>'Class Sch'!$I$9</f>
        <v xml:space="preserve"> First Semester S.Y. 2024-2025</v>
      </c>
      <c r="HV8" s="258"/>
      <c r="HW8" s="258"/>
      <c r="HX8" s="258"/>
      <c r="HY8" s="258"/>
      <c r="HZ8" s="258"/>
      <c r="IA8" s="258"/>
      <c r="IB8" s="258"/>
      <c r="IC8" s="258"/>
      <c r="ID8" s="258"/>
      <c r="IE8" s="258"/>
      <c r="IF8" s="258"/>
      <c r="IG8" s="258" t="str">
        <f>'Class Sch'!$I$9</f>
        <v xml:space="preserve"> First Semester S.Y. 2024-2025</v>
      </c>
      <c r="IH8" s="258"/>
      <c r="II8" s="258"/>
      <c r="IJ8" s="258"/>
      <c r="IK8" s="258"/>
      <c r="IL8" s="258"/>
      <c r="IM8" s="258"/>
      <c r="IN8" s="258"/>
      <c r="IO8" s="258"/>
      <c r="IP8" s="258"/>
      <c r="IQ8" s="258"/>
      <c r="IR8" s="258"/>
      <c r="IS8" s="258" t="str">
        <f>'Class Sch'!$I$9</f>
        <v xml:space="preserve"> First Semester S.Y. 2024-2025</v>
      </c>
      <c r="IT8" s="258"/>
      <c r="IU8" s="258"/>
      <c r="IV8" s="258"/>
      <c r="IW8" s="258"/>
      <c r="IX8" s="258"/>
      <c r="IY8" s="258"/>
      <c r="IZ8" s="258"/>
      <c r="JA8" s="258"/>
      <c r="JB8" s="258"/>
      <c r="JC8" s="258"/>
      <c r="JD8" s="258"/>
      <c r="JE8" s="258" t="str">
        <f>'Class Sch'!$I$9</f>
        <v xml:space="preserve"> First Semester S.Y. 2024-2025</v>
      </c>
      <c r="JF8" s="258"/>
      <c r="JG8" s="258"/>
      <c r="JH8" s="258"/>
      <c r="JI8" s="258"/>
      <c r="JJ8" s="258"/>
      <c r="JK8" s="258"/>
      <c r="JL8" s="258"/>
      <c r="JM8" s="258"/>
      <c r="JN8" s="258"/>
      <c r="JO8" s="258"/>
      <c r="JP8" s="258"/>
      <c r="JQ8" s="258" t="str">
        <f>'Class Sch'!$I$9</f>
        <v xml:space="preserve"> First Semester S.Y. 2024-2025</v>
      </c>
      <c r="JR8" s="258"/>
      <c r="JS8" s="258"/>
      <c r="JT8" s="258"/>
      <c r="JU8" s="258"/>
      <c r="JV8" s="258"/>
      <c r="JW8" s="258"/>
      <c r="JX8" s="258"/>
      <c r="JY8" s="258"/>
      <c r="JZ8" s="258"/>
      <c r="KA8" s="258"/>
      <c r="KB8" s="258"/>
      <c r="KC8" s="258" t="str">
        <f>'Class Sch'!$I$9</f>
        <v xml:space="preserve"> First Semester S.Y. 2024-2025</v>
      </c>
      <c r="KD8" s="258"/>
      <c r="KE8" s="258"/>
      <c r="KF8" s="258"/>
      <c r="KG8" s="258"/>
      <c r="KH8" s="258"/>
      <c r="KI8" s="258"/>
      <c r="KJ8" s="258"/>
      <c r="KK8" s="258"/>
      <c r="KL8" s="258"/>
      <c r="KM8" s="258"/>
      <c r="KN8" s="258"/>
      <c r="KO8" s="258" t="str">
        <f>'Class Sch'!$I$9</f>
        <v xml:space="preserve"> First Semester S.Y. 2024-2025</v>
      </c>
      <c r="KP8" s="258"/>
      <c r="KQ8" s="258"/>
      <c r="KR8" s="258"/>
      <c r="KS8" s="258"/>
      <c r="KT8" s="258"/>
      <c r="KU8" s="258"/>
      <c r="KV8" s="258"/>
      <c r="KW8" s="258"/>
      <c r="KX8" s="258"/>
      <c r="KY8" s="258"/>
      <c r="KZ8" s="258"/>
      <c r="LA8" s="258" t="str">
        <f>'Class Sch'!$I$9</f>
        <v xml:space="preserve"> First Semester S.Y. 2024-2025</v>
      </c>
      <c r="LB8" s="258"/>
      <c r="LC8" s="258"/>
      <c r="LD8" s="258"/>
      <c r="LE8" s="258"/>
      <c r="LF8" s="258"/>
      <c r="LG8" s="258"/>
      <c r="LH8" s="258"/>
      <c r="LI8" s="258"/>
      <c r="LJ8" s="258"/>
      <c r="LK8" s="258"/>
      <c r="LL8" s="258"/>
      <c r="LM8" s="258" t="str">
        <f>'Class Sch'!$I$9</f>
        <v xml:space="preserve"> First Semester S.Y. 2024-2025</v>
      </c>
      <c r="LN8" s="258"/>
      <c r="LO8" s="258"/>
      <c r="LP8" s="258"/>
      <c r="LQ8" s="258"/>
      <c r="LR8" s="258"/>
      <c r="LS8" s="258"/>
      <c r="LT8" s="258"/>
      <c r="LU8" s="258"/>
      <c r="LV8" s="258"/>
      <c r="LW8" s="258"/>
      <c r="LX8" s="258"/>
      <c r="LY8" s="258" t="str">
        <f>'Class Sch'!$I$9</f>
        <v xml:space="preserve"> First Semester S.Y. 2024-2025</v>
      </c>
      <c r="LZ8" s="258"/>
      <c r="MA8" s="258"/>
      <c r="MB8" s="258"/>
      <c r="MC8" s="258"/>
      <c r="MD8" s="258"/>
      <c r="ME8" s="258"/>
      <c r="MF8" s="258"/>
      <c r="MG8" s="258"/>
      <c r="MH8" s="258"/>
      <c r="MI8" s="258"/>
      <c r="MJ8" s="258"/>
      <c r="MK8" s="258" t="str">
        <f>'Class Sch'!$I$9</f>
        <v xml:space="preserve"> First Semester S.Y. 2024-2025</v>
      </c>
      <c r="ML8" s="258"/>
      <c r="MM8" s="258"/>
      <c r="MN8" s="258"/>
      <c r="MO8" s="258"/>
      <c r="MP8" s="258"/>
      <c r="MQ8" s="258"/>
      <c r="MR8" s="258"/>
      <c r="MS8" s="258"/>
      <c r="MT8" s="258"/>
      <c r="MU8" s="258"/>
      <c r="MV8" s="258"/>
      <c r="MW8" s="258" t="str">
        <f>'Class Sch'!$I$9</f>
        <v xml:space="preserve"> First Semester S.Y. 2024-2025</v>
      </c>
      <c r="MX8" s="258"/>
      <c r="MY8" s="258"/>
      <c r="MZ8" s="258"/>
      <c r="NA8" s="258"/>
      <c r="NB8" s="258"/>
      <c r="NC8" s="258"/>
      <c r="ND8" s="258"/>
      <c r="NE8" s="258"/>
      <c r="NF8" s="258"/>
      <c r="NG8" s="258"/>
      <c r="NH8" s="258"/>
      <c r="NI8" s="258" t="str">
        <f>'Class Sch'!$I$9</f>
        <v xml:space="preserve"> First Semester S.Y. 2024-2025</v>
      </c>
      <c r="NJ8" s="258"/>
      <c r="NK8" s="258"/>
      <c r="NL8" s="258"/>
      <c r="NM8" s="258"/>
      <c r="NN8" s="258"/>
      <c r="NO8" s="258"/>
      <c r="NP8" s="258"/>
      <c r="NQ8" s="258"/>
      <c r="NR8" s="258"/>
      <c r="NS8" s="258"/>
      <c r="NT8" s="258"/>
      <c r="NU8" s="258" t="str">
        <f>'Class Sch'!$I$9</f>
        <v xml:space="preserve"> First Semester S.Y. 2024-2025</v>
      </c>
      <c r="NV8" s="258"/>
      <c r="NW8" s="258"/>
      <c r="NX8" s="258"/>
      <c r="NY8" s="258"/>
      <c r="NZ8" s="258"/>
      <c r="OA8" s="258"/>
      <c r="OB8" s="258"/>
      <c r="OC8" s="258"/>
      <c r="OD8" s="258"/>
      <c r="OE8" s="258"/>
      <c r="OF8" s="258"/>
      <c r="OG8" s="258" t="str">
        <f>'Class Sch'!$I$9</f>
        <v xml:space="preserve"> First Semester S.Y. 2024-2025</v>
      </c>
      <c r="OH8" s="258"/>
      <c r="OI8" s="258"/>
      <c r="OJ8" s="258"/>
      <c r="OK8" s="258"/>
      <c r="OL8" s="258"/>
      <c r="OM8" s="258"/>
      <c r="ON8" s="258"/>
      <c r="OO8" s="258"/>
      <c r="OP8" s="258"/>
      <c r="OQ8" s="258"/>
      <c r="OR8" s="258"/>
      <c r="OS8" s="258" t="str">
        <f>'Class Sch'!$I$9</f>
        <v xml:space="preserve"> First Semester S.Y. 2024-2025</v>
      </c>
      <c r="OT8" s="258"/>
      <c r="OU8" s="258"/>
      <c r="OV8" s="258"/>
      <c r="OW8" s="258"/>
      <c r="OX8" s="258"/>
      <c r="OY8" s="258"/>
      <c r="OZ8" s="258"/>
      <c r="PA8" s="258"/>
      <c r="PB8" s="258"/>
      <c r="PC8" s="258"/>
      <c r="PD8" s="258"/>
      <c r="PE8" s="258" t="str">
        <f>'Class Sch'!$I$9</f>
        <v xml:space="preserve"> First Semester S.Y. 2024-2025</v>
      </c>
      <c r="PF8" s="258"/>
      <c r="PG8" s="258"/>
      <c r="PH8" s="258"/>
      <c r="PI8" s="258"/>
      <c r="PJ8" s="258"/>
      <c r="PK8" s="258"/>
      <c r="PL8" s="258"/>
      <c r="PM8" s="258"/>
      <c r="PN8" s="258"/>
      <c r="PO8" s="258"/>
      <c r="PP8" s="258"/>
    </row>
    <row r="9" spans="1:432">
      <c r="A9" s="1"/>
      <c r="B9" s="1"/>
      <c r="C9" s="1"/>
      <c r="D9" s="1"/>
      <c r="E9" s="1"/>
      <c r="F9" s="1"/>
      <c r="G9" s="1"/>
      <c r="H9" s="1"/>
      <c r="I9" s="1"/>
      <c r="J9" s="1"/>
      <c r="K9" s="1" t="s">
        <v>51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</row>
    <row r="10" spans="1:432">
      <c r="A10" s="326" t="s">
        <v>424</v>
      </c>
      <c r="B10" s="326"/>
      <c r="C10" s="7" t="str">
        <f>'Class Sch'!B8</f>
        <v>MAUREEN A. HIERCO</v>
      </c>
      <c r="D10" s="1"/>
      <c r="E10" s="1"/>
      <c r="F10" s="1"/>
      <c r="G10" s="1"/>
      <c r="H10" s="1"/>
      <c r="I10" s="316" t="s">
        <v>426</v>
      </c>
      <c r="J10" s="316"/>
      <c r="K10" s="316" t="s">
        <v>452</v>
      </c>
      <c r="L10" s="316"/>
      <c r="M10" s="326" t="s">
        <v>424</v>
      </c>
      <c r="N10" s="326"/>
      <c r="O10" s="7" t="str">
        <f>'Class Sch'!N8</f>
        <v>ROMARC B CORONEL</v>
      </c>
      <c r="P10" s="1"/>
      <c r="Q10" s="1"/>
      <c r="R10" s="1"/>
      <c r="S10" s="1"/>
      <c r="T10" s="1"/>
      <c r="U10" s="316" t="s">
        <v>426</v>
      </c>
      <c r="V10" s="316"/>
      <c r="W10" s="316" t="s">
        <v>453</v>
      </c>
      <c r="X10" s="316"/>
      <c r="Y10" s="326" t="s">
        <v>424</v>
      </c>
      <c r="Z10" s="326"/>
      <c r="AA10" s="7" t="str">
        <f>'Class Sch'!Z8</f>
        <v>MARIEFE M SAGNIP</v>
      </c>
      <c r="AB10" s="1"/>
      <c r="AC10" s="1"/>
      <c r="AD10" s="1"/>
      <c r="AE10" s="1"/>
      <c r="AF10" s="1"/>
      <c r="AG10" s="316" t="s">
        <v>426</v>
      </c>
      <c r="AH10" s="316"/>
      <c r="AI10" s="316" t="s">
        <v>454</v>
      </c>
      <c r="AJ10" s="316"/>
      <c r="AK10" s="326" t="s">
        <v>424</v>
      </c>
      <c r="AL10" s="326"/>
      <c r="AM10" s="7" t="str">
        <f>'Class Sch'!AL8</f>
        <v>ROMNICK T. ESTRELLA</v>
      </c>
      <c r="AN10" s="1"/>
      <c r="AO10" s="1"/>
      <c r="AP10" s="1"/>
      <c r="AQ10" s="1"/>
      <c r="AR10" s="1"/>
      <c r="AS10" s="316" t="s">
        <v>426</v>
      </c>
      <c r="AT10" s="316"/>
      <c r="AU10" s="316" t="s">
        <v>451</v>
      </c>
      <c r="AV10" s="316"/>
      <c r="AW10" s="326" t="s">
        <v>424</v>
      </c>
      <c r="AX10" s="326"/>
      <c r="AY10" s="7" t="str">
        <f>'Class Sch'!AX8</f>
        <v>ELENA MARIE A AGUILAR</v>
      </c>
      <c r="AZ10" s="1"/>
      <c r="BA10" s="1"/>
      <c r="BB10" s="1"/>
      <c r="BC10" s="1"/>
      <c r="BD10" s="1"/>
      <c r="BE10" s="316" t="s">
        <v>426</v>
      </c>
      <c r="BF10" s="316"/>
      <c r="BG10" s="316" t="s">
        <v>455</v>
      </c>
      <c r="BH10" s="316"/>
      <c r="BI10" s="326" t="s">
        <v>424</v>
      </c>
      <c r="BJ10" s="326"/>
      <c r="BK10" s="7" t="str">
        <f>'Class Sch'!BJ8</f>
        <v>MERRY CHRISTINE B. MAMAID</v>
      </c>
      <c r="BL10" s="1"/>
      <c r="BM10" s="1"/>
      <c r="BN10" s="1"/>
      <c r="BO10" s="1"/>
      <c r="BP10" s="1"/>
      <c r="BQ10" s="316" t="s">
        <v>426</v>
      </c>
      <c r="BR10" s="316"/>
      <c r="BS10" s="316" t="s">
        <v>457</v>
      </c>
      <c r="BT10" s="316"/>
      <c r="BU10" s="326" t="s">
        <v>424</v>
      </c>
      <c r="BV10" s="326"/>
      <c r="BW10" s="7" t="str">
        <f>'Class Sch'!BV8</f>
        <v>DARWIN E, REYES</v>
      </c>
      <c r="BX10" s="1"/>
      <c r="BY10" s="1"/>
      <c r="BZ10" s="1"/>
      <c r="CA10" s="1"/>
      <c r="CB10" s="1"/>
      <c r="CC10" s="316" t="s">
        <v>426</v>
      </c>
      <c r="CD10" s="316"/>
      <c r="CE10" s="316" t="s">
        <v>459</v>
      </c>
      <c r="CF10" s="316"/>
      <c r="CG10" s="326" t="s">
        <v>424</v>
      </c>
      <c r="CH10" s="326"/>
      <c r="CI10" s="7" t="str">
        <f>'Class Sch'!CH8</f>
        <v>ANGEL JOY DIANNE ALMAZAN</v>
      </c>
      <c r="CJ10" s="1"/>
      <c r="CK10" s="1"/>
      <c r="CL10" s="1"/>
      <c r="CM10" s="1"/>
      <c r="CN10" s="1"/>
      <c r="CO10" s="316" t="s">
        <v>426</v>
      </c>
      <c r="CP10" s="316"/>
      <c r="CQ10" s="316" t="s">
        <v>461</v>
      </c>
      <c r="CR10" s="316"/>
      <c r="CS10" s="326" t="s">
        <v>424</v>
      </c>
      <c r="CT10" s="326"/>
      <c r="CU10" s="7" t="str">
        <f>'Class Sch'!CT8</f>
        <v>LOVELY GRACE GUERRERO</v>
      </c>
      <c r="CV10" s="1"/>
      <c r="CW10" s="1"/>
      <c r="CX10" s="1"/>
      <c r="CY10" s="1"/>
      <c r="CZ10" s="1"/>
      <c r="DA10" s="316" t="s">
        <v>426</v>
      </c>
      <c r="DB10" s="316"/>
      <c r="DC10" s="316" t="s">
        <v>463</v>
      </c>
      <c r="DD10" s="316"/>
      <c r="DE10" s="326" t="s">
        <v>424</v>
      </c>
      <c r="DF10" s="326"/>
      <c r="DG10" s="7" t="str">
        <f>'Class Sch'!DF8</f>
        <v>REALINE S VALDEZ</v>
      </c>
      <c r="DH10" s="1"/>
      <c r="DI10" s="1"/>
      <c r="DJ10" s="1"/>
      <c r="DK10" s="1"/>
      <c r="DL10" s="1"/>
      <c r="DM10" s="316" t="s">
        <v>426</v>
      </c>
      <c r="DN10" s="316"/>
      <c r="DO10" s="316" t="s">
        <v>465</v>
      </c>
      <c r="DP10" s="316"/>
      <c r="DQ10" s="326" t="s">
        <v>424</v>
      </c>
      <c r="DR10" s="326"/>
      <c r="DS10" s="7" t="str">
        <f>'Class Sch'!DR8</f>
        <v>TERESITA N. MANIQUIZ</v>
      </c>
      <c r="DT10" s="1"/>
      <c r="DU10" s="1"/>
      <c r="DV10" s="1"/>
      <c r="DW10" s="1"/>
      <c r="DX10" s="1"/>
      <c r="DY10" s="316" t="s">
        <v>426</v>
      </c>
      <c r="DZ10" s="316"/>
      <c r="EA10" s="316" t="s">
        <v>467</v>
      </c>
      <c r="EB10" s="316"/>
      <c r="EC10" s="326" t="s">
        <v>424</v>
      </c>
      <c r="ED10" s="326"/>
      <c r="EE10" s="7" t="str">
        <f>'Class Sch'!B47</f>
        <v>HAROLD A BARTOLOME,Ph,D,</v>
      </c>
      <c r="EF10" s="1"/>
      <c r="EG10" s="1"/>
      <c r="EH10" s="1"/>
      <c r="EI10" s="1"/>
      <c r="EJ10" s="1"/>
      <c r="EK10" s="316" t="s">
        <v>426</v>
      </c>
      <c r="EL10" s="316"/>
      <c r="EM10" s="316" t="s">
        <v>485</v>
      </c>
      <c r="EN10" s="316"/>
      <c r="EO10" s="326" t="s">
        <v>424</v>
      </c>
      <c r="EP10" s="326"/>
      <c r="EQ10" s="7" t="str">
        <f>'Class Sch'!N47</f>
        <v>EDISON V. ORGIL</v>
      </c>
      <c r="ER10" s="1"/>
      <c r="ES10" s="1"/>
      <c r="ET10" s="1"/>
      <c r="EU10" s="1"/>
      <c r="EV10" s="1"/>
      <c r="EW10" s="316" t="s">
        <v>426</v>
      </c>
      <c r="EX10" s="316"/>
      <c r="EY10" s="316" t="s">
        <v>486</v>
      </c>
      <c r="EZ10" s="316"/>
      <c r="FA10" s="326" t="s">
        <v>424</v>
      </c>
      <c r="FB10" s="326"/>
      <c r="FC10" s="7" t="str">
        <f>'Class Sch'!Z47</f>
        <v>FERDINAND A SARMIENTO</v>
      </c>
      <c r="FD10" s="1"/>
      <c r="FE10" s="1"/>
      <c r="FF10" s="1"/>
      <c r="FG10" s="1"/>
      <c r="FH10" s="1"/>
      <c r="FI10" s="316" t="s">
        <v>426</v>
      </c>
      <c r="FJ10" s="316"/>
      <c r="FK10" s="316" t="s">
        <v>487</v>
      </c>
      <c r="FL10" s="316"/>
      <c r="FM10" s="326" t="s">
        <v>424</v>
      </c>
      <c r="FN10" s="326"/>
      <c r="FO10" s="7" t="str">
        <f>'Class Sch'!AL47</f>
        <v>HANNAH JHANE C ALMADIN</v>
      </c>
      <c r="FP10" s="1"/>
      <c r="FQ10" s="1"/>
      <c r="FR10" s="1"/>
      <c r="FS10" s="1"/>
      <c r="FT10" s="1"/>
      <c r="FU10" s="316" t="s">
        <v>426</v>
      </c>
      <c r="FV10" s="316"/>
      <c r="FW10" s="316" t="s">
        <v>488</v>
      </c>
      <c r="FX10" s="316"/>
      <c r="FY10" s="326" t="s">
        <v>424</v>
      </c>
      <c r="FZ10" s="326"/>
      <c r="GA10" s="7" t="str">
        <f>'Class Sch'!AX47</f>
        <v>IMEEE R PASCUA</v>
      </c>
      <c r="GB10" s="1"/>
      <c r="GC10" s="1"/>
      <c r="GD10" s="1"/>
      <c r="GE10" s="1"/>
      <c r="GF10" s="1"/>
      <c r="GG10" s="316" t="s">
        <v>426</v>
      </c>
      <c r="GH10" s="316"/>
      <c r="GI10" s="316" t="s">
        <v>489</v>
      </c>
      <c r="GJ10" s="316"/>
      <c r="GK10" s="326" t="s">
        <v>424</v>
      </c>
      <c r="GL10" s="326"/>
      <c r="GM10" s="7" t="str">
        <f>'Class Sch'!BJ47</f>
        <v>RICHARD T CARILLO</v>
      </c>
      <c r="GN10" s="1"/>
      <c r="GO10" s="1"/>
      <c r="GP10" s="1"/>
      <c r="GQ10" s="1"/>
      <c r="GR10" s="1"/>
      <c r="GS10" s="316" t="s">
        <v>426</v>
      </c>
      <c r="GT10" s="316"/>
      <c r="GU10" s="316" t="s">
        <v>490</v>
      </c>
      <c r="GV10" s="316"/>
      <c r="GW10" s="326" t="s">
        <v>424</v>
      </c>
      <c r="GX10" s="326"/>
      <c r="GY10" s="7" t="str">
        <f>'Class Sch'!BV47</f>
        <v>IRENEO L DE LEON</v>
      </c>
      <c r="GZ10" s="1"/>
      <c r="HA10" s="1"/>
      <c r="HB10" s="1"/>
      <c r="HC10" s="1"/>
      <c r="HD10" s="1"/>
      <c r="HE10" s="316" t="s">
        <v>426</v>
      </c>
      <c r="HF10" s="316"/>
      <c r="HG10" s="316" t="s">
        <v>492</v>
      </c>
      <c r="HH10" s="316"/>
      <c r="HI10" s="326" t="s">
        <v>424</v>
      </c>
      <c r="HJ10" s="326"/>
      <c r="HK10" s="7" t="str">
        <f>'Class Sch'!CH47</f>
        <v>RAYMOND DL MERCADO</v>
      </c>
      <c r="HL10" s="1"/>
      <c r="HM10" s="1"/>
      <c r="HN10" s="1"/>
      <c r="HO10" s="1"/>
      <c r="HP10" s="1"/>
      <c r="HQ10" s="316" t="s">
        <v>426</v>
      </c>
      <c r="HR10" s="316"/>
      <c r="HS10" s="316" t="s">
        <v>494</v>
      </c>
      <c r="HT10" s="316"/>
      <c r="HU10" s="326" t="s">
        <v>424</v>
      </c>
      <c r="HV10" s="326"/>
      <c r="HW10" s="7" t="str">
        <f>'Class Sch'!CT47</f>
        <v>VICTORINO B DOMINGO</v>
      </c>
      <c r="HX10" s="1"/>
      <c r="HY10" s="1"/>
      <c r="HZ10" s="1"/>
      <c r="IA10" s="1"/>
      <c r="IB10" s="1"/>
      <c r="IC10" s="316" t="s">
        <v>426</v>
      </c>
      <c r="ID10" s="316"/>
      <c r="IE10" s="316" t="s">
        <v>495</v>
      </c>
      <c r="IF10" s="316"/>
      <c r="IG10" s="326" t="s">
        <v>424</v>
      </c>
      <c r="IH10" s="326"/>
      <c r="II10" s="7" t="str">
        <f>'Class Sch'!DF47</f>
        <v>JOY P GARDOCE</v>
      </c>
      <c r="IJ10" s="1"/>
      <c r="IK10" s="1"/>
      <c r="IL10" s="1"/>
      <c r="IM10" s="1"/>
      <c r="IN10" s="1"/>
      <c r="IO10" s="316" t="s">
        <v>426</v>
      </c>
      <c r="IP10" s="316"/>
      <c r="IQ10" s="316" t="s">
        <v>496</v>
      </c>
      <c r="IR10" s="316"/>
      <c r="IS10" s="326" t="s">
        <v>424</v>
      </c>
      <c r="IT10" s="326"/>
      <c r="IU10" s="7" t="s">
        <v>283</v>
      </c>
      <c r="IV10" s="1"/>
      <c r="IW10" s="1"/>
      <c r="IX10" s="1"/>
      <c r="IY10" s="1"/>
      <c r="IZ10" s="1"/>
      <c r="JA10" s="316" t="s">
        <v>426</v>
      </c>
      <c r="JB10" s="316"/>
      <c r="JC10" s="316" t="s">
        <v>469</v>
      </c>
      <c r="JD10" s="316"/>
      <c r="JE10" s="326" t="s">
        <v>424</v>
      </c>
      <c r="JF10" s="326"/>
      <c r="JG10" s="7" t="s">
        <v>508</v>
      </c>
      <c r="JH10" s="1"/>
      <c r="JI10" s="1"/>
      <c r="JJ10" s="1"/>
      <c r="JK10" s="1"/>
      <c r="JL10" s="1"/>
      <c r="JM10" s="316" t="s">
        <v>509</v>
      </c>
      <c r="JN10" s="316"/>
      <c r="JO10" s="316" t="s">
        <v>485</v>
      </c>
      <c r="JP10" s="316"/>
      <c r="JQ10" s="326" t="s">
        <v>424</v>
      </c>
      <c r="JR10" s="326"/>
      <c r="JS10" s="7" t="s">
        <v>510</v>
      </c>
      <c r="JT10" s="1"/>
      <c r="JU10" s="1"/>
      <c r="JV10" s="1"/>
      <c r="JW10" s="1"/>
      <c r="JX10" s="1"/>
      <c r="JY10" s="316" t="s">
        <v>509</v>
      </c>
      <c r="JZ10" s="316"/>
      <c r="KA10" s="316" t="s">
        <v>495</v>
      </c>
      <c r="KB10" s="316"/>
      <c r="KC10" s="326" t="s">
        <v>424</v>
      </c>
      <c r="KD10" s="326"/>
      <c r="KE10" s="7" t="s">
        <v>511</v>
      </c>
      <c r="KF10" s="1"/>
      <c r="KG10" s="1"/>
      <c r="KH10" s="1"/>
      <c r="KI10" s="1"/>
      <c r="KJ10" s="1"/>
      <c r="KK10" s="316" t="s">
        <v>509</v>
      </c>
      <c r="KL10" s="316"/>
      <c r="KM10" s="316" t="s">
        <v>465</v>
      </c>
      <c r="KN10" s="316"/>
      <c r="KO10" s="326" t="s">
        <v>424</v>
      </c>
      <c r="KP10" s="326"/>
      <c r="KQ10" s="7" t="s">
        <v>514</v>
      </c>
      <c r="KR10" s="1"/>
      <c r="KS10" s="1"/>
      <c r="KT10" s="1"/>
      <c r="KU10" s="1"/>
      <c r="KV10" s="1"/>
      <c r="KW10" s="316" t="s">
        <v>509</v>
      </c>
      <c r="KX10" s="316"/>
      <c r="KY10" s="316" t="s">
        <v>490</v>
      </c>
      <c r="KZ10" s="316"/>
      <c r="LA10" s="326" t="s">
        <v>424</v>
      </c>
      <c r="LB10" s="326"/>
      <c r="LC10" s="7"/>
      <c r="LD10" s="1"/>
      <c r="LE10" s="1"/>
      <c r="LF10" s="1"/>
      <c r="LG10" s="1"/>
      <c r="LH10" s="1"/>
      <c r="LI10" s="316" t="s">
        <v>426</v>
      </c>
      <c r="LJ10" s="316"/>
      <c r="LK10" s="316"/>
      <c r="LL10" s="316"/>
      <c r="LM10" s="326" t="s">
        <v>424</v>
      </c>
      <c r="LN10" s="326"/>
      <c r="LO10" s="7"/>
      <c r="LP10" s="1"/>
      <c r="LQ10" s="1"/>
      <c r="LR10" s="1"/>
      <c r="LS10" s="1"/>
      <c r="LT10" s="1"/>
      <c r="LU10" s="316" t="s">
        <v>426</v>
      </c>
      <c r="LV10" s="316"/>
      <c r="LW10" s="316"/>
      <c r="LX10" s="316"/>
      <c r="LY10" s="326" t="s">
        <v>424</v>
      </c>
      <c r="LZ10" s="326"/>
      <c r="MA10" s="7"/>
      <c r="MB10" s="1"/>
      <c r="MC10" s="1"/>
      <c r="MD10" s="1"/>
      <c r="ME10" s="1"/>
      <c r="MF10" s="1"/>
      <c r="MG10" s="316" t="s">
        <v>426</v>
      </c>
      <c r="MH10" s="316"/>
      <c r="MI10" s="316"/>
      <c r="MJ10" s="316"/>
      <c r="MK10" s="326" t="s">
        <v>424</v>
      </c>
      <c r="ML10" s="326"/>
      <c r="MM10" s="7"/>
      <c r="MN10" s="1"/>
      <c r="MO10" s="1"/>
      <c r="MP10" s="1"/>
      <c r="MQ10" s="1"/>
      <c r="MR10" s="1"/>
      <c r="MS10" s="316" t="s">
        <v>426</v>
      </c>
      <c r="MT10" s="316"/>
      <c r="MU10" s="316"/>
      <c r="MV10" s="316"/>
      <c r="MW10" s="326" t="s">
        <v>424</v>
      </c>
      <c r="MX10" s="326"/>
      <c r="MY10" s="7"/>
      <c r="MZ10" s="1"/>
      <c r="NA10" s="1"/>
      <c r="NB10" s="1"/>
      <c r="NC10" s="1"/>
      <c r="ND10" s="1"/>
      <c r="NE10" s="316" t="s">
        <v>426</v>
      </c>
      <c r="NF10" s="316"/>
      <c r="NG10" s="316"/>
      <c r="NH10" s="316"/>
      <c r="NI10" s="326" t="s">
        <v>424</v>
      </c>
      <c r="NJ10" s="326"/>
      <c r="NK10" s="7"/>
      <c r="NL10" s="1"/>
      <c r="NM10" s="1"/>
      <c r="NN10" s="1"/>
      <c r="NO10" s="1"/>
      <c r="NP10" s="1"/>
      <c r="NQ10" s="316" t="s">
        <v>426</v>
      </c>
      <c r="NR10" s="316"/>
      <c r="NS10" s="316"/>
      <c r="NT10" s="316"/>
      <c r="NU10" s="326" t="s">
        <v>424</v>
      </c>
      <c r="NV10" s="326"/>
      <c r="NW10" s="7"/>
      <c r="NX10" s="1"/>
      <c r="NY10" s="1"/>
      <c r="NZ10" s="1"/>
      <c r="OA10" s="1"/>
      <c r="OB10" s="1"/>
      <c r="OC10" s="316" t="s">
        <v>426</v>
      </c>
      <c r="OD10" s="316"/>
      <c r="OE10" s="316"/>
      <c r="OF10" s="316"/>
      <c r="OG10" s="326" t="s">
        <v>424</v>
      </c>
      <c r="OH10" s="326"/>
      <c r="OI10" s="7"/>
      <c r="OJ10" s="1"/>
      <c r="OK10" s="1"/>
      <c r="OL10" s="1"/>
      <c r="OM10" s="1"/>
      <c r="ON10" s="1"/>
      <c r="OO10" s="316" t="s">
        <v>426</v>
      </c>
      <c r="OP10" s="316"/>
      <c r="OQ10" s="316"/>
      <c r="OR10" s="316"/>
      <c r="OS10" s="326" t="s">
        <v>424</v>
      </c>
      <c r="OT10" s="326"/>
      <c r="OU10" s="7"/>
      <c r="OV10" s="1"/>
      <c r="OW10" s="1"/>
      <c r="OX10" s="1"/>
      <c r="OY10" s="1"/>
      <c r="OZ10" s="1"/>
      <c r="PA10" s="316" t="s">
        <v>426</v>
      </c>
      <c r="PB10" s="316"/>
      <c r="PC10" s="316"/>
      <c r="PD10" s="316"/>
      <c r="PE10" s="326" t="s">
        <v>424</v>
      </c>
      <c r="PF10" s="326"/>
      <c r="PG10" s="7"/>
      <c r="PH10" s="1"/>
      <c r="PI10" s="1"/>
      <c r="PJ10" s="1"/>
      <c r="PK10" s="1"/>
      <c r="PL10" s="1"/>
      <c r="PM10" s="316" t="s">
        <v>426</v>
      </c>
      <c r="PN10" s="316"/>
      <c r="PO10" s="316"/>
      <c r="PP10" s="316"/>
    </row>
    <row r="11" spans="1:432">
      <c r="A11" s="317" t="s">
        <v>425</v>
      </c>
      <c r="B11" s="317"/>
      <c r="C11" s="316" t="str">
        <f>'Class Sch'!B9</f>
        <v>Teacher III</v>
      </c>
      <c r="D11" s="316"/>
      <c r="E11" s="316"/>
      <c r="F11" s="316"/>
      <c r="G11" s="1"/>
      <c r="H11" s="1"/>
      <c r="I11" s="316" t="s">
        <v>224</v>
      </c>
      <c r="J11" s="316"/>
      <c r="K11" s="316" t="s">
        <v>6</v>
      </c>
      <c r="L11" s="316"/>
      <c r="M11" s="317" t="s">
        <v>425</v>
      </c>
      <c r="N11" s="317"/>
      <c r="O11" s="316" t="str">
        <f>'Class Sch'!N9</f>
        <v>Teacher III</v>
      </c>
      <c r="P11" s="316"/>
      <c r="Q11" s="316"/>
      <c r="R11" s="316"/>
      <c r="S11" s="1"/>
      <c r="T11" s="1"/>
      <c r="U11" s="316" t="s">
        <v>224</v>
      </c>
      <c r="V11" s="316"/>
      <c r="W11" s="316" t="s">
        <v>438</v>
      </c>
      <c r="X11" s="316"/>
      <c r="Y11" s="317" t="s">
        <v>425</v>
      </c>
      <c r="Z11" s="317"/>
      <c r="AA11" s="316" t="str">
        <f>'Class Sch'!Z9</f>
        <v>Teacher II</v>
      </c>
      <c r="AB11" s="316"/>
      <c r="AC11" s="316"/>
      <c r="AD11" s="316"/>
      <c r="AE11" s="1"/>
      <c r="AF11" s="1"/>
      <c r="AG11" s="316" t="s">
        <v>224</v>
      </c>
      <c r="AH11" s="316"/>
      <c r="AI11" s="316" t="s">
        <v>438</v>
      </c>
      <c r="AJ11" s="316"/>
      <c r="AK11" s="317" t="s">
        <v>425</v>
      </c>
      <c r="AL11" s="317"/>
      <c r="AM11" s="316" t="str">
        <f>'Class Sch'!AL9</f>
        <v>Teacher II</v>
      </c>
      <c r="AN11" s="316"/>
      <c r="AO11" s="316"/>
      <c r="AP11" s="316"/>
      <c r="AQ11" s="1"/>
      <c r="AR11" s="1"/>
      <c r="AS11" s="316" t="s">
        <v>224</v>
      </c>
      <c r="AT11" s="316"/>
      <c r="AU11" s="316" t="s">
        <v>438</v>
      </c>
      <c r="AV11" s="316"/>
      <c r="AW11" s="317" t="s">
        <v>425</v>
      </c>
      <c r="AX11" s="317"/>
      <c r="AY11" s="316" t="str">
        <f>'Class Sch'!AX9</f>
        <v>Teacher II</v>
      </c>
      <c r="AZ11" s="316"/>
      <c r="BA11" s="316"/>
      <c r="BB11" s="316"/>
      <c r="BC11" s="1"/>
      <c r="BD11" s="1"/>
      <c r="BE11" s="316" t="s">
        <v>224</v>
      </c>
      <c r="BF11" s="316"/>
      <c r="BG11" s="316" t="s">
        <v>438</v>
      </c>
      <c r="BH11" s="316"/>
      <c r="BI11" s="317" t="s">
        <v>425</v>
      </c>
      <c r="BJ11" s="317"/>
      <c r="BK11" s="316" t="str">
        <f>'Class Sch'!BJ9</f>
        <v>Teacher II</v>
      </c>
      <c r="BL11" s="316"/>
      <c r="BM11" s="316"/>
      <c r="BN11" s="316"/>
      <c r="BO11" s="1"/>
      <c r="BP11" s="1"/>
      <c r="BQ11" s="316" t="s">
        <v>224</v>
      </c>
      <c r="BR11" s="316"/>
      <c r="BS11" s="316" t="s">
        <v>438</v>
      </c>
      <c r="BT11" s="316"/>
      <c r="BU11" s="317" t="s">
        <v>425</v>
      </c>
      <c r="BV11" s="317"/>
      <c r="BW11" s="316" t="str">
        <f>'Class Sch'!BV9</f>
        <v>Teacher III</v>
      </c>
      <c r="BX11" s="316"/>
      <c r="BY11" s="316"/>
      <c r="BZ11" s="316"/>
      <c r="CA11" s="1"/>
      <c r="CB11" s="1"/>
      <c r="CC11" s="316" t="s">
        <v>224</v>
      </c>
      <c r="CD11" s="316"/>
      <c r="CE11" s="316" t="s">
        <v>491</v>
      </c>
      <c r="CF11" s="316"/>
      <c r="CG11" s="317" t="s">
        <v>425</v>
      </c>
      <c r="CH11" s="317"/>
      <c r="CI11" s="316" t="str">
        <f>'Class Sch'!CH9</f>
        <v>Teacher II</v>
      </c>
      <c r="CJ11" s="316"/>
      <c r="CK11" s="316"/>
      <c r="CL11" s="316"/>
      <c r="CM11" s="1"/>
      <c r="CN11" s="1"/>
      <c r="CO11" s="316" t="s">
        <v>224</v>
      </c>
      <c r="CP11" s="316"/>
      <c r="CQ11" s="316" t="s">
        <v>105</v>
      </c>
      <c r="CR11" s="316"/>
      <c r="CS11" s="317" t="s">
        <v>425</v>
      </c>
      <c r="CT11" s="317"/>
      <c r="CU11" s="316" t="str">
        <f>'Class Sch'!CT9</f>
        <v>Teacher II</v>
      </c>
      <c r="CV11" s="316"/>
      <c r="CW11" s="316"/>
      <c r="CX11" s="316"/>
      <c r="CY11" s="1"/>
      <c r="CZ11" s="1"/>
      <c r="DA11" s="316" t="s">
        <v>224</v>
      </c>
      <c r="DB11" s="316"/>
      <c r="DC11" s="316" t="s">
        <v>108</v>
      </c>
      <c r="DD11" s="316"/>
      <c r="DE11" s="317" t="s">
        <v>425</v>
      </c>
      <c r="DF11" s="317"/>
      <c r="DG11" s="316" t="str">
        <f>'Class Sch'!DF9</f>
        <v>Teacher II</v>
      </c>
      <c r="DH11" s="316"/>
      <c r="DI11" s="316"/>
      <c r="DJ11" s="316"/>
      <c r="DK11" s="1"/>
      <c r="DL11" s="1"/>
      <c r="DM11" s="316" t="s">
        <v>224</v>
      </c>
      <c r="DN11" s="316"/>
      <c r="DO11" s="316" t="s">
        <v>9</v>
      </c>
      <c r="DP11" s="316"/>
      <c r="DQ11" s="317" t="s">
        <v>425</v>
      </c>
      <c r="DR11" s="317"/>
      <c r="DS11" s="316" t="str">
        <f>'Class Sch'!DR9</f>
        <v>Teacher III</v>
      </c>
      <c r="DT11" s="316"/>
      <c r="DU11" s="316"/>
      <c r="DV11" s="316"/>
      <c r="DW11" s="1"/>
      <c r="DX11" s="1"/>
      <c r="DY11" s="316" t="s">
        <v>224</v>
      </c>
      <c r="DZ11" s="316"/>
      <c r="EA11" s="316" t="s">
        <v>10</v>
      </c>
      <c r="EB11" s="316"/>
      <c r="EC11" s="317" t="s">
        <v>425</v>
      </c>
      <c r="ED11" s="317"/>
      <c r="EE11" s="316" t="str">
        <f>'Class Sch'!B48</f>
        <v>Master Teacher I</v>
      </c>
      <c r="EF11" s="316"/>
      <c r="EG11" s="316"/>
      <c r="EH11" s="316"/>
      <c r="EI11" s="1"/>
      <c r="EJ11" s="1"/>
      <c r="EK11" s="316" t="s">
        <v>224</v>
      </c>
      <c r="EL11" s="316"/>
      <c r="EM11" s="316" t="s">
        <v>6</v>
      </c>
      <c r="EN11" s="316"/>
      <c r="EO11" s="317" t="s">
        <v>425</v>
      </c>
      <c r="EP11" s="317"/>
      <c r="EQ11" s="316" t="str">
        <f>'Class Sch'!N48</f>
        <v>Master Teacher II</v>
      </c>
      <c r="ER11" s="316"/>
      <c r="ES11" s="316"/>
      <c r="ET11" s="316"/>
      <c r="EU11" s="1"/>
      <c r="EV11" s="1"/>
      <c r="EW11" s="316" t="s">
        <v>224</v>
      </c>
      <c r="EX11" s="316"/>
      <c r="EY11" s="316" t="s">
        <v>438</v>
      </c>
      <c r="EZ11" s="316"/>
      <c r="FA11" s="317" t="s">
        <v>425</v>
      </c>
      <c r="FB11" s="317"/>
      <c r="FC11" s="316" t="str">
        <f>'Class Sch'!Z48</f>
        <v xml:space="preserve">Teacher II </v>
      </c>
      <c r="FD11" s="316"/>
      <c r="FE11" s="316"/>
      <c r="FF11" s="316"/>
      <c r="FG11" s="1"/>
      <c r="FH11" s="1"/>
      <c r="FI11" s="316" t="s">
        <v>224</v>
      </c>
      <c r="FJ11" s="316"/>
      <c r="FK11" s="316" t="s">
        <v>438</v>
      </c>
      <c r="FL11" s="316"/>
      <c r="FM11" s="317" t="s">
        <v>425</v>
      </c>
      <c r="FN11" s="317"/>
      <c r="FO11" s="316" t="str">
        <f>'Class Sch'!AL48</f>
        <v>Teacher II</v>
      </c>
      <c r="FP11" s="316"/>
      <c r="FQ11" s="316"/>
      <c r="FR11" s="316"/>
      <c r="FS11" s="1"/>
      <c r="FT11" s="1"/>
      <c r="FU11" s="316" t="s">
        <v>224</v>
      </c>
      <c r="FV11" s="316"/>
      <c r="FW11" s="316" t="s">
        <v>438</v>
      </c>
      <c r="FX11" s="316"/>
      <c r="FY11" s="317" t="s">
        <v>425</v>
      </c>
      <c r="FZ11" s="317"/>
      <c r="GA11" s="316" t="str">
        <f>'Class Sch'!AX48</f>
        <v xml:space="preserve"> Teacher II</v>
      </c>
      <c r="GB11" s="316"/>
      <c r="GC11" s="316"/>
      <c r="GD11" s="316"/>
      <c r="GE11" s="1"/>
      <c r="GF11" s="1"/>
      <c r="GG11" s="316" t="s">
        <v>224</v>
      </c>
      <c r="GH11" s="316"/>
      <c r="GI11" s="316" t="s">
        <v>438</v>
      </c>
      <c r="GJ11" s="316"/>
      <c r="GK11" s="317" t="s">
        <v>425</v>
      </c>
      <c r="GL11" s="317"/>
      <c r="GM11" s="316" t="str">
        <f>'Class Sch'!BJ48</f>
        <v>Teacher III</v>
      </c>
      <c r="GN11" s="316"/>
      <c r="GO11" s="316"/>
      <c r="GP11" s="316"/>
      <c r="GQ11" s="1"/>
      <c r="GR11" s="1"/>
      <c r="GS11" s="316" t="s">
        <v>224</v>
      </c>
      <c r="GT11" s="316"/>
      <c r="GU11" s="316" t="s">
        <v>491</v>
      </c>
      <c r="GV11" s="316"/>
      <c r="GW11" s="317" t="s">
        <v>425</v>
      </c>
      <c r="GX11" s="317"/>
      <c r="GY11" s="316" t="str">
        <f>'Class Sch'!BV48</f>
        <v>Master Teacher II</v>
      </c>
      <c r="GZ11" s="316"/>
      <c r="HA11" s="316"/>
      <c r="HB11" s="316"/>
      <c r="HC11" s="1"/>
      <c r="HD11" s="1"/>
      <c r="HE11" s="316" t="s">
        <v>224</v>
      </c>
      <c r="HF11" s="316"/>
      <c r="HG11" s="316" t="s">
        <v>493</v>
      </c>
      <c r="HH11" s="316"/>
      <c r="HI11" s="317" t="s">
        <v>425</v>
      </c>
      <c r="HJ11" s="317"/>
      <c r="HK11" s="316" t="str">
        <f>'Class Sch'!CH48</f>
        <v>Teacher II</v>
      </c>
      <c r="HL11" s="316"/>
      <c r="HM11" s="316"/>
      <c r="HN11" s="316"/>
      <c r="HO11" s="1"/>
      <c r="HP11" s="1"/>
      <c r="HQ11" s="316" t="s">
        <v>224</v>
      </c>
      <c r="HR11" s="316"/>
      <c r="HS11" s="316" t="s">
        <v>108</v>
      </c>
      <c r="HT11" s="316"/>
      <c r="HU11" s="317" t="s">
        <v>425</v>
      </c>
      <c r="HV11" s="317"/>
      <c r="HW11" s="316" t="str">
        <f>'Class Sch'!CT48</f>
        <v>Teacher III</v>
      </c>
      <c r="HX11" s="316"/>
      <c r="HY11" s="316"/>
      <c r="HZ11" s="316"/>
      <c r="IA11" s="1"/>
      <c r="IB11" s="1"/>
      <c r="IC11" s="316" t="s">
        <v>224</v>
      </c>
      <c r="ID11" s="316"/>
      <c r="IE11" s="316" t="s">
        <v>9</v>
      </c>
      <c r="IF11" s="316"/>
      <c r="IG11" s="317" t="s">
        <v>425</v>
      </c>
      <c r="IH11" s="317"/>
      <c r="II11" s="316" t="str">
        <f>'Class Sch'!DF48</f>
        <v>Teacher II</v>
      </c>
      <c r="IJ11" s="316"/>
      <c r="IK11" s="316"/>
      <c r="IL11" s="316"/>
      <c r="IM11" s="1"/>
      <c r="IN11" s="1"/>
      <c r="IO11" s="316" t="s">
        <v>224</v>
      </c>
      <c r="IP11" s="316"/>
      <c r="IQ11" s="316" t="s">
        <v>10</v>
      </c>
      <c r="IR11" s="316"/>
      <c r="IS11" s="317" t="s">
        <v>425</v>
      </c>
      <c r="IT11" s="317"/>
      <c r="IU11" s="316" t="s">
        <v>293</v>
      </c>
      <c r="IV11" s="316"/>
      <c r="IW11" s="316"/>
      <c r="IX11" s="316"/>
      <c r="IY11" s="1"/>
      <c r="IZ11" s="1"/>
      <c r="JA11" s="316" t="s">
        <v>224</v>
      </c>
      <c r="JB11" s="316"/>
      <c r="JC11" s="316" t="s">
        <v>198</v>
      </c>
      <c r="JD11" s="316"/>
      <c r="JE11" s="317" t="s">
        <v>425</v>
      </c>
      <c r="JF11" s="317"/>
      <c r="JG11" s="316" t="s">
        <v>293</v>
      </c>
      <c r="JH11" s="316"/>
      <c r="JI11" s="316"/>
      <c r="JJ11" s="316"/>
      <c r="JK11" s="1"/>
      <c r="JL11" s="1"/>
      <c r="JM11" s="316" t="s">
        <v>224</v>
      </c>
      <c r="JN11" s="316"/>
      <c r="JO11" s="316" t="s">
        <v>6</v>
      </c>
      <c r="JP11" s="316"/>
      <c r="JQ11" s="317" t="s">
        <v>425</v>
      </c>
      <c r="JR11" s="317"/>
      <c r="JS11" s="316" t="s">
        <v>293</v>
      </c>
      <c r="JT11" s="316"/>
      <c r="JU11" s="316"/>
      <c r="JV11" s="316"/>
      <c r="JW11" s="1"/>
      <c r="JX11" s="1"/>
      <c r="JY11" s="316" t="s">
        <v>224</v>
      </c>
      <c r="JZ11" s="316"/>
      <c r="KA11" s="316" t="s">
        <v>9</v>
      </c>
      <c r="KB11" s="316"/>
      <c r="KC11" s="317" t="s">
        <v>425</v>
      </c>
      <c r="KD11" s="317"/>
      <c r="KE11" s="316" t="s">
        <v>292</v>
      </c>
      <c r="KF11" s="316"/>
      <c r="KG11" s="316"/>
      <c r="KH11" s="316"/>
      <c r="KI11" s="1"/>
      <c r="KJ11" s="1"/>
      <c r="KK11" s="316" t="s">
        <v>224</v>
      </c>
      <c r="KL11" s="316"/>
      <c r="KM11" s="316" t="s">
        <v>9</v>
      </c>
      <c r="KN11" s="316"/>
      <c r="KO11" s="317" t="s">
        <v>425</v>
      </c>
      <c r="KP11" s="317"/>
      <c r="KQ11" s="316" t="s">
        <v>292</v>
      </c>
      <c r="KR11" s="316"/>
      <c r="KS11" s="316"/>
      <c r="KT11" s="316"/>
      <c r="KU11" s="1"/>
      <c r="KV11" s="1"/>
      <c r="KW11" s="316" t="s">
        <v>224</v>
      </c>
      <c r="KX11" s="316"/>
      <c r="KY11" s="316" t="s">
        <v>491</v>
      </c>
      <c r="KZ11" s="316"/>
      <c r="LA11" s="317" t="s">
        <v>425</v>
      </c>
      <c r="LB11" s="317"/>
      <c r="LC11" s="316" t="s">
        <v>293</v>
      </c>
      <c r="LD11" s="316"/>
      <c r="LE11" s="316"/>
      <c r="LF11" s="316"/>
      <c r="LG11" s="1"/>
      <c r="LH11" s="1"/>
      <c r="LI11" s="316" t="s">
        <v>224</v>
      </c>
      <c r="LJ11" s="316"/>
      <c r="LK11" s="316"/>
      <c r="LL11" s="316"/>
      <c r="LM11" s="317" t="s">
        <v>425</v>
      </c>
      <c r="LN11" s="317"/>
      <c r="LO11" s="316" t="s">
        <v>293</v>
      </c>
      <c r="LP11" s="316"/>
      <c r="LQ11" s="316"/>
      <c r="LR11" s="316"/>
      <c r="LS11" s="1"/>
      <c r="LT11" s="1"/>
      <c r="LU11" s="316" t="s">
        <v>224</v>
      </c>
      <c r="LV11" s="316"/>
      <c r="LW11" s="316"/>
      <c r="LX11" s="316"/>
      <c r="LY11" s="317" t="s">
        <v>425</v>
      </c>
      <c r="LZ11" s="317"/>
      <c r="MA11" s="316" t="s">
        <v>293</v>
      </c>
      <c r="MB11" s="316"/>
      <c r="MC11" s="316"/>
      <c r="MD11" s="316"/>
      <c r="ME11" s="1"/>
      <c r="MF11" s="1"/>
      <c r="MG11" s="316" t="s">
        <v>224</v>
      </c>
      <c r="MH11" s="316"/>
      <c r="MI11" s="316"/>
      <c r="MJ11" s="316"/>
      <c r="MK11" s="317" t="s">
        <v>425</v>
      </c>
      <c r="ML11" s="317"/>
      <c r="MM11" s="316" t="s">
        <v>293</v>
      </c>
      <c r="MN11" s="316"/>
      <c r="MO11" s="316"/>
      <c r="MP11" s="316"/>
      <c r="MQ11" s="1"/>
      <c r="MR11" s="1"/>
      <c r="MS11" s="316" t="s">
        <v>224</v>
      </c>
      <c r="MT11" s="316"/>
      <c r="MU11" s="316"/>
      <c r="MV11" s="316"/>
      <c r="MW11" s="317" t="s">
        <v>425</v>
      </c>
      <c r="MX11" s="317"/>
      <c r="MY11" s="316" t="s">
        <v>293</v>
      </c>
      <c r="MZ11" s="316"/>
      <c r="NA11" s="316"/>
      <c r="NB11" s="316"/>
      <c r="NC11" s="1"/>
      <c r="ND11" s="1"/>
      <c r="NE11" s="316" t="s">
        <v>224</v>
      </c>
      <c r="NF11" s="316"/>
      <c r="NG11" s="316"/>
      <c r="NH11" s="316"/>
      <c r="NI11" s="317" t="s">
        <v>425</v>
      </c>
      <c r="NJ11" s="317"/>
      <c r="NK11" s="316" t="s">
        <v>293</v>
      </c>
      <c r="NL11" s="316"/>
      <c r="NM11" s="316"/>
      <c r="NN11" s="316"/>
      <c r="NO11" s="1"/>
      <c r="NP11" s="1"/>
      <c r="NQ11" s="316" t="s">
        <v>224</v>
      </c>
      <c r="NR11" s="316"/>
      <c r="NS11" s="316"/>
      <c r="NT11" s="316"/>
      <c r="NU11" s="317" t="s">
        <v>425</v>
      </c>
      <c r="NV11" s="317"/>
      <c r="NW11" s="316" t="s">
        <v>293</v>
      </c>
      <c r="NX11" s="316"/>
      <c r="NY11" s="316"/>
      <c r="NZ11" s="316"/>
      <c r="OA11" s="1"/>
      <c r="OB11" s="1"/>
      <c r="OC11" s="316" t="s">
        <v>224</v>
      </c>
      <c r="OD11" s="316"/>
      <c r="OE11" s="316"/>
      <c r="OF11" s="316"/>
      <c r="OG11" s="317" t="s">
        <v>425</v>
      </c>
      <c r="OH11" s="317"/>
      <c r="OI11" s="316" t="s">
        <v>293</v>
      </c>
      <c r="OJ11" s="316"/>
      <c r="OK11" s="316"/>
      <c r="OL11" s="316"/>
      <c r="OM11" s="1"/>
      <c r="ON11" s="1"/>
      <c r="OO11" s="316" t="s">
        <v>224</v>
      </c>
      <c r="OP11" s="316"/>
      <c r="OQ11" s="316"/>
      <c r="OR11" s="316"/>
      <c r="OS11" s="317" t="s">
        <v>425</v>
      </c>
      <c r="OT11" s="317"/>
      <c r="OU11" s="316" t="s">
        <v>293</v>
      </c>
      <c r="OV11" s="316"/>
      <c r="OW11" s="316"/>
      <c r="OX11" s="316"/>
      <c r="OY11" s="1"/>
      <c r="OZ11" s="1"/>
      <c r="PA11" s="316" t="s">
        <v>224</v>
      </c>
      <c r="PB11" s="316"/>
      <c r="PC11" s="316"/>
      <c r="PD11" s="316"/>
      <c r="PE11" s="317" t="s">
        <v>425</v>
      </c>
      <c r="PF11" s="317"/>
      <c r="PG11" s="316" t="s">
        <v>293</v>
      </c>
      <c r="PH11" s="316"/>
      <c r="PI11" s="316"/>
      <c r="PJ11" s="316"/>
      <c r="PK11" s="1"/>
      <c r="PL11" s="1"/>
      <c r="PM11" s="316" t="s">
        <v>224</v>
      </c>
      <c r="PN11" s="316"/>
      <c r="PO11" s="316"/>
      <c r="PP11" s="316"/>
    </row>
    <row r="12" spans="1:432" ht="9.75" customHeight="1">
      <c r="A12" s="322"/>
      <c r="B12" s="322"/>
      <c r="C12" s="1"/>
      <c r="D12" s="1"/>
      <c r="E12" s="1"/>
      <c r="F12" s="1"/>
      <c r="G12" s="1"/>
      <c r="H12" s="1"/>
      <c r="I12" s="1"/>
      <c r="J12" s="1"/>
      <c r="K12" s="1"/>
      <c r="L12" s="1"/>
      <c r="M12" s="322"/>
      <c r="N12" s="322"/>
      <c r="O12" s="1"/>
      <c r="P12" s="1"/>
      <c r="Q12" s="1"/>
      <c r="R12" s="1"/>
      <c r="S12" s="1"/>
      <c r="T12" s="1"/>
      <c r="U12" s="1"/>
      <c r="V12" s="1"/>
      <c r="W12" s="1"/>
      <c r="X12" s="1"/>
      <c r="Y12" s="322"/>
      <c r="Z12" s="322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322"/>
      <c r="AL12" s="322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322"/>
      <c r="AX12" s="322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322"/>
      <c r="BJ12" s="322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322"/>
      <c r="BV12" s="322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322"/>
      <c r="CH12" s="322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322"/>
      <c r="CT12" s="322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322"/>
      <c r="DF12" s="322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322"/>
      <c r="DR12" s="322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322"/>
      <c r="ED12" s="322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322"/>
      <c r="EP12" s="322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322"/>
      <c r="FB12" s="322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322"/>
      <c r="FN12" s="322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322"/>
      <c r="FZ12" s="322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322"/>
      <c r="GL12" s="322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322"/>
      <c r="GX12" s="322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322"/>
      <c r="HJ12" s="322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322"/>
      <c r="HV12" s="322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322"/>
      <c r="IH12" s="322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322"/>
      <c r="IT12" s="322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322"/>
      <c r="JF12" s="322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322"/>
      <c r="JR12" s="322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322"/>
      <c r="KD12" s="322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322"/>
      <c r="KP12" s="322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322"/>
      <c r="LB12" s="322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322"/>
      <c r="LN12" s="322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322"/>
      <c r="LZ12" s="322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322"/>
      <c r="ML12" s="322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322"/>
      <c r="MX12" s="322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322"/>
      <c r="NJ12" s="322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322"/>
      <c r="NV12" s="322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322"/>
      <c r="OH12" s="322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322"/>
      <c r="OT12" s="322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322"/>
      <c r="PF12" s="322"/>
      <c r="PG12" s="1"/>
      <c r="PH12" s="1"/>
      <c r="PI12" s="1"/>
      <c r="PJ12" s="1"/>
      <c r="PK12" s="1"/>
      <c r="PL12" s="1"/>
      <c r="PM12" s="1"/>
      <c r="PN12" s="1"/>
      <c r="PO12" s="1"/>
      <c r="PP12" s="1"/>
    </row>
    <row r="13" spans="1:432" ht="15" customHeight="1">
      <c r="A13" s="285" t="s">
        <v>4</v>
      </c>
      <c r="B13" s="324" t="s">
        <v>294</v>
      </c>
      <c r="C13" s="276" t="s">
        <v>295</v>
      </c>
      <c r="D13" s="277"/>
      <c r="E13" s="276" t="s">
        <v>296</v>
      </c>
      <c r="F13" s="277"/>
      <c r="G13" s="276" t="s">
        <v>297</v>
      </c>
      <c r="H13" s="277"/>
      <c r="I13" s="276" t="s">
        <v>298</v>
      </c>
      <c r="J13" s="277"/>
      <c r="K13" s="276" t="s">
        <v>299</v>
      </c>
      <c r="L13" s="277"/>
      <c r="M13" s="285" t="s">
        <v>4</v>
      </c>
      <c r="N13" s="324" t="s">
        <v>294</v>
      </c>
      <c r="O13" s="276" t="s">
        <v>295</v>
      </c>
      <c r="P13" s="277"/>
      <c r="Q13" s="276" t="s">
        <v>296</v>
      </c>
      <c r="R13" s="277"/>
      <c r="S13" s="276" t="s">
        <v>297</v>
      </c>
      <c r="T13" s="277"/>
      <c r="U13" s="276" t="s">
        <v>298</v>
      </c>
      <c r="V13" s="277"/>
      <c r="W13" s="276" t="s">
        <v>299</v>
      </c>
      <c r="X13" s="277"/>
      <c r="Y13" s="285" t="s">
        <v>4</v>
      </c>
      <c r="Z13" s="324" t="s">
        <v>294</v>
      </c>
      <c r="AA13" s="276" t="s">
        <v>295</v>
      </c>
      <c r="AB13" s="277"/>
      <c r="AC13" s="276" t="s">
        <v>296</v>
      </c>
      <c r="AD13" s="277"/>
      <c r="AE13" s="276" t="s">
        <v>297</v>
      </c>
      <c r="AF13" s="277"/>
      <c r="AG13" s="276" t="s">
        <v>298</v>
      </c>
      <c r="AH13" s="277"/>
      <c r="AI13" s="276" t="s">
        <v>299</v>
      </c>
      <c r="AJ13" s="277"/>
      <c r="AK13" s="285" t="s">
        <v>4</v>
      </c>
      <c r="AL13" s="324" t="s">
        <v>294</v>
      </c>
      <c r="AM13" s="276" t="s">
        <v>295</v>
      </c>
      <c r="AN13" s="277"/>
      <c r="AO13" s="276" t="s">
        <v>296</v>
      </c>
      <c r="AP13" s="277"/>
      <c r="AQ13" s="276" t="s">
        <v>297</v>
      </c>
      <c r="AR13" s="277"/>
      <c r="AS13" s="276" t="s">
        <v>298</v>
      </c>
      <c r="AT13" s="277"/>
      <c r="AU13" s="276" t="s">
        <v>299</v>
      </c>
      <c r="AV13" s="277"/>
      <c r="AW13" s="285" t="s">
        <v>4</v>
      </c>
      <c r="AX13" s="324" t="s">
        <v>294</v>
      </c>
      <c r="AY13" s="276" t="s">
        <v>295</v>
      </c>
      <c r="AZ13" s="277"/>
      <c r="BA13" s="276" t="s">
        <v>296</v>
      </c>
      <c r="BB13" s="277"/>
      <c r="BC13" s="276" t="s">
        <v>297</v>
      </c>
      <c r="BD13" s="277"/>
      <c r="BE13" s="276" t="s">
        <v>298</v>
      </c>
      <c r="BF13" s="277"/>
      <c r="BG13" s="276" t="s">
        <v>299</v>
      </c>
      <c r="BH13" s="277"/>
      <c r="BI13" s="285" t="s">
        <v>4</v>
      </c>
      <c r="BJ13" s="324" t="s">
        <v>294</v>
      </c>
      <c r="BK13" s="276" t="s">
        <v>295</v>
      </c>
      <c r="BL13" s="277"/>
      <c r="BM13" s="276" t="s">
        <v>296</v>
      </c>
      <c r="BN13" s="277"/>
      <c r="BO13" s="276" t="s">
        <v>297</v>
      </c>
      <c r="BP13" s="277"/>
      <c r="BQ13" s="276" t="s">
        <v>298</v>
      </c>
      <c r="BR13" s="277"/>
      <c r="BS13" s="276" t="s">
        <v>299</v>
      </c>
      <c r="BT13" s="277"/>
      <c r="BU13" s="285" t="s">
        <v>4</v>
      </c>
      <c r="BV13" s="324" t="s">
        <v>294</v>
      </c>
      <c r="BW13" s="276" t="s">
        <v>295</v>
      </c>
      <c r="BX13" s="277"/>
      <c r="BY13" s="276" t="s">
        <v>296</v>
      </c>
      <c r="BZ13" s="277"/>
      <c r="CA13" s="276" t="s">
        <v>297</v>
      </c>
      <c r="CB13" s="277"/>
      <c r="CC13" s="276" t="s">
        <v>298</v>
      </c>
      <c r="CD13" s="277"/>
      <c r="CE13" s="276" t="s">
        <v>299</v>
      </c>
      <c r="CF13" s="277"/>
      <c r="CG13" s="285" t="s">
        <v>4</v>
      </c>
      <c r="CH13" s="324" t="s">
        <v>294</v>
      </c>
      <c r="CI13" s="276" t="s">
        <v>295</v>
      </c>
      <c r="CJ13" s="277"/>
      <c r="CK13" s="276" t="s">
        <v>296</v>
      </c>
      <c r="CL13" s="277"/>
      <c r="CM13" s="276" t="s">
        <v>297</v>
      </c>
      <c r="CN13" s="277"/>
      <c r="CO13" s="276" t="s">
        <v>298</v>
      </c>
      <c r="CP13" s="277"/>
      <c r="CQ13" s="276" t="s">
        <v>299</v>
      </c>
      <c r="CR13" s="277"/>
      <c r="CS13" s="285" t="s">
        <v>4</v>
      </c>
      <c r="CT13" s="324" t="s">
        <v>294</v>
      </c>
      <c r="CU13" s="276" t="s">
        <v>295</v>
      </c>
      <c r="CV13" s="277"/>
      <c r="CW13" s="276" t="s">
        <v>296</v>
      </c>
      <c r="CX13" s="277"/>
      <c r="CY13" s="276" t="s">
        <v>297</v>
      </c>
      <c r="CZ13" s="277"/>
      <c r="DA13" s="276" t="s">
        <v>298</v>
      </c>
      <c r="DB13" s="277"/>
      <c r="DC13" s="276" t="s">
        <v>299</v>
      </c>
      <c r="DD13" s="277"/>
      <c r="DE13" s="285" t="s">
        <v>4</v>
      </c>
      <c r="DF13" s="324" t="s">
        <v>294</v>
      </c>
      <c r="DG13" s="276" t="s">
        <v>295</v>
      </c>
      <c r="DH13" s="277"/>
      <c r="DI13" s="276" t="s">
        <v>296</v>
      </c>
      <c r="DJ13" s="277"/>
      <c r="DK13" s="276" t="s">
        <v>297</v>
      </c>
      <c r="DL13" s="277"/>
      <c r="DM13" s="276" t="s">
        <v>298</v>
      </c>
      <c r="DN13" s="277"/>
      <c r="DO13" s="276" t="s">
        <v>299</v>
      </c>
      <c r="DP13" s="277"/>
      <c r="DQ13" s="285" t="s">
        <v>4</v>
      </c>
      <c r="DR13" s="324" t="s">
        <v>294</v>
      </c>
      <c r="DS13" s="276" t="s">
        <v>295</v>
      </c>
      <c r="DT13" s="277"/>
      <c r="DU13" s="276" t="s">
        <v>296</v>
      </c>
      <c r="DV13" s="277"/>
      <c r="DW13" s="276" t="s">
        <v>297</v>
      </c>
      <c r="DX13" s="277"/>
      <c r="DY13" s="276" t="s">
        <v>298</v>
      </c>
      <c r="DZ13" s="277"/>
      <c r="EA13" s="276" t="s">
        <v>299</v>
      </c>
      <c r="EB13" s="277"/>
      <c r="EC13" s="285" t="s">
        <v>4</v>
      </c>
      <c r="ED13" s="324" t="s">
        <v>294</v>
      </c>
      <c r="EE13" s="276" t="s">
        <v>295</v>
      </c>
      <c r="EF13" s="277"/>
      <c r="EG13" s="276" t="s">
        <v>296</v>
      </c>
      <c r="EH13" s="277"/>
      <c r="EI13" s="276" t="s">
        <v>297</v>
      </c>
      <c r="EJ13" s="277"/>
      <c r="EK13" s="276" t="s">
        <v>298</v>
      </c>
      <c r="EL13" s="277"/>
      <c r="EM13" s="276" t="s">
        <v>299</v>
      </c>
      <c r="EN13" s="277"/>
      <c r="EO13" s="285" t="s">
        <v>4</v>
      </c>
      <c r="EP13" s="324" t="s">
        <v>294</v>
      </c>
      <c r="EQ13" s="276" t="s">
        <v>295</v>
      </c>
      <c r="ER13" s="277"/>
      <c r="ES13" s="276" t="s">
        <v>296</v>
      </c>
      <c r="ET13" s="277"/>
      <c r="EU13" s="276" t="s">
        <v>297</v>
      </c>
      <c r="EV13" s="277"/>
      <c r="EW13" s="276" t="s">
        <v>298</v>
      </c>
      <c r="EX13" s="277"/>
      <c r="EY13" s="276" t="s">
        <v>299</v>
      </c>
      <c r="EZ13" s="277"/>
      <c r="FA13" s="285" t="s">
        <v>4</v>
      </c>
      <c r="FB13" s="324" t="s">
        <v>294</v>
      </c>
      <c r="FC13" s="276" t="s">
        <v>295</v>
      </c>
      <c r="FD13" s="277"/>
      <c r="FE13" s="276" t="s">
        <v>296</v>
      </c>
      <c r="FF13" s="277"/>
      <c r="FG13" s="276" t="s">
        <v>297</v>
      </c>
      <c r="FH13" s="277"/>
      <c r="FI13" s="276" t="s">
        <v>298</v>
      </c>
      <c r="FJ13" s="277"/>
      <c r="FK13" s="276" t="s">
        <v>299</v>
      </c>
      <c r="FL13" s="277"/>
      <c r="FM13" s="285" t="s">
        <v>4</v>
      </c>
      <c r="FN13" s="324" t="s">
        <v>294</v>
      </c>
      <c r="FO13" s="276" t="s">
        <v>295</v>
      </c>
      <c r="FP13" s="277"/>
      <c r="FQ13" s="276" t="s">
        <v>296</v>
      </c>
      <c r="FR13" s="277"/>
      <c r="FS13" s="276" t="s">
        <v>297</v>
      </c>
      <c r="FT13" s="277"/>
      <c r="FU13" s="276" t="s">
        <v>298</v>
      </c>
      <c r="FV13" s="277"/>
      <c r="FW13" s="276" t="s">
        <v>299</v>
      </c>
      <c r="FX13" s="277"/>
      <c r="FY13" s="285" t="s">
        <v>4</v>
      </c>
      <c r="FZ13" s="324" t="s">
        <v>294</v>
      </c>
      <c r="GA13" s="276" t="s">
        <v>295</v>
      </c>
      <c r="GB13" s="277"/>
      <c r="GC13" s="276" t="s">
        <v>296</v>
      </c>
      <c r="GD13" s="277"/>
      <c r="GE13" s="276" t="s">
        <v>297</v>
      </c>
      <c r="GF13" s="277"/>
      <c r="GG13" s="276" t="s">
        <v>298</v>
      </c>
      <c r="GH13" s="277"/>
      <c r="GI13" s="276" t="s">
        <v>299</v>
      </c>
      <c r="GJ13" s="277"/>
      <c r="GK13" s="285" t="s">
        <v>4</v>
      </c>
      <c r="GL13" s="324" t="s">
        <v>294</v>
      </c>
      <c r="GM13" s="276" t="s">
        <v>295</v>
      </c>
      <c r="GN13" s="277"/>
      <c r="GO13" s="276" t="s">
        <v>296</v>
      </c>
      <c r="GP13" s="277"/>
      <c r="GQ13" s="276" t="s">
        <v>297</v>
      </c>
      <c r="GR13" s="277"/>
      <c r="GS13" s="276" t="s">
        <v>298</v>
      </c>
      <c r="GT13" s="277"/>
      <c r="GU13" s="276" t="s">
        <v>299</v>
      </c>
      <c r="GV13" s="277"/>
      <c r="GW13" s="285" t="s">
        <v>4</v>
      </c>
      <c r="GX13" s="324" t="s">
        <v>294</v>
      </c>
      <c r="GY13" s="276" t="s">
        <v>295</v>
      </c>
      <c r="GZ13" s="277"/>
      <c r="HA13" s="276" t="s">
        <v>296</v>
      </c>
      <c r="HB13" s="277"/>
      <c r="HC13" s="276" t="s">
        <v>297</v>
      </c>
      <c r="HD13" s="277"/>
      <c r="HE13" s="276" t="s">
        <v>298</v>
      </c>
      <c r="HF13" s="277"/>
      <c r="HG13" s="276" t="s">
        <v>299</v>
      </c>
      <c r="HH13" s="277"/>
      <c r="HI13" s="285" t="s">
        <v>4</v>
      </c>
      <c r="HJ13" s="324" t="s">
        <v>294</v>
      </c>
      <c r="HK13" s="276" t="s">
        <v>295</v>
      </c>
      <c r="HL13" s="277"/>
      <c r="HM13" s="276" t="s">
        <v>296</v>
      </c>
      <c r="HN13" s="277"/>
      <c r="HO13" s="276" t="s">
        <v>297</v>
      </c>
      <c r="HP13" s="277"/>
      <c r="HQ13" s="276" t="s">
        <v>298</v>
      </c>
      <c r="HR13" s="277"/>
      <c r="HS13" s="276" t="s">
        <v>299</v>
      </c>
      <c r="HT13" s="277"/>
      <c r="HU13" s="285" t="s">
        <v>4</v>
      </c>
      <c r="HV13" s="324" t="s">
        <v>294</v>
      </c>
      <c r="HW13" s="276" t="s">
        <v>295</v>
      </c>
      <c r="HX13" s="277"/>
      <c r="HY13" s="276" t="s">
        <v>296</v>
      </c>
      <c r="HZ13" s="277"/>
      <c r="IA13" s="276" t="s">
        <v>297</v>
      </c>
      <c r="IB13" s="277"/>
      <c r="IC13" s="276" t="s">
        <v>298</v>
      </c>
      <c r="ID13" s="277"/>
      <c r="IE13" s="276" t="s">
        <v>299</v>
      </c>
      <c r="IF13" s="277"/>
      <c r="IG13" s="285" t="s">
        <v>4</v>
      </c>
      <c r="IH13" s="324" t="s">
        <v>294</v>
      </c>
      <c r="II13" s="276" t="s">
        <v>295</v>
      </c>
      <c r="IJ13" s="277"/>
      <c r="IK13" s="276" t="s">
        <v>296</v>
      </c>
      <c r="IL13" s="277"/>
      <c r="IM13" s="276" t="s">
        <v>297</v>
      </c>
      <c r="IN13" s="277"/>
      <c r="IO13" s="276" t="s">
        <v>298</v>
      </c>
      <c r="IP13" s="277"/>
      <c r="IQ13" s="276" t="s">
        <v>299</v>
      </c>
      <c r="IR13" s="277"/>
      <c r="IS13" s="285" t="s">
        <v>4</v>
      </c>
      <c r="IT13" s="324" t="s">
        <v>294</v>
      </c>
      <c r="IU13" s="276" t="s">
        <v>295</v>
      </c>
      <c r="IV13" s="277"/>
      <c r="IW13" s="276" t="s">
        <v>296</v>
      </c>
      <c r="IX13" s="277"/>
      <c r="IY13" s="276" t="s">
        <v>297</v>
      </c>
      <c r="IZ13" s="277"/>
      <c r="JA13" s="276" t="s">
        <v>298</v>
      </c>
      <c r="JB13" s="277"/>
      <c r="JC13" s="276" t="s">
        <v>299</v>
      </c>
      <c r="JD13" s="277"/>
      <c r="JE13" s="285" t="s">
        <v>4</v>
      </c>
      <c r="JF13" s="324" t="s">
        <v>294</v>
      </c>
      <c r="JG13" s="276" t="s">
        <v>295</v>
      </c>
      <c r="JH13" s="277"/>
      <c r="JI13" s="276" t="s">
        <v>296</v>
      </c>
      <c r="JJ13" s="277"/>
      <c r="JK13" s="276" t="s">
        <v>297</v>
      </c>
      <c r="JL13" s="277"/>
      <c r="JM13" s="276" t="s">
        <v>298</v>
      </c>
      <c r="JN13" s="277"/>
      <c r="JO13" s="276" t="s">
        <v>299</v>
      </c>
      <c r="JP13" s="277"/>
      <c r="JQ13" s="285" t="s">
        <v>4</v>
      </c>
      <c r="JR13" s="324" t="s">
        <v>294</v>
      </c>
      <c r="JS13" s="276" t="s">
        <v>295</v>
      </c>
      <c r="JT13" s="277"/>
      <c r="JU13" s="276" t="s">
        <v>296</v>
      </c>
      <c r="JV13" s="277"/>
      <c r="JW13" s="276" t="s">
        <v>297</v>
      </c>
      <c r="JX13" s="277"/>
      <c r="JY13" s="276" t="s">
        <v>298</v>
      </c>
      <c r="JZ13" s="277"/>
      <c r="KA13" s="276" t="s">
        <v>299</v>
      </c>
      <c r="KB13" s="277"/>
      <c r="KC13" s="285" t="s">
        <v>4</v>
      </c>
      <c r="KD13" s="324" t="s">
        <v>294</v>
      </c>
      <c r="KE13" s="276" t="s">
        <v>295</v>
      </c>
      <c r="KF13" s="277"/>
      <c r="KG13" s="276" t="s">
        <v>296</v>
      </c>
      <c r="KH13" s="277"/>
      <c r="KI13" s="276" t="s">
        <v>297</v>
      </c>
      <c r="KJ13" s="277"/>
      <c r="KK13" s="276" t="s">
        <v>298</v>
      </c>
      <c r="KL13" s="277"/>
      <c r="KM13" s="276" t="s">
        <v>299</v>
      </c>
      <c r="KN13" s="277"/>
      <c r="KO13" s="285" t="s">
        <v>4</v>
      </c>
      <c r="KP13" s="324" t="s">
        <v>294</v>
      </c>
      <c r="KQ13" s="276" t="s">
        <v>295</v>
      </c>
      <c r="KR13" s="277"/>
      <c r="KS13" s="276" t="s">
        <v>296</v>
      </c>
      <c r="KT13" s="277"/>
      <c r="KU13" s="276" t="s">
        <v>297</v>
      </c>
      <c r="KV13" s="277"/>
      <c r="KW13" s="276" t="s">
        <v>298</v>
      </c>
      <c r="KX13" s="277"/>
      <c r="KY13" s="276" t="s">
        <v>299</v>
      </c>
      <c r="KZ13" s="277"/>
      <c r="LA13" s="285" t="s">
        <v>4</v>
      </c>
      <c r="LB13" s="324" t="s">
        <v>294</v>
      </c>
      <c r="LC13" s="276" t="s">
        <v>295</v>
      </c>
      <c r="LD13" s="277"/>
      <c r="LE13" s="276" t="s">
        <v>296</v>
      </c>
      <c r="LF13" s="277"/>
      <c r="LG13" s="276" t="s">
        <v>297</v>
      </c>
      <c r="LH13" s="277"/>
      <c r="LI13" s="276" t="s">
        <v>298</v>
      </c>
      <c r="LJ13" s="277"/>
      <c r="LK13" s="276" t="s">
        <v>299</v>
      </c>
      <c r="LL13" s="277"/>
      <c r="LM13" s="285" t="s">
        <v>4</v>
      </c>
      <c r="LN13" s="324" t="s">
        <v>294</v>
      </c>
      <c r="LO13" s="276" t="s">
        <v>295</v>
      </c>
      <c r="LP13" s="277"/>
      <c r="LQ13" s="276" t="s">
        <v>296</v>
      </c>
      <c r="LR13" s="277"/>
      <c r="LS13" s="276" t="s">
        <v>297</v>
      </c>
      <c r="LT13" s="277"/>
      <c r="LU13" s="276" t="s">
        <v>298</v>
      </c>
      <c r="LV13" s="277"/>
      <c r="LW13" s="276" t="s">
        <v>299</v>
      </c>
      <c r="LX13" s="277"/>
      <c r="LY13" s="285" t="s">
        <v>4</v>
      </c>
      <c r="LZ13" s="324" t="s">
        <v>294</v>
      </c>
      <c r="MA13" s="276" t="s">
        <v>295</v>
      </c>
      <c r="MB13" s="277"/>
      <c r="MC13" s="276" t="s">
        <v>296</v>
      </c>
      <c r="MD13" s="277"/>
      <c r="ME13" s="276" t="s">
        <v>297</v>
      </c>
      <c r="MF13" s="277"/>
      <c r="MG13" s="276" t="s">
        <v>298</v>
      </c>
      <c r="MH13" s="277"/>
      <c r="MI13" s="276" t="s">
        <v>299</v>
      </c>
      <c r="MJ13" s="277"/>
      <c r="MK13" s="285" t="s">
        <v>4</v>
      </c>
      <c r="ML13" s="324" t="s">
        <v>294</v>
      </c>
      <c r="MM13" s="276" t="s">
        <v>295</v>
      </c>
      <c r="MN13" s="277"/>
      <c r="MO13" s="276" t="s">
        <v>296</v>
      </c>
      <c r="MP13" s="277"/>
      <c r="MQ13" s="276" t="s">
        <v>297</v>
      </c>
      <c r="MR13" s="277"/>
      <c r="MS13" s="276" t="s">
        <v>298</v>
      </c>
      <c r="MT13" s="277"/>
      <c r="MU13" s="276" t="s">
        <v>299</v>
      </c>
      <c r="MV13" s="277"/>
      <c r="MW13" s="285" t="s">
        <v>4</v>
      </c>
      <c r="MX13" s="324" t="s">
        <v>294</v>
      </c>
      <c r="MY13" s="276" t="s">
        <v>295</v>
      </c>
      <c r="MZ13" s="277"/>
      <c r="NA13" s="276" t="s">
        <v>296</v>
      </c>
      <c r="NB13" s="277"/>
      <c r="NC13" s="276" t="s">
        <v>297</v>
      </c>
      <c r="ND13" s="277"/>
      <c r="NE13" s="276" t="s">
        <v>298</v>
      </c>
      <c r="NF13" s="277"/>
      <c r="NG13" s="276" t="s">
        <v>299</v>
      </c>
      <c r="NH13" s="277"/>
      <c r="NI13" s="285" t="s">
        <v>4</v>
      </c>
      <c r="NJ13" s="324" t="s">
        <v>294</v>
      </c>
      <c r="NK13" s="276" t="s">
        <v>295</v>
      </c>
      <c r="NL13" s="277"/>
      <c r="NM13" s="276" t="s">
        <v>296</v>
      </c>
      <c r="NN13" s="277"/>
      <c r="NO13" s="276" t="s">
        <v>297</v>
      </c>
      <c r="NP13" s="277"/>
      <c r="NQ13" s="276" t="s">
        <v>298</v>
      </c>
      <c r="NR13" s="277"/>
      <c r="NS13" s="276" t="s">
        <v>299</v>
      </c>
      <c r="NT13" s="277"/>
      <c r="NU13" s="285" t="s">
        <v>4</v>
      </c>
      <c r="NV13" s="324" t="s">
        <v>294</v>
      </c>
      <c r="NW13" s="276" t="s">
        <v>295</v>
      </c>
      <c r="NX13" s="277"/>
      <c r="NY13" s="276" t="s">
        <v>296</v>
      </c>
      <c r="NZ13" s="277"/>
      <c r="OA13" s="276" t="s">
        <v>297</v>
      </c>
      <c r="OB13" s="277"/>
      <c r="OC13" s="276" t="s">
        <v>298</v>
      </c>
      <c r="OD13" s="277"/>
      <c r="OE13" s="276" t="s">
        <v>299</v>
      </c>
      <c r="OF13" s="277"/>
      <c r="OG13" s="285" t="s">
        <v>4</v>
      </c>
      <c r="OH13" s="324" t="s">
        <v>294</v>
      </c>
      <c r="OI13" s="276" t="s">
        <v>295</v>
      </c>
      <c r="OJ13" s="277"/>
      <c r="OK13" s="276" t="s">
        <v>296</v>
      </c>
      <c r="OL13" s="277"/>
      <c r="OM13" s="276" t="s">
        <v>297</v>
      </c>
      <c r="ON13" s="277"/>
      <c r="OO13" s="276" t="s">
        <v>298</v>
      </c>
      <c r="OP13" s="277"/>
      <c r="OQ13" s="276" t="s">
        <v>299</v>
      </c>
      <c r="OR13" s="277"/>
      <c r="OS13" s="285" t="s">
        <v>4</v>
      </c>
      <c r="OT13" s="324" t="s">
        <v>294</v>
      </c>
      <c r="OU13" s="276" t="s">
        <v>295</v>
      </c>
      <c r="OV13" s="277"/>
      <c r="OW13" s="276" t="s">
        <v>296</v>
      </c>
      <c r="OX13" s="277"/>
      <c r="OY13" s="276" t="s">
        <v>297</v>
      </c>
      <c r="OZ13" s="277"/>
      <c r="PA13" s="276" t="s">
        <v>298</v>
      </c>
      <c r="PB13" s="277"/>
      <c r="PC13" s="276" t="s">
        <v>299</v>
      </c>
      <c r="PD13" s="277"/>
      <c r="PE13" s="285" t="s">
        <v>4</v>
      </c>
      <c r="PF13" s="324" t="s">
        <v>294</v>
      </c>
      <c r="PG13" s="276" t="s">
        <v>295</v>
      </c>
      <c r="PH13" s="277"/>
      <c r="PI13" s="276" t="s">
        <v>296</v>
      </c>
      <c r="PJ13" s="277"/>
      <c r="PK13" s="276" t="s">
        <v>297</v>
      </c>
      <c r="PL13" s="277"/>
      <c r="PM13" s="276" t="s">
        <v>298</v>
      </c>
      <c r="PN13" s="277"/>
      <c r="PO13" s="276" t="s">
        <v>299</v>
      </c>
      <c r="PP13" s="277"/>
    </row>
    <row r="14" spans="1:432">
      <c r="A14" s="286"/>
      <c r="B14" s="325"/>
      <c r="C14" s="280"/>
      <c r="D14" s="281"/>
      <c r="E14" s="280"/>
      <c r="F14" s="281"/>
      <c r="G14" s="280"/>
      <c r="H14" s="281"/>
      <c r="I14" s="280"/>
      <c r="J14" s="281"/>
      <c r="K14" s="280"/>
      <c r="L14" s="281"/>
      <c r="M14" s="286"/>
      <c r="N14" s="325"/>
      <c r="O14" s="280"/>
      <c r="P14" s="281"/>
      <c r="Q14" s="280"/>
      <c r="R14" s="281"/>
      <c r="S14" s="280"/>
      <c r="T14" s="281"/>
      <c r="U14" s="280"/>
      <c r="V14" s="281"/>
      <c r="W14" s="280"/>
      <c r="X14" s="281"/>
      <c r="Y14" s="286"/>
      <c r="Z14" s="325"/>
      <c r="AA14" s="280"/>
      <c r="AB14" s="281"/>
      <c r="AC14" s="280"/>
      <c r="AD14" s="281"/>
      <c r="AE14" s="280"/>
      <c r="AF14" s="281"/>
      <c r="AG14" s="280"/>
      <c r="AH14" s="281"/>
      <c r="AI14" s="280"/>
      <c r="AJ14" s="281"/>
      <c r="AK14" s="286"/>
      <c r="AL14" s="325"/>
      <c r="AM14" s="280"/>
      <c r="AN14" s="281"/>
      <c r="AO14" s="280"/>
      <c r="AP14" s="281"/>
      <c r="AQ14" s="280"/>
      <c r="AR14" s="281"/>
      <c r="AS14" s="280"/>
      <c r="AT14" s="281"/>
      <c r="AU14" s="280"/>
      <c r="AV14" s="281"/>
      <c r="AW14" s="286"/>
      <c r="AX14" s="325"/>
      <c r="AY14" s="280"/>
      <c r="AZ14" s="281"/>
      <c r="BA14" s="280"/>
      <c r="BB14" s="281"/>
      <c r="BC14" s="280"/>
      <c r="BD14" s="281"/>
      <c r="BE14" s="280"/>
      <c r="BF14" s="281"/>
      <c r="BG14" s="280"/>
      <c r="BH14" s="281"/>
      <c r="BI14" s="286"/>
      <c r="BJ14" s="325"/>
      <c r="BK14" s="280"/>
      <c r="BL14" s="281"/>
      <c r="BM14" s="280"/>
      <c r="BN14" s="281"/>
      <c r="BO14" s="280"/>
      <c r="BP14" s="281"/>
      <c r="BQ14" s="280"/>
      <c r="BR14" s="281"/>
      <c r="BS14" s="280"/>
      <c r="BT14" s="281"/>
      <c r="BU14" s="286"/>
      <c r="BV14" s="325"/>
      <c r="BW14" s="280"/>
      <c r="BX14" s="281"/>
      <c r="BY14" s="280"/>
      <c r="BZ14" s="281"/>
      <c r="CA14" s="280"/>
      <c r="CB14" s="281"/>
      <c r="CC14" s="280"/>
      <c r="CD14" s="281"/>
      <c r="CE14" s="280"/>
      <c r="CF14" s="281"/>
      <c r="CG14" s="286"/>
      <c r="CH14" s="325"/>
      <c r="CI14" s="280"/>
      <c r="CJ14" s="281"/>
      <c r="CK14" s="280"/>
      <c r="CL14" s="281"/>
      <c r="CM14" s="280"/>
      <c r="CN14" s="281"/>
      <c r="CO14" s="280"/>
      <c r="CP14" s="281"/>
      <c r="CQ14" s="280"/>
      <c r="CR14" s="281"/>
      <c r="CS14" s="286"/>
      <c r="CT14" s="325"/>
      <c r="CU14" s="280"/>
      <c r="CV14" s="281"/>
      <c r="CW14" s="280"/>
      <c r="CX14" s="281"/>
      <c r="CY14" s="280"/>
      <c r="CZ14" s="281"/>
      <c r="DA14" s="280"/>
      <c r="DB14" s="281"/>
      <c r="DC14" s="280"/>
      <c r="DD14" s="281"/>
      <c r="DE14" s="286"/>
      <c r="DF14" s="325"/>
      <c r="DG14" s="280"/>
      <c r="DH14" s="281"/>
      <c r="DI14" s="280"/>
      <c r="DJ14" s="281"/>
      <c r="DK14" s="280"/>
      <c r="DL14" s="281"/>
      <c r="DM14" s="280"/>
      <c r="DN14" s="281"/>
      <c r="DO14" s="280"/>
      <c r="DP14" s="281"/>
      <c r="DQ14" s="286"/>
      <c r="DR14" s="325"/>
      <c r="DS14" s="280"/>
      <c r="DT14" s="281"/>
      <c r="DU14" s="280"/>
      <c r="DV14" s="281"/>
      <c r="DW14" s="280"/>
      <c r="DX14" s="281"/>
      <c r="DY14" s="280"/>
      <c r="DZ14" s="281"/>
      <c r="EA14" s="280"/>
      <c r="EB14" s="281"/>
      <c r="EC14" s="286"/>
      <c r="ED14" s="325"/>
      <c r="EE14" s="280"/>
      <c r="EF14" s="281"/>
      <c r="EG14" s="280"/>
      <c r="EH14" s="281"/>
      <c r="EI14" s="280"/>
      <c r="EJ14" s="281"/>
      <c r="EK14" s="280"/>
      <c r="EL14" s="281"/>
      <c r="EM14" s="280"/>
      <c r="EN14" s="281"/>
      <c r="EO14" s="286"/>
      <c r="EP14" s="325"/>
      <c r="EQ14" s="280"/>
      <c r="ER14" s="281"/>
      <c r="ES14" s="280"/>
      <c r="ET14" s="281"/>
      <c r="EU14" s="280"/>
      <c r="EV14" s="281"/>
      <c r="EW14" s="280"/>
      <c r="EX14" s="281"/>
      <c r="EY14" s="280"/>
      <c r="EZ14" s="281"/>
      <c r="FA14" s="286"/>
      <c r="FB14" s="325"/>
      <c r="FC14" s="280"/>
      <c r="FD14" s="281"/>
      <c r="FE14" s="280"/>
      <c r="FF14" s="281"/>
      <c r="FG14" s="280"/>
      <c r="FH14" s="281"/>
      <c r="FI14" s="280"/>
      <c r="FJ14" s="281"/>
      <c r="FK14" s="280"/>
      <c r="FL14" s="281"/>
      <c r="FM14" s="286"/>
      <c r="FN14" s="325"/>
      <c r="FO14" s="280"/>
      <c r="FP14" s="281"/>
      <c r="FQ14" s="280"/>
      <c r="FR14" s="281"/>
      <c r="FS14" s="280"/>
      <c r="FT14" s="281"/>
      <c r="FU14" s="280"/>
      <c r="FV14" s="281"/>
      <c r="FW14" s="280"/>
      <c r="FX14" s="281"/>
      <c r="FY14" s="286"/>
      <c r="FZ14" s="325"/>
      <c r="GA14" s="280"/>
      <c r="GB14" s="281"/>
      <c r="GC14" s="280"/>
      <c r="GD14" s="281"/>
      <c r="GE14" s="280"/>
      <c r="GF14" s="281"/>
      <c r="GG14" s="280"/>
      <c r="GH14" s="281"/>
      <c r="GI14" s="280"/>
      <c r="GJ14" s="281"/>
      <c r="GK14" s="286"/>
      <c r="GL14" s="325"/>
      <c r="GM14" s="280"/>
      <c r="GN14" s="281"/>
      <c r="GO14" s="280"/>
      <c r="GP14" s="281"/>
      <c r="GQ14" s="280"/>
      <c r="GR14" s="281"/>
      <c r="GS14" s="280"/>
      <c r="GT14" s="281"/>
      <c r="GU14" s="280"/>
      <c r="GV14" s="281"/>
      <c r="GW14" s="286"/>
      <c r="GX14" s="325"/>
      <c r="GY14" s="280"/>
      <c r="GZ14" s="281"/>
      <c r="HA14" s="280"/>
      <c r="HB14" s="281"/>
      <c r="HC14" s="280"/>
      <c r="HD14" s="281"/>
      <c r="HE14" s="280"/>
      <c r="HF14" s="281"/>
      <c r="HG14" s="280"/>
      <c r="HH14" s="281"/>
      <c r="HI14" s="286"/>
      <c r="HJ14" s="325"/>
      <c r="HK14" s="280"/>
      <c r="HL14" s="281"/>
      <c r="HM14" s="280"/>
      <c r="HN14" s="281"/>
      <c r="HO14" s="280"/>
      <c r="HP14" s="281"/>
      <c r="HQ14" s="280"/>
      <c r="HR14" s="281"/>
      <c r="HS14" s="280"/>
      <c r="HT14" s="281"/>
      <c r="HU14" s="286"/>
      <c r="HV14" s="325"/>
      <c r="HW14" s="280"/>
      <c r="HX14" s="281"/>
      <c r="HY14" s="280"/>
      <c r="HZ14" s="281"/>
      <c r="IA14" s="280"/>
      <c r="IB14" s="281"/>
      <c r="IC14" s="280"/>
      <c r="ID14" s="281"/>
      <c r="IE14" s="280"/>
      <c r="IF14" s="281"/>
      <c r="IG14" s="286"/>
      <c r="IH14" s="325"/>
      <c r="II14" s="280"/>
      <c r="IJ14" s="281"/>
      <c r="IK14" s="280"/>
      <c r="IL14" s="281"/>
      <c r="IM14" s="280"/>
      <c r="IN14" s="281"/>
      <c r="IO14" s="280"/>
      <c r="IP14" s="281"/>
      <c r="IQ14" s="280"/>
      <c r="IR14" s="281"/>
      <c r="IS14" s="286"/>
      <c r="IT14" s="325"/>
      <c r="IU14" s="280"/>
      <c r="IV14" s="281"/>
      <c r="IW14" s="280"/>
      <c r="IX14" s="281"/>
      <c r="IY14" s="280"/>
      <c r="IZ14" s="281"/>
      <c r="JA14" s="280"/>
      <c r="JB14" s="281"/>
      <c r="JC14" s="280"/>
      <c r="JD14" s="281"/>
      <c r="JE14" s="286"/>
      <c r="JF14" s="325"/>
      <c r="JG14" s="280"/>
      <c r="JH14" s="281"/>
      <c r="JI14" s="280"/>
      <c r="JJ14" s="281"/>
      <c r="JK14" s="280"/>
      <c r="JL14" s="281"/>
      <c r="JM14" s="280"/>
      <c r="JN14" s="281"/>
      <c r="JO14" s="280"/>
      <c r="JP14" s="281"/>
      <c r="JQ14" s="286"/>
      <c r="JR14" s="325"/>
      <c r="JS14" s="280"/>
      <c r="JT14" s="281"/>
      <c r="JU14" s="280"/>
      <c r="JV14" s="281"/>
      <c r="JW14" s="280"/>
      <c r="JX14" s="281"/>
      <c r="JY14" s="280"/>
      <c r="JZ14" s="281"/>
      <c r="KA14" s="280"/>
      <c r="KB14" s="281"/>
      <c r="KC14" s="286"/>
      <c r="KD14" s="325"/>
      <c r="KE14" s="280"/>
      <c r="KF14" s="281"/>
      <c r="KG14" s="280"/>
      <c r="KH14" s="281"/>
      <c r="KI14" s="280"/>
      <c r="KJ14" s="281"/>
      <c r="KK14" s="280"/>
      <c r="KL14" s="281"/>
      <c r="KM14" s="280"/>
      <c r="KN14" s="281"/>
      <c r="KO14" s="286"/>
      <c r="KP14" s="325"/>
      <c r="KQ14" s="280"/>
      <c r="KR14" s="281"/>
      <c r="KS14" s="280"/>
      <c r="KT14" s="281"/>
      <c r="KU14" s="280"/>
      <c r="KV14" s="281"/>
      <c r="KW14" s="280"/>
      <c r="KX14" s="281"/>
      <c r="KY14" s="280"/>
      <c r="KZ14" s="281"/>
      <c r="LA14" s="286"/>
      <c r="LB14" s="325"/>
      <c r="LC14" s="280"/>
      <c r="LD14" s="281"/>
      <c r="LE14" s="280"/>
      <c r="LF14" s="281"/>
      <c r="LG14" s="280"/>
      <c r="LH14" s="281"/>
      <c r="LI14" s="280"/>
      <c r="LJ14" s="281"/>
      <c r="LK14" s="280"/>
      <c r="LL14" s="281"/>
      <c r="LM14" s="286"/>
      <c r="LN14" s="325"/>
      <c r="LO14" s="280"/>
      <c r="LP14" s="281"/>
      <c r="LQ14" s="280"/>
      <c r="LR14" s="281"/>
      <c r="LS14" s="280"/>
      <c r="LT14" s="281"/>
      <c r="LU14" s="280"/>
      <c r="LV14" s="281"/>
      <c r="LW14" s="280"/>
      <c r="LX14" s="281"/>
      <c r="LY14" s="286"/>
      <c r="LZ14" s="325"/>
      <c r="MA14" s="280"/>
      <c r="MB14" s="281"/>
      <c r="MC14" s="280"/>
      <c r="MD14" s="281"/>
      <c r="ME14" s="280"/>
      <c r="MF14" s="281"/>
      <c r="MG14" s="280"/>
      <c r="MH14" s="281"/>
      <c r="MI14" s="280"/>
      <c r="MJ14" s="281"/>
      <c r="MK14" s="286"/>
      <c r="ML14" s="325"/>
      <c r="MM14" s="280"/>
      <c r="MN14" s="281"/>
      <c r="MO14" s="280"/>
      <c r="MP14" s="281"/>
      <c r="MQ14" s="280"/>
      <c r="MR14" s="281"/>
      <c r="MS14" s="280"/>
      <c r="MT14" s="281"/>
      <c r="MU14" s="280"/>
      <c r="MV14" s="281"/>
      <c r="MW14" s="286"/>
      <c r="MX14" s="325"/>
      <c r="MY14" s="280"/>
      <c r="MZ14" s="281"/>
      <c r="NA14" s="280"/>
      <c r="NB14" s="281"/>
      <c r="NC14" s="280"/>
      <c r="ND14" s="281"/>
      <c r="NE14" s="280"/>
      <c r="NF14" s="281"/>
      <c r="NG14" s="280"/>
      <c r="NH14" s="281"/>
      <c r="NI14" s="286"/>
      <c r="NJ14" s="325"/>
      <c r="NK14" s="280"/>
      <c r="NL14" s="281"/>
      <c r="NM14" s="280"/>
      <c r="NN14" s="281"/>
      <c r="NO14" s="280"/>
      <c r="NP14" s="281"/>
      <c r="NQ14" s="280"/>
      <c r="NR14" s="281"/>
      <c r="NS14" s="280"/>
      <c r="NT14" s="281"/>
      <c r="NU14" s="286"/>
      <c r="NV14" s="325"/>
      <c r="NW14" s="280"/>
      <c r="NX14" s="281"/>
      <c r="NY14" s="280"/>
      <c r="NZ14" s="281"/>
      <c r="OA14" s="280"/>
      <c r="OB14" s="281"/>
      <c r="OC14" s="280"/>
      <c r="OD14" s="281"/>
      <c r="OE14" s="280"/>
      <c r="OF14" s="281"/>
      <c r="OG14" s="286"/>
      <c r="OH14" s="325"/>
      <c r="OI14" s="280"/>
      <c r="OJ14" s="281"/>
      <c r="OK14" s="280"/>
      <c r="OL14" s="281"/>
      <c r="OM14" s="280"/>
      <c r="ON14" s="281"/>
      <c r="OO14" s="280"/>
      <c r="OP14" s="281"/>
      <c r="OQ14" s="280"/>
      <c r="OR14" s="281"/>
      <c r="OS14" s="286"/>
      <c r="OT14" s="325"/>
      <c r="OU14" s="280"/>
      <c r="OV14" s="281"/>
      <c r="OW14" s="280"/>
      <c r="OX14" s="281"/>
      <c r="OY14" s="280"/>
      <c r="OZ14" s="281"/>
      <c r="PA14" s="280"/>
      <c r="PB14" s="281"/>
      <c r="PC14" s="280"/>
      <c r="PD14" s="281"/>
      <c r="PE14" s="286"/>
      <c r="PF14" s="325"/>
      <c r="PG14" s="280"/>
      <c r="PH14" s="281"/>
      <c r="PI14" s="280"/>
      <c r="PJ14" s="281"/>
      <c r="PK14" s="280"/>
      <c r="PL14" s="281"/>
      <c r="PM14" s="280"/>
      <c r="PN14" s="281"/>
      <c r="PO14" s="280"/>
      <c r="PP14" s="281"/>
    </row>
    <row r="15" spans="1:432" ht="15" customHeight="1">
      <c r="A15" s="83" t="s">
        <v>331</v>
      </c>
      <c r="B15" s="55"/>
      <c r="C15" s="243" t="s">
        <v>300</v>
      </c>
      <c r="D15" s="273"/>
      <c r="E15" s="273"/>
      <c r="F15" s="273"/>
      <c r="G15" s="273"/>
      <c r="H15" s="273"/>
      <c r="I15" s="273"/>
      <c r="J15" s="273"/>
      <c r="K15" s="273"/>
      <c r="L15" s="244"/>
      <c r="M15" s="83" t="s">
        <v>331</v>
      </c>
      <c r="N15" s="55"/>
      <c r="O15" s="243" t="s">
        <v>300</v>
      </c>
      <c r="P15" s="273"/>
      <c r="Q15" s="273"/>
      <c r="R15" s="273"/>
      <c r="S15" s="273"/>
      <c r="T15" s="273"/>
      <c r="U15" s="273"/>
      <c r="V15" s="273"/>
      <c r="W15" s="273"/>
      <c r="X15" s="244"/>
      <c r="Y15" s="83" t="s">
        <v>331</v>
      </c>
      <c r="Z15" s="55"/>
      <c r="AA15" s="243" t="s">
        <v>300</v>
      </c>
      <c r="AB15" s="273"/>
      <c r="AC15" s="273"/>
      <c r="AD15" s="273"/>
      <c r="AE15" s="273"/>
      <c r="AF15" s="273"/>
      <c r="AG15" s="273"/>
      <c r="AH15" s="273"/>
      <c r="AI15" s="273"/>
      <c r="AJ15" s="244"/>
      <c r="AK15" s="83" t="s">
        <v>331</v>
      </c>
      <c r="AL15" s="55"/>
      <c r="AM15" s="243" t="s">
        <v>300</v>
      </c>
      <c r="AN15" s="273"/>
      <c r="AO15" s="273"/>
      <c r="AP15" s="273"/>
      <c r="AQ15" s="273"/>
      <c r="AR15" s="273"/>
      <c r="AS15" s="273"/>
      <c r="AT15" s="273"/>
      <c r="AU15" s="273"/>
      <c r="AV15" s="244"/>
      <c r="AW15" s="83" t="s">
        <v>331</v>
      </c>
      <c r="AX15" s="55"/>
      <c r="AY15" s="243" t="s">
        <v>300</v>
      </c>
      <c r="AZ15" s="273"/>
      <c r="BA15" s="273"/>
      <c r="BB15" s="273"/>
      <c r="BC15" s="273"/>
      <c r="BD15" s="273"/>
      <c r="BE15" s="273"/>
      <c r="BF15" s="273"/>
      <c r="BG15" s="273"/>
      <c r="BH15" s="244"/>
      <c r="BI15" s="83" t="s">
        <v>331</v>
      </c>
      <c r="BJ15" s="55"/>
      <c r="BK15" s="243" t="s">
        <v>300</v>
      </c>
      <c r="BL15" s="273"/>
      <c r="BM15" s="273"/>
      <c r="BN15" s="273"/>
      <c r="BO15" s="273"/>
      <c r="BP15" s="273"/>
      <c r="BQ15" s="273"/>
      <c r="BR15" s="273"/>
      <c r="BS15" s="273"/>
      <c r="BT15" s="244"/>
      <c r="BU15" s="83" t="s">
        <v>331</v>
      </c>
      <c r="BV15" s="55"/>
      <c r="BW15" s="243" t="s">
        <v>300</v>
      </c>
      <c r="BX15" s="273"/>
      <c r="BY15" s="273"/>
      <c r="BZ15" s="273"/>
      <c r="CA15" s="273"/>
      <c r="CB15" s="273"/>
      <c r="CC15" s="273"/>
      <c r="CD15" s="273"/>
      <c r="CE15" s="273"/>
      <c r="CF15" s="244"/>
      <c r="CG15" s="83" t="s">
        <v>331</v>
      </c>
      <c r="CH15" s="55"/>
      <c r="CI15" s="243" t="s">
        <v>300</v>
      </c>
      <c r="CJ15" s="273"/>
      <c r="CK15" s="273"/>
      <c r="CL15" s="273"/>
      <c r="CM15" s="273"/>
      <c r="CN15" s="273"/>
      <c r="CO15" s="273"/>
      <c r="CP15" s="273"/>
      <c r="CQ15" s="273"/>
      <c r="CR15" s="244"/>
      <c r="CS15" s="83" t="s">
        <v>331</v>
      </c>
      <c r="CT15" s="55"/>
      <c r="CU15" s="243" t="s">
        <v>300</v>
      </c>
      <c r="CV15" s="273"/>
      <c r="CW15" s="273"/>
      <c r="CX15" s="273"/>
      <c r="CY15" s="273"/>
      <c r="CZ15" s="273"/>
      <c r="DA15" s="273"/>
      <c r="DB15" s="273"/>
      <c r="DC15" s="273"/>
      <c r="DD15" s="244"/>
      <c r="DE15" s="83" t="s">
        <v>331</v>
      </c>
      <c r="DF15" s="55"/>
      <c r="DG15" s="243" t="s">
        <v>300</v>
      </c>
      <c r="DH15" s="273"/>
      <c r="DI15" s="273"/>
      <c r="DJ15" s="273"/>
      <c r="DK15" s="273"/>
      <c r="DL15" s="273"/>
      <c r="DM15" s="273"/>
      <c r="DN15" s="273"/>
      <c r="DO15" s="273"/>
      <c r="DP15" s="244"/>
      <c r="DQ15" s="83" t="s">
        <v>331</v>
      </c>
      <c r="DR15" s="55"/>
      <c r="DS15" s="243" t="s">
        <v>300</v>
      </c>
      <c r="DT15" s="273"/>
      <c r="DU15" s="273"/>
      <c r="DV15" s="273"/>
      <c r="DW15" s="273"/>
      <c r="DX15" s="273"/>
      <c r="DY15" s="273"/>
      <c r="DZ15" s="273"/>
      <c r="EA15" s="273"/>
      <c r="EB15" s="244"/>
      <c r="EC15" s="83" t="s">
        <v>331</v>
      </c>
      <c r="ED15" s="55"/>
      <c r="EE15" s="243" t="s">
        <v>300</v>
      </c>
      <c r="EF15" s="273"/>
      <c r="EG15" s="273"/>
      <c r="EH15" s="273"/>
      <c r="EI15" s="273"/>
      <c r="EJ15" s="273"/>
      <c r="EK15" s="273"/>
      <c r="EL15" s="273"/>
      <c r="EM15" s="273"/>
      <c r="EN15" s="244"/>
      <c r="EO15" s="83" t="s">
        <v>331</v>
      </c>
      <c r="EP15" s="55"/>
      <c r="EQ15" s="243" t="s">
        <v>300</v>
      </c>
      <c r="ER15" s="273"/>
      <c r="ES15" s="273"/>
      <c r="ET15" s="273"/>
      <c r="EU15" s="273"/>
      <c r="EV15" s="273"/>
      <c r="EW15" s="273"/>
      <c r="EX15" s="273"/>
      <c r="EY15" s="273"/>
      <c r="EZ15" s="244"/>
      <c r="FA15" s="83" t="s">
        <v>331</v>
      </c>
      <c r="FB15" s="55"/>
      <c r="FC15" s="243" t="s">
        <v>300</v>
      </c>
      <c r="FD15" s="273"/>
      <c r="FE15" s="273"/>
      <c r="FF15" s="273"/>
      <c r="FG15" s="273"/>
      <c r="FH15" s="273"/>
      <c r="FI15" s="273"/>
      <c r="FJ15" s="273"/>
      <c r="FK15" s="273"/>
      <c r="FL15" s="244"/>
      <c r="FM15" s="83" t="s">
        <v>331</v>
      </c>
      <c r="FN15" s="55"/>
      <c r="FO15" s="243" t="s">
        <v>300</v>
      </c>
      <c r="FP15" s="273"/>
      <c r="FQ15" s="273"/>
      <c r="FR15" s="273"/>
      <c r="FS15" s="273"/>
      <c r="FT15" s="273"/>
      <c r="FU15" s="273"/>
      <c r="FV15" s="273"/>
      <c r="FW15" s="273"/>
      <c r="FX15" s="244"/>
      <c r="FY15" s="83" t="s">
        <v>331</v>
      </c>
      <c r="FZ15" s="55"/>
      <c r="GA15" s="243" t="s">
        <v>300</v>
      </c>
      <c r="GB15" s="273"/>
      <c r="GC15" s="273"/>
      <c r="GD15" s="273"/>
      <c r="GE15" s="273"/>
      <c r="GF15" s="273"/>
      <c r="GG15" s="273"/>
      <c r="GH15" s="273"/>
      <c r="GI15" s="273"/>
      <c r="GJ15" s="244"/>
      <c r="GK15" s="83" t="s">
        <v>331</v>
      </c>
      <c r="GL15" s="55"/>
      <c r="GM15" s="243" t="s">
        <v>300</v>
      </c>
      <c r="GN15" s="273"/>
      <c r="GO15" s="273"/>
      <c r="GP15" s="273"/>
      <c r="GQ15" s="273"/>
      <c r="GR15" s="273"/>
      <c r="GS15" s="273"/>
      <c r="GT15" s="273"/>
      <c r="GU15" s="273"/>
      <c r="GV15" s="244"/>
      <c r="GW15" s="83" t="s">
        <v>331</v>
      </c>
      <c r="GX15" s="55"/>
      <c r="GY15" s="243" t="s">
        <v>300</v>
      </c>
      <c r="GZ15" s="273"/>
      <c r="HA15" s="273"/>
      <c r="HB15" s="273"/>
      <c r="HC15" s="273"/>
      <c r="HD15" s="273"/>
      <c r="HE15" s="273"/>
      <c r="HF15" s="273"/>
      <c r="HG15" s="273"/>
      <c r="HH15" s="244"/>
      <c r="HI15" s="83" t="s">
        <v>331</v>
      </c>
      <c r="HJ15" s="55"/>
      <c r="HK15" s="243" t="s">
        <v>300</v>
      </c>
      <c r="HL15" s="273"/>
      <c r="HM15" s="273"/>
      <c r="HN15" s="273"/>
      <c r="HO15" s="273"/>
      <c r="HP15" s="273"/>
      <c r="HQ15" s="273"/>
      <c r="HR15" s="273"/>
      <c r="HS15" s="273"/>
      <c r="HT15" s="244"/>
      <c r="HU15" s="83" t="s">
        <v>331</v>
      </c>
      <c r="HV15" s="55"/>
      <c r="HW15" s="243" t="s">
        <v>300</v>
      </c>
      <c r="HX15" s="273"/>
      <c r="HY15" s="273"/>
      <c r="HZ15" s="273"/>
      <c r="IA15" s="273"/>
      <c r="IB15" s="273"/>
      <c r="IC15" s="273"/>
      <c r="ID15" s="273"/>
      <c r="IE15" s="273"/>
      <c r="IF15" s="244"/>
      <c r="IG15" s="83" t="s">
        <v>331</v>
      </c>
      <c r="IH15" s="55"/>
      <c r="II15" s="243" t="s">
        <v>300</v>
      </c>
      <c r="IJ15" s="273"/>
      <c r="IK15" s="273"/>
      <c r="IL15" s="273"/>
      <c r="IM15" s="273"/>
      <c r="IN15" s="273"/>
      <c r="IO15" s="273"/>
      <c r="IP15" s="273"/>
      <c r="IQ15" s="273"/>
      <c r="IR15" s="244"/>
      <c r="IS15" s="83" t="s">
        <v>331</v>
      </c>
      <c r="IT15" s="55"/>
      <c r="IU15" s="243" t="s">
        <v>300</v>
      </c>
      <c r="IV15" s="273"/>
      <c r="IW15" s="273"/>
      <c r="IX15" s="273"/>
      <c r="IY15" s="273"/>
      <c r="IZ15" s="273"/>
      <c r="JA15" s="273"/>
      <c r="JB15" s="273"/>
      <c r="JC15" s="273"/>
      <c r="JD15" s="244"/>
      <c r="JE15" s="83" t="s">
        <v>331</v>
      </c>
      <c r="JF15" s="55"/>
      <c r="JG15" s="243" t="s">
        <v>300</v>
      </c>
      <c r="JH15" s="273"/>
      <c r="JI15" s="273"/>
      <c r="JJ15" s="273"/>
      <c r="JK15" s="273"/>
      <c r="JL15" s="273"/>
      <c r="JM15" s="273"/>
      <c r="JN15" s="273"/>
      <c r="JO15" s="273"/>
      <c r="JP15" s="244"/>
      <c r="JQ15" s="83" t="s">
        <v>331</v>
      </c>
      <c r="JR15" s="55"/>
      <c r="JS15" s="243" t="s">
        <v>300</v>
      </c>
      <c r="JT15" s="273"/>
      <c r="JU15" s="273"/>
      <c r="JV15" s="273"/>
      <c r="JW15" s="273"/>
      <c r="JX15" s="273"/>
      <c r="JY15" s="273"/>
      <c r="JZ15" s="273"/>
      <c r="KA15" s="273"/>
      <c r="KB15" s="244"/>
      <c r="KC15" s="83" t="s">
        <v>331</v>
      </c>
      <c r="KD15" s="55"/>
      <c r="KE15" s="243" t="s">
        <v>300</v>
      </c>
      <c r="KF15" s="273"/>
      <c r="KG15" s="273"/>
      <c r="KH15" s="273"/>
      <c r="KI15" s="273"/>
      <c r="KJ15" s="273"/>
      <c r="KK15" s="273"/>
      <c r="KL15" s="273"/>
      <c r="KM15" s="273"/>
      <c r="KN15" s="244"/>
      <c r="KO15" s="83" t="s">
        <v>331</v>
      </c>
      <c r="KP15" s="55"/>
      <c r="KQ15" s="243" t="s">
        <v>300</v>
      </c>
      <c r="KR15" s="273"/>
      <c r="KS15" s="273"/>
      <c r="KT15" s="273"/>
      <c r="KU15" s="273"/>
      <c r="KV15" s="273"/>
      <c r="KW15" s="273"/>
      <c r="KX15" s="273"/>
      <c r="KY15" s="273"/>
      <c r="KZ15" s="244"/>
      <c r="LA15" s="83" t="s">
        <v>331</v>
      </c>
      <c r="LB15" s="55"/>
      <c r="LC15" s="243" t="s">
        <v>300</v>
      </c>
      <c r="LD15" s="273"/>
      <c r="LE15" s="273"/>
      <c r="LF15" s="273"/>
      <c r="LG15" s="273"/>
      <c r="LH15" s="273"/>
      <c r="LI15" s="273"/>
      <c r="LJ15" s="273"/>
      <c r="LK15" s="273"/>
      <c r="LL15" s="244"/>
      <c r="LM15" s="83" t="s">
        <v>331</v>
      </c>
      <c r="LN15" s="55"/>
      <c r="LO15" s="243" t="s">
        <v>300</v>
      </c>
      <c r="LP15" s="273"/>
      <c r="LQ15" s="273"/>
      <c r="LR15" s="273"/>
      <c r="LS15" s="273"/>
      <c r="LT15" s="273"/>
      <c r="LU15" s="273"/>
      <c r="LV15" s="273"/>
      <c r="LW15" s="273"/>
      <c r="LX15" s="244"/>
      <c r="LY15" s="83" t="s">
        <v>331</v>
      </c>
      <c r="LZ15" s="55"/>
      <c r="MA15" s="243" t="s">
        <v>300</v>
      </c>
      <c r="MB15" s="273"/>
      <c r="MC15" s="273"/>
      <c r="MD15" s="273"/>
      <c r="ME15" s="273"/>
      <c r="MF15" s="273"/>
      <c r="MG15" s="273"/>
      <c r="MH15" s="273"/>
      <c r="MI15" s="273"/>
      <c r="MJ15" s="244"/>
      <c r="MK15" s="83" t="s">
        <v>331</v>
      </c>
      <c r="ML15" s="55"/>
      <c r="MM15" s="243" t="s">
        <v>300</v>
      </c>
      <c r="MN15" s="273"/>
      <c r="MO15" s="273"/>
      <c r="MP15" s="273"/>
      <c r="MQ15" s="273"/>
      <c r="MR15" s="273"/>
      <c r="MS15" s="273"/>
      <c r="MT15" s="273"/>
      <c r="MU15" s="273"/>
      <c r="MV15" s="244"/>
      <c r="MW15" s="83" t="s">
        <v>331</v>
      </c>
      <c r="MX15" s="55"/>
      <c r="MY15" s="243" t="s">
        <v>300</v>
      </c>
      <c r="MZ15" s="273"/>
      <c r="NA15" s="273"/>
      <c r="NB15" s="273"/>
      <c r="NC15" s="273"/>
      <c r="ND15" s="273"/>
      <c r="NE15" s="273"/>
      <c r="NF15" s="273"/>
      <c r="NG15" s="273"/>
      <c r="NH15" s="244"/>
      <c r="NI15" s="83" t="s">
        <v>331</v>
      </c>
      <c r="NJ15" s="55"/>
      <c r="NK15" s="243" t="s">
        <v>300</v>
      </c>
      <c r="NL15" s="273"/>
      <c r="NM15" s="273"/>
      <c r="NN15" s="273"/>
      <c r="NO15" s="273"/>
      <c r="NP15" s="273"/>
      <c r="NQ15" s="273"/>
      <c r="NR15" s="273"/>
      <c r="NS15" s="273"/>
      <c r="NT15" s="244"/>
      <c r="NU15" s="83" t="s">
        <v>331</v>
      </c>
      <c r="NV15" s="55"/>
      <c r="NW15" s="243" t="s">
        <v>300</v>
      </c>
      <c r="NX15" s="273"/>
      <c r="NY15" s="273"/>
      <c r="NZ15" s="273"/>
      <c r="OA15" s="273"/>
      <c r="OB15" s="273"/>
      <c r="OC15" s="273"/>
      <c r="OD15" s="273"/>
      <c r="OE15" s="273"/>
      <c r="OF15" s="244"/>
      <c r="OG15" s="83" t="s">
        <v>331</v>
      </c>
      <c r="OH15" s="55"/>
      <c r="OI15" s="243" t="s">
        <v>300</v>
      </c>
      <c r="OJ15" s="273"/>
      <c r="OK15" s="273"/>
      <c r="OL15" s="273"/>
      <c r="OM15" s="273"/>
      <c r="ON15" s="273"/>
      <c r="OO15" s="273"/>
      <c r="OP15" s="273"/>
      <c r="OQ15" s="273"/>
      <c r="OR15" s="244"/>
      <c r="OS15" s="83" t="s">
        <v>331</v>
      </c>
      <c r="OT15" s="55"/>
      <c r="OU15" s="243" t="s">
        <v>300</v>
      </c>
      <c r="OV15" s="273"/>
      <c r="OW15" s="273"/>
      <c r="OX15" s="273"/>
      <c r="OY15" s="273"/>
      <c r="OZ15" s="273"/>
      <c r="PA15" s="273"/>
      <c r="PB15" s="273"/>
      <c r="PC15" s="273"/>
      <c r="PD15" s="244"/>
      <c r="PE15" s="83" t="s">
        <v>331</v>
      </c>
      <c r="PF15" s="55"/>
      <c r="PG15" s="243" t="s">
        <v>300</v>
      </c>
      <c r="PH15" s="273"/>
      <c r="PI15" s="273"/>
      <c r="PJ15" s="273"/>
      <c r="PK15" s="273"/>
      <c r="PL15" s="273"/>
      <c r="PM15" s="273"/>
      <c r="PN15" s="273"/>
      <c r="PO15" s="273"/>
      <c r="PP15" s="244"/>
    </row>
    <row r="16" spans="1:432">
      <c r="A16" s="318" t="s">
        <v>340</v>
      </c>
      <c r="B16" s="310">
        <f>IF(AND(C16="",E16="",G16="",I16="",K16=""),"",(COUNTA(C16:L16)*50))</f>
        <v>250</v>
      </c>
      <c r="C16" s="305" t="s">
        <v>279</v>
      </c>
      <c r="D16" s="306"/>
      <c r="E16" s="305" t="str">
        <f>'Gen CP'!B15</f>
        <v>Earth Science</v>
      </c>
      <c r="F16" s="306"/>
      <c r="G16" s="305" t="str">
        <f>IF($E16="","",$E16)</f>
        <v>Earth Science</v>
      </c>
      <c r="H16" s="306"/>
      <c r="I16" s="305" t="str">
        <f t="shared" ref="I16" si="0">IF($E16="","",$E16)</f>
        <v>Earth Science</v>
      </c>
      <c r="J16" s="306"/>
      <c r="K16" s="305" t="str">
        <f t="shared" ref="K16" si="1">IF($E16="","",$E16)</f>
        <v>Earth Science</v>
      </c>
      <c r="L16" s="306"/>
      <c r="M16" s="318" t="s">
        <v>340</v>
      </c>
      <c r="N16" s="310">
        <f>IF(AND(O16="",Q16="",S16="",U16="",W16=""),"",COUNTA(O16:X16)*50)</f>
        <v>250</v>
      </c>
      <c r="O16" s="327" t="s">
        <v>279</v>
      </c>
      <c r="P16" s="328"/>
      <c r="Q16" s="327" t="str">
        <f>'Gen CP'!C15</f>
        <v>MIL</v>
      </c>
      <c r="R16" s="328"/>
      <c r="S16" s="305" t="str">
        <f>IF($Q16="","",$Q16)</f>
        <v>MIL</v>
      </c>
      <c r="T16" s="306"/>
      <c r="U16" s="305" t="str">
        <f t="shared" ref="U16" si="2">IF($Q16="","",$Q16)</f>
        <v>MIL</v>
      </c>
      <c r="V16" s="306"/>
      <c r="W16" s="305" t="str">
        <f t="shared" ref="W16" si="3">IF($Q16="","",$Q16)</f>
        <v>MIL</v>
      </c>
      <c r="X16" s="306"/>
      <c r="Y16" s="318" t="s">
        <v>340</v>
      </c>
      <c r="Z16" s="310">
        <f>IF(AND(AA16="",AC16="",AE16="",AG16="",AI16=""),"",COUNTA(AA16:AJ16)*50)</f>
        <v>250</v>
      </c>
      <c r="AA16" s="327" t="s">
        <v>279</v>
      </c>
      <c r="AB16" s="328"/>
      <c r="AC16" s="327" t="str">
        <f>'Gen CP'!D15</f>
        <v>Oral Com</v>
      </c>
      <c r="AD16" s="328"/>
      <c r="AE16" s="305" t="str">
        <f>IF($AC16="","",$AC16)</f>
        <v>Oral Com</v>
      </c>
      <c r="AF16" s="306"/>
      <c r="AG16" s="305" t="str">
        <f t="shared" ref="AG16" si="4">IF($AC16="","",$AC16)</f>
        <v>Oral Com</v>
      </c>
      <c r="AH16" s="306"/>
      <c r="AI16" s="305" t="str">
        <f t="shared" ref="AI16" si="5">IF($AC16="","",$AC16)</f>
        <v>Oral Com</v>
      </c>
      <c r="AJ16" s="306"/>
      <c r="AK16" s="318" t="s">
        <v>340</v>
      </c>
      <c r="AL16" s="310">
        <f>IF(AND(AM16="",AO16="",AQ16="",AS16="",AU16=""),"",COUNTA(AM16:AV16)*50)</f>
        <v>250</v>
      </c>
      <c r="AM16" s="327" t="s">
        <v>279</v>
      </c>
      <c r="AN16" s="328"/>
      <c r="AO16" s="327" t="s">
        <v>115</v>
      </c>
      <c r="AP16" s="328"/>
      <c r="AQ16" s="305" t="str">
        <f>IF($AO16="","",$AO16)</f>
        <v>UCSP</v>
      </c>
      <c r="AR16" s="306"/>
      <c r="AS16" s="305" t="str">
        <f t="shared" ref="AS16" si="6">IF($AO16="","",$AO16)</f>
        <v>UCSP</v>
      </c>
      <c r="AT16" s="306"/>
      <c r="AU16" s="305" t="str">
        <f t="shared" ref="AU16" si="7">IF($AO16="","",$AO16)</f>
        <v>UCSP</v>
      </c>
      <c r="AV16" s="306"/>
      <c r="AW16" s="318" t="s">
        <v>340</v>
      </c>
      <c r="AX16" s="310">
        <f>IF(AND(AY16="",BA16="",BC16="",BE16="",BG16=""),"",COUNTA(AY16:BH16)*50)</f>
        <v>250</v>
      </c>
      <c r="AY16" s="327" t="s">
        <v>279</v>
      </c>
      <c r="AZ16" s="328"/>
      <c r="BA16" s="327" t="s">
        <v>113</v>
      </c>
      <c r="BB16" s="328"/>
      <c r="BC16" s="305" t="str">
        <f>IF($BA16="","",$BA16)</f>
        <v>Kom Pan</v>
      </c>
      <c r="BD16" s="306"/>
      <c r="BE16" s="305" t="str">
        <f t="shared" ref="BE16" si="8">IF($BA16="","",$BA16)</f>
        <v>Kom Pan</v>
      </c>
      <c r="BF16" s="306"/>
      <c r="BG16" s="305" t="str">
        <f t="shared" ref="BG16" si="9">IF($BA16="","",$BA16)</f>
        <v>Kom Pan</v>
      </c>
      <c r="BH16" s="306"/>
      <c r="BI16" s="318" t="s">
        <v>340</v>
      </c>
      <c r="BJ16" s="310">
        <f>IF(AND(BK16="",BM16="",BO16="",BQ16="",BS16=""),"",COUNTA(BK16:BT16)*50)</f>
        <v>250</v>
      </c>
      <c r="BK16" s="327" t="s">
        <v>279</v>
      </c>
      <c r="BL16" s="328"/>
      <c r="BM16" s="327" t="s">
        <v>115</v>
      </c>
      <c r="BN16" s="328"/>
      <c r="BO16" s="305" t="str">
        <f>IF($BM16="","",$BM16)</f>
        <v>UCSP</v>
      </c>
      <c r="BP16" s="306"/>
      <c r="BQ16" s="305" t="str">
        <f t="shared" ref="BQ16" si="10">IF($BM16="","",$BM16)</f>
        <v>UCSP</v>
      </c>
      <c r="BR16" s="306"/>
      <c r="BS16" s="305" t="str">
        <f t="shared" ref="BS16" si="11">IF($BM16="","",$BM16)</f>
        <v>UCSP</v>
      </c>
      <c r="BT16" s="306"/>
      <c r="BU16" s="318" t="s">
        <v>340</v>
      </c>
      <c r="BV16" s="310">
        <f>IF(AND(BW16="",BY16="",CA16="",CC16="",CE16=""),"",COUNTA(BW16:CF16)*50)</f>
        <v>250</v>
      </c>
      <c r="BW16" s="327" t="s">
        <v>279</v>
      </c>
      <c r="BX16" s="328"/>
      <c r="BY16" s="327" t="str">
        <f>'Gen CP'!H15</f>
        <v>Agri-Crops NC II</v>
      </c>
      <c r="BZ16" s="328"/>
      <c r="CA16" s="305" t="str">
        <f>IF($BY16="","",$BY16)</f>
        <v>Agri-Crops NC II</v>
      </c>
      <c r="CB16" s="306"/>
      <c r="CC16" s="305" t="str">
        <f t="shared" ref="CC16" si="12">IF($BY16="","",$BY16)</f>
        <v>Agri-Crops NC II</v>
      </c>
      <c r="CD16" s="306"/>
      <c r="CE16" s="305" t="str">
        <f t="shared" ref="CE16" si="13">IF($BY16="","",$BY16)</f>
        <v>Agri-Crops NC II</v>
      </c>
      <c r="CF16" s="306"/>
      <c r="CG16" s="318" t="s">
        <v>340</v>
      </c>
      <c r="CH16" s="310">
        <f>IF(AND(CI16="",CK16="",CM16="",CO16="",CQ16=""),"",COUNTA(CI16:CR16)*50)</f>
        <v>250</v>
      </c>
      <c r="CI16" s="327" t="s">
        <v>279</v>
      </c>
      <c r="CJ16" s="328"/>
      <c r="CK16" s="327" t="str">
        <f>'Gen CP'!I15</f>
        <v>Earth &amp; Life</v>
      </c>
      <c r="CL16" s="328"/>
      <c r="CM16" s="305" t="str">
        <f>IF($CK16="","",$CK16)</f>
        <v>Earth &amp; Life</v>
      </c>
      <c r="CN16" s="306"/>
      <c r="CO16" s="305" t="str">
        <f t="shared" ref="CO16" si="14">IF($CK16="","",$CK16)</f>
        <v>Earth &amp; Life</v>
      </c>
      <c r="CP16" s="306"/>
      <c r="CQ16" s="305" t="str">
        <f t="shared" ref="CQ16" si="15">IF($CK16="","",$CK16)</f>
        <v>Earth &amp; Life</v>
      </c>
      <c r="CR16" s="306"/>
      <c r="CS16" s="318" t="s">
        <v>340</v>
      </c>
      <c r="CT16" s="310">
        <f>IF(AND(CU16="",CW16="",CY16="",DA16="",DC16=""),"",COUNTA(CU16:DD16)*50)</f>
        <v>250</v>
      </c>
      <c r="CU16" s="327" t="s">
        <v>279</v>
      </c>
      <c r="CV16" s="328"/>
      <c r="CW16" s="327" t="str">
        <f>'Gen CP'!J15</f>
        <v>Emp Tech</v>
      </c>
      <c r="CX16" s="328"/>
      <c r="CY16" s="305" t="str">
        <f>IF($CW16="","",$CW16)</f>
        <v>Emp Tech</v>
      </c>
      <c r="CZ16" s="306"/>
      <c r="DA16" s="305" t="str">
        <f t="shared" ref="DA16" si="16">IF($CW16="","",$CW16)</f>
        <v>Emp Tech</v>
      </c>
      <c r="DB16" s="306"/>
      <c r="DC16" s="305" t="str">
        <f t="shared" ref="DC16" si="17">IF($CW16="","",$CW16)</f>
        <v>Emp Tech</v>
      </c>
      <c r="DD16" s="306"/>
      <c r="DE16" s="318" t="s">
        <v>340</v>
      </c>
      <c r="DF16" s="310">
        <f>IF(AND(DG16="",DI16="",DK16="",DM16="",DO16=""),"",COUNTA(DG16:DP16)*50)</f>
        <v>250</v>
      </c>
      <c r="DG16" s="327" t="s">
        <v>279</v>
      </c>
      <c r="DH16" s="328"/>
      <c r="DI16" s="327" t="s">
        <v>115</v>
      </c>
      <c r="DJ16" s="328"/>
      <c r="DK16" s="305" t="str">
        <f>IF($DI16="","",$DI16)</f>
        <v>UCSP</v>
      </c>
      <c r="DL16" s="306"/>
      <c r="DM16" s="305" t="str">
        <f t="shared" ref="DM16" si="18">IF($DI16="","",$DI16)</f>
        <v>UCSP</v>
      </c>
      <c r="DN16" s="306"/>
      <c r="DO16" s="305" t="str">
        <f t="shared" ref="DO16" si="19">IF($DI16="","",$DI16)</f>
        <v>UCSP</v>
      </c>
      <c r="DP16" s="306"/>
      <c r="DQ16" s="318" t="s">
        <v>340</v>
      </c>
      <c r="DR16" s="310">
        <f>IF(AND(DS16="",DU16="",DW16="",DY16="",EA16=""),"",COUNTA(DS16:EB16)*50)</f>
        <v>250</v>
      </c>
      <c r="DS16" s="335" t="str">
        <f>DU16</f>
        <v>Food and Beverage</v>
      </c>
      <c r="DT16" s="336"/>
      <c r="DU16" s="335" t="str">
        <f>'Gen CP'!L15</f>
        <v>Food and Beverage</v>
      </c>
      <c r="DV16" s="336"/>
      <c r="DW16" s="337" t="str">
        <f>IF($DU16="","",$DU16)</f>
        <v>Food and Beverage</v>
      </c>
      <c r="DX16" s="338"/>
      <c r="DY16" s="337" t="str">
        <f t="shared" ref="DY16" si="20">IF($DU16="","",$DU16)</f>
        <v>Food and Beverage</v>
      </c>
      <c r="DZ16" s="338"/>
      <c r="EA16" s="337" t="str">
        <f t="shared" ref="EA16" si="21">IF($DU16="","",$DU16)</f>
        <v>Food and Beverage</v>
      </c>
      <c r="EB16" s="338"/>
      <c r="EC16" s="318" t="s">
        <v>340</v>
      </c>
      <c r="ED16" s="310">
        <f>IF(AND(EE16="",EG16="",EI16="",EK16="",EM16=""),"",COUNTA(EE16:EN16)*50)</f>
        <v>250</v>
      </c>
      <c r="EE16" s="327" t="s">
        <v>279</v>
      </c>
      <c r="EF16" s="328"/>
      <c r="EG16" s="327" t="s">
        <v>503</v>
      </c>
      <c r="EH16" s="328"/>
      <c r="EI16" s="305" t="str">
        <f>IF($EG16="","",$EG16)</f>
        <v>Research</v>
      </c>
      <c r="EJ16" s="306"/>
      <c r="EK16" s="305" t="str">
        <f t="shared" ref="EK16" si="22">IF($EG16="","",$EG16)</f>
        <v>Research</v>
      </c>
      <c r="EL16" s="306"/>
      <c r="EM16" s="305" t="str">
        <f t="shared" ref="EM16" si="23">IF($EG16="","",$EG16)</f>
        <v>Research</v>
      </c>
      <c r="EN16" s="306"/>
      <c r="EO16" s="318" t="s">
        <v>340</v>
      </c>
      <c r="EP16" s="310">
        <f>IF(AND(EQ16="",ES16="",EU16="",EW16="",EY16=""),"",COUNTA(EQ16:EZ16)*50)</f>
        <v>250</v>
      </c>
      <c r="EQ16" s="327" t="s">
        <v>279</v>
      </c>
      <c r="ER16" s="328"/>
      <c r="ES16" s="327" t="s">
        <v>314</v>
      </c>
      <c r="ET16" s="328"/>
      <c r="EU16" s="305" t="str">
        <f>IF($ES16="","",$ES16)</f>
        <v>Philo</v>
      </c>
      <c r="EV16" s="306"/>
      <c r="EW16" s="305" t="str">
        <f t="shared" ref="EW16" si="24">IF($ES16="","",$ES16)</f>
        <v>Philo</v>
      </c>
      <c r="EX16" s="306"/>
      <c r="EY16" s="305" t="str">
        <f t="shared" ref="EY16" si="25">IF($ES16="","",$ES16)</f>
        <v>Philo</v>
      </c>
      <c r="EZ16" s="306"/>
      <c r="FA16" s="318" t="s">
        <v>340</v>
      </c>
      <c r="FB16" s="310">
        <f>IF(AND(FC16="",FE16="",FG16="",FI16="",FK16=""),"",COUNTA(FC16:FL16)*50)</f>
        <v>250</v>
      </c>
      <c r="FC16" s="327" t="s">
        <v>279</v>
      </c>
      <c r="FD16" s="328"/>
      <c r="FE16" s="327" t="s">
        <v>314</v>
      </c>
      <c r="FF16" s="328"/>
      <c r="FG16" s="305" t="str">
        <f>IF($FE16="","",$FE16)</f>
        <v>Philo</v>
      </c>
      <c r="FH16" s="306"/>
      <c r="FI16" s="305" t="str">
        <f t="shared" ref="FI16" si="26">IF($FE16="","",$FE16)</f>
        <v>Philo</v>
      </c>
      <c r="FJ16" s="306"/>
      <c r="FK16" s="305" t="str">
        <f t="shared" ref="FK16" si="27">IF($FE16="","",$FE16)</f>
        <v>Philo</v>
      </c>
      <c r="FL16" s="306"/>
      <c r="FM16" s="318" t="s">
        <v>340</v>
      </c>
      <c r="FN16" s="310">
        <f>IF(AND(FO16="",FQ16="",FS16="",FU16="",FW16=""),"",COUNTA(FO16:FX16)*50)</f>
        <v>250</v>
      </c>
      <c r="FO16" s="327" t="s">
        <v>279</v>
      </c>
      <c r="FP16" s="328"/>
      <c r="FQ16" s="327" t="s">
        <v>140</v>
      </c>
      <c r="FR16" s="328"/>
      <c r="FS16" s="305" t="str">
        <f>IF($FQ16="","",$FQ16)</f>
        <v>PPG</v>
      </c>
      <c r="FT16" s="306"/>
      <c r="FU16" s="305" t="str">
        <f t="shared" ref="FU16" si="28">IF($FQ16="","",$FQ16)</f>
        <v>PPG</v>
      </c>
      <c r="FV16" s="306"/>
      <c r="FW16" s="305" t="str">
        <f t="shared" ref="FW16" si="29">IF($FQ16="","",$FQ16)</f>
        <v>PPG</v>
      </c>
      <c r="FX16" s="306"/>
      <c r="FY16" s="318" t="s">
        <v>340</v>
      </c>
      <c r="FZ16" s="310">
        <f>IF(AND(GA16="",GC16="",GE16="",GG16="",GI16=""),"",COUNTA(GA16:GJ16)*50)</f>
        <v>250</v>
      </c>
      <c r="GA16" s="327" t="s">
        <v>279</v>
      </c>
      <c r="GB16" s="328"/>
      <c r="GC16" s="327" t="str">
        <f>'Gen CP'!F58</f>
        <v>Piling Larang</v>
      </c>
      <c r="GD16" s="328"/>
      <c r="GE16" s="305" t="str">
        <f>IF($GC16="","",$GC16)</f>
        <v>Piling Larang</v>
      </c>
      <c r="GF16" s="306"/>
      <c r="GG16" s="305" t="str">
        <f t="shared" ref="GG16" si="30">IF($GC16="","",$GC16)</f>
        <v>Piling Larang</v>
      </c>
      <c r="GH16" s="306"/>
      <c r="GI16" s="305" t="str">
        <f t="shared" ref="GI16" si="31">IF($GC16="","",$GC16)</f>
        <v>Piling Larang</v>
      </c>
      <c r="GJ16" s="306"/>
      <c r="GK16" s="318" t="s">
        <v>340</v>
      </c>
      <c r="GL16" s="310">
        <v>50</v>
      </c>
      <c r="GM16" s="327" t="s">
        <v>279</v>
      </c>
      <c r="GN16" s="328"/>
      <c r="GO16" s="327"/>
      <c r="GP16" s="328"/>
      <c r="GQ16" s="305" t="str">
        <f>IF($GO16="","",$GO16)</f>
        <v/>
      </c>
      <c r="GR16" s="306"/>
      <c r="GS16" s="305" t="str">
        <f t="shared" ref="GS16" si="32">IF($GO16="","",$GO16)</f>
        <v/>
      </c>
      <c r="GT16" s="306"/>
      <c r="GU16" s="305" t="str">
        <f t="shared" ref="GU16" si="33">IF($GO16="","",$GO16)</f>
        <v/>
      </c>
      <c r="GV16" s="306"/>
      <c r="GW16" s="318" t="s">
        <v>340</v>
      </c>
      <c r="GX16" s="310">
        <f>IF(AND(GY16="",HA16="",HC16="",HE16="",HG16=""),"",COUNTA(GY16:HH16)*50)</f>
        <v>250</v>
      </c>
      <c r="GY16" s="327" t="s">
        <v>279</v>
      </c>
      <c r="GZ16" s="328"/>
      <c r="HA16" s="327" t="s">
        <v>125</v>
      </c>
      <c r="HB16" s="328"/>
      <c r="HC16" s="305" t="str">
        <f>IF($HA16="","",$HA16)</f>
        <v>CPAR</v>
      </c>
      <c r="HD16" s="306"/>
      <c r="HE16" s="305" t="str">
        <f t="shared" ref="HE16" si="34">IF($HA16="","",$HA16)</f>
        <v>CPAR</v>
      </c>
      <c r="HF16" s="306"/>
      <c r="HG16" s="305" t="str">
        <f t="shared" ref="HG16" si="35">IF($HA16="","",$HA16)</f>
        <v>CPAR</v>
      </c>
      <c r="HH16" s="306"/>
      <c r="HI16" s="318" t="s">
        <v>340</v>
      </c>
      <c r="HJ16" s="310">
        <f>IF(AND(HK16="",HM16="",HO16="",HQ16="",HS16=""),"",COUNTA(HK16:HT16)*50)</f>
        <v>250</v>
      </c>
      <c r="HK16" s="327" t="s">
        <v>279</v>
      </c>
      <c r="HL16" s="328"/>
      <c r="HM16" s="327" t="s">
        <v>128</v>
      </c>
      <c r="HN16" s="328"/>
      <c r="HO16" s="305" t="str">
        <f>IF($HM16="","",$HM16)</f>
        <v>CSS</v>
      </c>
      <c r="HP16" s="306"/>
      <c r="HQ16" s="305" t="str">
        <f t="shared" ref="HQ16" si="36">IF($HM16="","",$HM16)</f>
        <v>CSS</v>
      </c>
      <c r="HR16" s="306"/>
      <c r="HS16" s="305" t="str">
        <f t="shared" ref="HS16" si="37">IF($HM16="","",$HM16)</f>
        <v>CSS</v>
      </c>
      <c r="HT16" s="306"/>
      <c r="HU16" s="318" t="s">
        <v>340</v>
      </c>
      <c r="HV16" s="310">
        <v>50</v>
      </c>
      <c r="HW16" s="327" t="s">
        <v>279</v>
      </c>
      <c r="HX16" s="328"/>
      <c r="HY16" s="327"/>
      <c r="HZ16" s="328"/>
      <c r="IA16" s="305" t="str">
        <f>IF($HY16="","",$HY16)</f>
        <v/>
      </c>
      <c r="IB16" s="306"/>
      <c r="IC16" s="305" t="str">
        <f t="shared" ref="IC16" si="38">IF($HY16="","",$HY16)</f>
        <v/>
      </c>
      <c r="ID16" s="306"/>
      <c r="IE16" s="305" t="str">
        <f t="shared" ref="IE16" si="39">IF($HY16="","",$HY16)</f>
        <v/>
      </c>
      <c r="IF16" s="306"/>
      <c r="IG16" s="318" t="s">
        <v>340</v>
      </c>
      <c r="IH16" s="310">
        <f>IF(AND(II16="",IK16="",IM16="",IO16="",IQ16=""),"",COUNTA(II16:IR16)*50)</f>
        <v>250</v>
      </c>
      <c r="II16" s="327" t="s">
        <v>279</v>
      </c>
      <c r="IJ16" s="328"/>
      <c r="IK16" s="327" t="s">
        <v>125</v>
      </c>
      <c r="IL16" s="328"/>
      <c r="IM16" s="305" t="str">
        <f>IF($IK16="","",$IK16)</f>
        <v>CPAR</v>
      </c>
      <c r="IN16" s="306"/>
      <c r="IO16" s="305" t="str">
        <f t="shared" ref="IO16" si="40">IF($IK16="","",$IK16)</f>
        <v>CPAR</v>
      </c>
      <c r="IP16" s="306"/>
      <c r="IQ16" s="305" t="str">
        <f t="shared" ref="IQ16" si="41">IF($IK16="","",$IK16)</f>
        <v>CPAR</v>
      </c>
      <c r="IR16" s="306"/>
      <c r="IS16" s="318" t="s">
        <v>340</v>
      </c>
      <c r="IT16" s="310" t="str">
        <f>IF(AND(IU16="",IW16="",IY16="",JA16="",JC16=""),"",COUNTA(IU16:JD16)*50)</f>
        <v/>
      </c>
      <c r="IU16" s="327"/>
      <c r="IV16" s="328"/>
      <c r="IW16" s="327"/>
      <c r="IX16" s="328"/>
      <c r="IY16" s="327" t="str">
        <f>IF($IW16="","",$IW16)</f>
        <v/>
      </c>
      <c r="IZ16" s="328"/>
      <c r="JA16" s="327" t="str">
        <f t="shared" ref="JA16" si="42">IF($IW16="","",$IW16)</f>
        <v/>
      </c>
      <c r="JB16" s="328"/>
      <c r="JC16" s="327" t="str">
        <f t="shared" ref="JC16" si="43">IF($IW16="","",$IW16)</f>
        <v/>
      </c>
      <c r="JD16" s="328"/>
      <c r="JE16" s="318" t="s">
        <v>340</v>
      </c>
      <c r="JF16" s="310">
        <v>50</v>
      </c>
      <c r="JG16" s="327" t="s">
        <v>279</v>
      </c>
      <c r="JH16" s="328"/>
      <c r="JI16" s="327"/>
      <c r="JJ16" s="328"/>
      <c r="JK16" s="305" t="str">
        <f>IF($JI16="","",$JI16)</f>
        <v/>
      </c>
      <c r="JL16" s="306"/>
      <c r="JM16" s="305" t="str">
        <f t="shared" ref="JM16" si="44">IF($JI16="","",$JI16)</f>
        <v/>
      </c>
      <c r="JN16" s="306"/>
      <c r="JO16" s="305" t="str">
        <f t="shared" ref="JO16" si="45">IF($JI16="","",$JI16)</f>
        <v/>
      </c>
      <c r="JP16" s="306"/>
      <c r="JQ16" s="318" t="s">
        <v>340</v>
      </c>
      <c r="JR16" s="310">
        <f>IF(AND(JS16="",JU16="",JW16="",JY16="",KA16=""),"",COUNTA(JS16:KB16)*50)</f>
        <v>200</v>
      </c>
      <c r="JS16" s="327"/>
      <c r="JT16" s="328"/>
      <c r="JU16" s="327" t="str">
        <f>'Gen CP'!J58</f>
        <v>Research 2</v>
      </c>
      <c r="JV16" s="328"/>
      <c r="JW16" s="305" t="str">
        <f>IF($JU16="","",$JU16)</f>
        <v>Research 2</v>
      </c>
      <c r="JX16" s="306"/>
      <c r="JY16" s="305" t="str">
        <f t="shared" ref="JY16" si="46">IF($JU16="","",$JU16)</f>
        <v>Research 2</v>
      </c>
      <c r="JZ16" s="306"/>
      <c r="KA16" s="305" t="str">
        <f t="shared" ref="KA16" si="47">IF($JU16="","",$JU16)</f>
        <v>Research 2</v>
      </c>
      <c r="KB16" s="306"/>
      <c r="KC16" s="318" t="s">
        <v>340</v>
      </c>
      <c r="KD16" s="310">
        <f>IF(AND(KE16="",KG16="",KI16="",KK16="",KM16=""),"",COUNTA(KE16:KN16)*50)</f>
        <v>200</v>
      </c>
      <c r="KE16" s="343"/>
      <c r="KF16" s="344"/>
      <c r="KG16" s="339" t="str">
        <f>'Gen CP'!I15</f>
        <v>Earth &amp; Life</v>
      </c>
      <c r="KH16" s="340"/>
      <c r="KI16" s="312" t="str">
        <f>IF($KG16="","",$KG16)</f>
        <v>Earth &amp; Life</v>
      </c>
      <c r="KJ16" s="313"/>
      <c r="KK16" s="312" t="str">
        <f t="shared" ref="KK16" si="48">IF($KG16="","",$KG16)</f>
        <v>Earth &amp; Life</v>
      </c>
      <c r="KL16" s="313"/>
      <c r="KM16" s="312" t="str">
        <f t="shared" ref="KM16" si="49">IF($KG16="","",$KG16)</f>
        <v>Earth &amp; Life</v>
      </c>
      <c r="KN16" s="313"/>
      <c r="KO16" s="318" t="s">
        <v>340</v>
      </c>
      <c r="KP16" s="310">
        <f>IF(AND(KQ16="",KS16="",KU16="",KW16="",KY16=""),"",COUNTA(KQ16:KZ16)*50)</f>
        <v>250</v>
      </c>
      <c r="KQ16" s="327" t="s">
        <v>279</v>
      </c>
      <c r="KR16" s="328"/>
      <c r="KS16" s="327" t="str">
        <f>'Gen CP'!G58</f>
        <v>Philo</v>
      </c>
      <c r="KT16" s="328"/>
      <c r="KU16" s="305" t="str">
        <f>IF($KS16="","",$KS16)</f>
        <v>Philo</v>
      </c>
      <c r="KV16" s="306"/>
      <c r="KW16" s="305" t="str">
        <f t="shared" ref="KW16" si="50">IF($KS16="","",$KS16)</f>
        <v>Philo</v>
      </c>
      <c r="KX16" s="306"/>
      <c r="KY16" s="305" t="str">
        <f t="shared" ref="KY16" si="51">IF($KS16="","",$KS16)</f>
        <v>Philo</v>
      </c>
      <c r="KZ16" s="306"/>
      <c r="LA16" s="318" t="s">
        <v>340</v>
      </c>
      <c r="LB16" s="310" t="str">
        <f>IF(AND(LC16="",LE16="",LG16="",LI16="",LK16=""),"",COUNTA(LC16:LL16)*50)</f>
        <v/>
      </c>
      <c r="LC16" s="327"/>
      <c r="LD16" s="328"/>
      <c r="LE16" s="327" t="str">
        <f>IF($LC16="","",$LC16)</f>
        <v/>
      </c>
      <c r="LF16" s="328"/>
      <c r="LG16" s="305" t="str">
        <f>IF(LE16="","",LE16)</f>
        <v/>
      </c>
      <c r="LH16" s="306"/>
      <c r="LI16" s="327" t="str">
        <f t="shared" ref="LI16:LI31" si="52">IF($LC16="","",$LC16)</f>
        <v/>
      </c>
      <c r="LJ16" s="328"/>
      <c r="LK16" s="327" t="str">
        <f t="shared" ref="LK16:LK31" si="53">IF($LC16="","",$LC16)</f>
        <v/>
      </c>
      <c r="LL16" s="328"/>
      <c r="LM16" s="318" t="s">
        <v>340</v>
      </c>
      <c r="LN16" s="310" t="str">
        <f>IF(AND(LO16="",LQ16="",LS16="",LU16="",LW16=""),"",COUNTA(LO16:LX16)*50)</f>
        <v/>
      </c>
      <c r="LO16" s="327"/>
      <c r="LP16" s="328"/>
      <c r="LQ16" s="327" t="str">
        <f>IF($LO16="","",$LO16)</f>
        <v/>
      </c>
      <c r="LR16" s="328"/>
      <c r="LS16" s="305" t="str">
        <f>IF(LQ16="","",LQ16)</f>
        <v/>
      </c>
      <c r="LT16" s="306"/>
      <c r="LU16" s="327" t="str">
        <f t="shared" ref="LU16:LU31" si="54">IF($LO16="","",$LO16)</f>
        <v/>
      </c>
      <c r="LV16" s="328"/>
      <c r="LW16" s="327" t="str">
        <f t="shared" ref="LW16:LW31" si="55">IF($LO16="","",$LO16)</f>
        <v/>
      </c>
      <c r="LX16" s="328"/>
      <c r="LY16" s="318" t="s">
        <v>340</v>
      </c>
      <c r="LZ16" s="310" t="str">
        <f>IF(AND(MA16="",MC16="",ME16="",MG16="",MI16=""),"",COUNTA(MA16:MJ16)*50)</f>
        <v/>
      </c>
      <c r="MA16" s="327"/>
      <c r="MB16" s="328"/>
      <c r="MC16" s="327" t="str">
        <f>IF($MA16="","",$MA16)</f>
        <v/>
      </c>
      <c r="MD16" s="328"/>
      <c r="ME16" s="305" t="str">
        <f>IF(MC16="","",MC16)</f>
        <v/>
      </c>
      <c r="MF16" s="306"/>
      <c r="MG16" s="327" t="str">
        <f t="shared" ref="MG16:MG31" si="56">IF($MA16="","",$MA16)</f>
        <v/>
      </c>
      <c r="MH16" s="328"/>
      <c r="MI16" s="327" t="str">
        <f t="shared" ref="MI16:MI31" si="57">IF($MA16="","",$MA16)</f>
        <v/>
      </c>
      <c r="MJ16" s="328"/>
      <c r="MK16" s="318" t="s">
        <v>340</v>
      </c>
      <c r="ML16" s="310" t="str">
        <f>IF(AND(MM16="",MO16="",MQ16="",MS16="",MU16=""),"",COUNTA(MM16:MV16)*50)</f>
        <v/>
      </c>
      <c r="MM16" s="327"/>
      <c r="MN16" s="328"/>
      <c r="MO16" s="327" t="str">
        <f>IF($MM16="","",$MM16)</f>
        <v/>
      </c>
      <c r="MP16" s="328"/>
      <c r="MQ16" s="305" t="str">
        <f>IF(MO16="","",MO16)</f>
        <v/>
      </c>
      <c r="MR16" s="306"/>
      <c r="MS16" s="327" t="str">
        <f t="shared" ref="MS16:MS31" si="58">IF($MM16="","",$MM16)</f>
        <v/>
      </c>
      <c r="MT16" s="328"/>
      <c r="MU16" s="327" t="str">
        <f t="shared" ref="MU16:MU31" si="59">IF($MM16="","",$MM16)</f>
        <v/>
      </c>
      <c r="MV16" s="328"/>
      <c r="MW16" s="318" t="s">
        <v>340</v>
      </c>
      <c r="MX16" s="310" t="str">
        <f>IF(AND(MY16="",NA16="",NC16="",NE16="",NG16=""),"",COUNTA(MY16:NH16)*50)</f>
        <v/>
      </c>
      <c r="MY16" s="327"/>
      <c r="MZ16" s="328"/>
      <c r="NA16" s="327" t="str">
        <f>IF($MY16="","",$MY16)</f>
        <v/>
      </c>
      <c r="NB16" s="328"/>
      <c r="NC16" s="305" t="str">
        <f>IF(NA16="","",NA16)</f>
        <v/>
      </c>
      <c r="ND16" s="306"/>
      <c r="NE16" s="327" t="str">
        <f t="shared" ref="NE16:NE31" si="60">IF($MY16="","",$MY16)</f>
        <v/>
      </c>
      <c r="NF16" s="328"/>
      <c r="NG16" s="327" t="str">
        <f t="shared" ref="NG16:NG31" si="61">IF($MY16="","",$MY16)</f>
        <v/>
      </c>
      <c r="NH16" s="328"/>
      <c r="NI16" s="318" t="s">
        <v>340</v>
      </c>
      <c r="NJ16" s="310" t="str">
        <f>IF(AND(NK16="",NM16="",NO16="",NQ16="",NS16=""),"",COUNTA(NK16:NT16)*50)</f>
        <v/>
      </c>
      <c r="NK16" s="327"/>
      <c r="NL16" s="328"/>
      <c r="NM16" s="327" t="str">
        <f>IF($NK16="","",$NK16)</f>
        <v/>
      </c>
      <c r="NN16" s="328"/>
      <c r="NO16" s="305" t="str">
        <f>IF(NM16="","",NM16)</f>
        <v/>
      </c>
      <c r="NP16" s="306"/>
      <c r="NQ16" s="327" t="str">
        <f t="shared" ref="NQ16:NQ31" si="62">IF($NK16="","",$NK16)</f>
        <v/>
      </c>
      <c r="NR16" s="328"/>
      <c r="NS16" s="327" t="str">
        <f t="shared" ref="NS16:NS31" si="63">IF($NK16="","",$NK16)</f>
        <v/>
      </c>
      <c r="NT16" s="328"/>
      <c r="NU16" s="318" t="s">
        <v>340</v>
      </c>
      <c r="NV16" s="310" t="str">
        <f>IF(AND(NW16="",NY16="",OA16="",OC16="",OE16=""),"",COUNTA(NW16:OF16)*50)</f>
        <v/>
      </c>
      <c r="NW16" s="327"/>
      <c r="NX16" s="328"/>
      <c r="NY16" s="327" t="str">
        <f>IF($NW16="","",$NW16)</f>
        <v/>
      </c>
      <c r="NZ16" s="328"/>
      <c r="OA16" s="305" t="str">
        <f>IF(NY16="","",NY16)</f>
        <v/>
      </c>
      <c r="OB16" s="306"/>
      <c r="OC16" s="327" t="str">
        <f t="shared" ref="OC16:OC31" si="64">IF($NW16="","",$NW16)</f>
        <v/>
      </c>
      <c r="OD16" s="328"/>
      <c r="OE16" s="327" t="str">
        <f t="shared" ref="OE16:OE31" si="65">IF($NW16="","",$NW16)</f>
        <v/>
      </c>
      <c r="OF16" s="328"/>
      <c r="OG16" s="318" t="s">
        <v>340</v>
      </c>
      <c r="OH16" s="310" t="str">
        <f>IF(AND(OI16="",OK16="",OM16="",OO16="",OQ16=""),"",COUNTA(OI16:OR16)*50)</f>
        <v/>
      </c>
      <c r="OI16" s="327"/>
      <c r="OJ16" s="328"/>
      <c r="OK16" s="327" t="str">
        <f>IF($OI16="","",$OI16)</f>
        <v/>
      </c>
      <c r="OL16" s="328"/>
      <c r="OM16" s="305" t="str">
        <f>IF(OK16="","",OK16)</f>
        <v/>
      </c>
      <c r="ON16" s="306"/>
      <c r="OO16" s="327" t="str">
        <f t="shared" ref="OO16:OO31" si="66">IF($OI16="","",$OI16)</f>
        <v/>
      </c>
      <c r="OP16" s="328"/>
      <c r="OQ16" s="327" t="str">
        <f t="shared" ref="OQ16:OQ31" si="67">IF($OI16="","",$OI16)</f>
        <v/>
      </c>
      <c r="OR16" s="328"/>
      <c r="OS16" s="318" t="s">
        <v>340</v>
      </c>
      <c r="OT16" s="310" t="str">
        <f>IF(AND(OU16="",OW16="",OY16="",PA16="",PC16=""),"",COUNTA(OU16:PD16)*50)</f>
        <v/>
      </c>
      <c r="OU16" s="327"/>
      <c r="OV16" s="328"/>
      <c r="OW16" s="327" t="str">
        <f>IF($OU16="","",$OU16)</f>
        <v/>
      </c>
      <c r="OX16" s="328"/>
      <c r="OY16" s="305" t="str">
        <f>IF(OW16="","",OW16)</f>
        <v/>
      </c>
      <c r="OZ16" s="306"/>
      <c r="PA16" s="327" t="str">
        <f t="shared" ref="PA16:PA31" si="68">IF($OU16="","",$OU16)</f>
        <v/>
      </c>
      <c r="PB16" s="328"/>
      <c r="PC16" s="327" t="str">
        <f t="shared" ref="PC16:PC31" si="69">IF($OU16="","",$OU16)</f>
        <v/>
      </c>
      <c r="PD16" s="328"/>
      <c r="PE16" s="318" t="s">
        <v>340</v>
      </c>
      <c r="PF16" s="310" t="str">
        <f>IF(PG16="","",COUNTA(PG16:PP16)*50)</f>
        <v/>
      </c>
      <c r="PG16" s="327"/>
      <c r="PH16" s="328"/>
      <c r="PI16" s="327" t="str">
        <f>IF($PG16="","",$PG16)</f>
        <v/>
      </c>
      <c r="PJ16" s="328"/>
      <c r="PK16" s="305" t="str">
        <f>IF(PI16="","",PI16)</f>
        <v/>
      </c>
      <c r="PL16" s="306"/>
      <c r="PM16" s="327" t="str">
        <f t="shared" ref="PM16:PM31" si="70">IF($PG16="","",$PG16)</f>
        <v/>
      </c>
      <c r="PN16" s="328"/>
      <c r="PO16" s="327" t="str">
        <f t="shared" ref="PO16:PO31" si="71">IF($PG16="","",$PG16)</f>
        <v/>
      </c>
      <c r="PP16" s="328"/>
    </row>
    <row r="17" spans="1:432">
      <c r="A17" s="319"/>
      <c r="B17" s="311"/>
      <c r="C17" s="305" t="s">
        <v>452</v>
      </c>
      <c r="D17" s="306"/>
      <c r="E17" s="305" t="str">
        <f t="shared" ref="E17:I31" si="72">IF($C17="","",$C17)</f>
        <v>11 STEM</v>
      </c>
      <c r="F17" s="306"/>
      <c r="G17" s="305" t="str">
        <f t="shared" si="72"/>
        <v>11 STEM</v>
      </c>
      <c r="H17" s="306"/>
      <c r="I17" s="305" t="str">
        <f t="shared" si="72"/>
        <v>11 STEM</v>
      </c>
      <c r="J17" s="306"/>
      <c r="K17" s="305" t="str">
        <f t="shared" ref="K17:K29" si="73">IF($C17="","",$C17)</f>
        <v>11 STEM</v>
      </c>
      <c r="L17" s="306"/>
      <c r="M17" s="319"/>
      <c r="N17" s="311"/>
      <c r="O17" s="327" t="s">
        <v>453</v>
      </c>
      <c r="P17" s="328"/>
      <c r="Q17" s="327" t="str">
        <f t="shared" ref="Q17:Q31" si="74">IF($O17="","",$O17)</f>
        <v>11 HumSS A</v>
      </c>
      <c r="R17" s="328"/>
      <c r="S17" s="327" t="str">
        <f t="shared" ref="S17:S31" si="75">IF($O17="","",$O17)</f>
        <v>11 HumSS A</v>
      </c>
      <c r="T17" s="328"/>
      <c r="U17" s="327" t="str">
        <f t="shared" ref="U17:U31" si="76">IF($O17="","",$O17)</f>
        <v>11 HumSS A</v>
      </c>
      <c r="V17" s="328"/>
      <c r="W17" s="327" t="str">
        <f t="shared" ref="W17:W29" si="77">IF($O17="","",$O17)</f>
        <v>11 HumSS A</v>
      </c>
      <c r="X17" s="328"/>
      <c r="Y17" s="319"/>
      <c r="Z17" s="311"/>
      <c r="AA17" s="327" t="s">
        <v>454</v>
      </c>
      <c r="AB17" s="328"/>
      <c r="AC17" s="327" t="str">
        <f t="shared" ref="AC17:AC31" si="78">IF($AA17="","",$AA17)</f>
        <v>11 HumSS B</v>
      </c>
      <c r="AD17" s="328"/>
      <c r="AE17" s="327" t="str">
        <f t="shared" ref="AE17:AE31" si="79">IF($AA17="","",$AA17)</f>
        <v>11 HumSS B</v>
      </c>
      <c r="AF17" s="328"/>
      <c r="AG17" s="327" t="str">
        <f t="shared" ref="AG17:AG31" si="80">IF($AA17="","",$AA17)</f>
        <v>11 HumSS B</v>
      </c>
      <c r="AH17" s="328"/>
      <c r="AI17" s="327" t="str">
        <f t="shared" ref="AI17:AI29" si="81">IF($AA17="","",$AA17)</f>
        <v>11 HumSS B</v>
      </c>
      <c r="AJ17" s="328"/>
      <c r="AK17" s="319"/>
      <c r="AL17" s="311"/>
      <c r="AM17" s="327" t="s">
        <v>451</v>
      </c>
      <c r="AN17" s="328"/>
      <c r="AO17" s="327" t="str">
        <f t="shared" ref="AO17:AO31" si="82">IF($AM17="","",$AM17)</f>
        <v>11 HumSS C</v>
      </c>
      <c r="AP17" s="328"/>
      <c r="AQ17" s="327" t="str">
        <f t="shared" ref="AQ17:AQ31" si="83">IF($AM17="","",$AM17)</f>
        <v>11 HumSS C</v>
      </c>
      <c r="AR17" s="328"/>
      <c r="AS17" s="327" t="str">
        <f t="shared" ref="AS17:AS31" si="84">IF($AM17="","",$AM17)</f>
        <v>11 HumSS C</v>
      </c>
      <c r="AT17" s="328"/>
      <c r="AU17" s="327" t="str">
        <f t="shared" ref="AU17:AU29" si="85">IF($AM17="","",$AM17)</f>
        <v>11 HumSS C</v>
      </c>
      <c r="AV17" s="328"/>
      <c r="AW17" s="319"/>
      <c r="AX17" s="311"/>
      <c r="AY17" s="327" t="s">
        <v>497</v>
      </c>
      <c r="AZ17" s="328"/>
      <c r="BA17" s="327" t="str">
        <f t="shared" ref="BA17:BA31" si="86">IF($AY17="","",$AY17)</f>
        <v>11 HumSS D</v>
      </c>
      <c r="BB17" s="328"/>
      <c r="BC17" s="327" t="str">
        <f t="shared" ref="BC17:BC31" si="87">IF($AY17="","",$AY17)</f>
        <v>11 HumSS D</v>
      </c>
      <c r="BD17" s="328"/>
      <c r="BE17" s="327" t="str">
        <f t="shared" ref="BE17:BE31" si="88">IF($AY17="","",$AY17)</f>
        <v>11 HumSS D</v>
      </c>
      <c r="BF17" s="328"/>
      <c r="BG17" s="327" t="str">
        <f t="shared" ref="BG17:BG29" si="89">IF($AY17="","",$AY17)</f>
        <v>11 HumSS D</v>
      </c>
      <c r="BH17" s="328"/>
      <c r="BI17" s="319"/>
      <c r="BJ17" s="311"/>
      <c r="BK17" s="327" t="s">
        <v>457</v>
      </c>
      <c r="BL17" s="328"/>
      <c r="BM17" s="327" t="str">
        <f t="shared" ref="BM17:BM31" si="90">IF($BK17="","",$BK17)</f>
        <v>11 HumSS E</v>
      </c>
      <c r="BN17" s="328"/>
      <c r="BO17" s="327" t="str">
        <f t="shared" ref="BO17:BO31" si="91">IF($BK17="","",$BK17)</f>
        <v>11 HumSS E</v>
      </c>
      <c r="BP17" s="328"/>
      <c r="BQ17" s="327" t="str">
        <f t="shared" ref="BQ17:BQ31" si="92">IF($BK17="","",$BK17)</f>
        <v>11 HumSS E</v>
      </c>
      <c r="BR17" s="328"/>
      <c r="BS17" s="327" t="str">
        <f t="shared" ref="BS17:BS29" si="93">IF($BK17="","",$BK17)</f>
        <v>11 HumSS E</v>
      </c>
      <c r="BT17" s="328"/>
      <c r="BU17" s="319"/>
      <c r="BV17" s="311"/>
      <c r="BW17" s="327" t="s">
        <v>459</v>
      </c>
      <c r="BX17" s="328"/>
      <c r="BY17" s="327" t="str">
        <f t="shared" ref="BY17:BY31" si="94">IF($BW17="","",$BW17)</f>
        <v>11 AGRI</v>
      </c>
      <c r="BZ17" s="328"/>
      <c r="CA17" s="327" t="str">
        <f t="shared" ref="CA17:CA31" si="95">IF($BW17="","",$BW17)</f>
        <v>11 AGRI</v>
      </c>
      <c r="CB17" s="328"/>
      <c r="CC17" s="327" t="str">
        <f t="shared" ref="CC17:CC31" si="96">IF($BW17="","",$BW17)</f>
        <v>11 AGRI</v>
      </c>
      <c r="CD17" s="328"/>
      <c r="CE17" s="327" t="str">
        <f t="shared" ref="CE17:CE29" si="97">IF($BW17="","",$BW17)</f>
        <v>11 AGRI</v>
      </c>
      <c r="CF17" s="328"/>
      <c r="CG17" s="319"/>
      <c r="CH17" s="311"/>
      <c r="CI17" s="327" t="s">
        <v>461</v>
      </c>
      <c r="CJ17" s="328"/>
      <c r="CK17" s="327" t="str">
        <f t="shared" ref="CK17:CK31" si="98">IF($CI17="","",$CI17)</f>
        <v>11 SMAW</v>
      </c>
      <c r="CL17" s="328"/>
      <c r="CM17" s="327" t="str">
        <f t="shared" ref="CM17:CM31" si="99">IF($CI17="","",$CI17)</f>
        <v>11 SMAW</v>
      </c>
      <c r="CN17" s="328"/>
      <c r="CO17" s="327" t="str">
        <f t="shared" ref="CO17:CO31" si="100">IF($CI17="","",$CI17)</f>
        <v>11 SMAW</v>
      </c>
      <c r="CP17" s="328"/>
      <c r="CQ17" s="327" t="str">
        <f t="shared" ref="CQ17:CQ29" si="101">IF($CI17="","",$CI17)</f>
        <v>11 SMAW</v>
      </c>
      <c r="CR17" s="328"/>
      <c r="CS17" s="319"/>
      <c r="CT17" s="311"/>
      <c r="CU17" s="327" t="s">
        <v>463</v>
      </c>
      <c r="CV17" s="328"/>
      <c r="CW17" s="327" t="str">
        <f t="shared" ref="CW17:CW31" si="102">IF($CU17="","",$CU17)</f>
        <v>11 ICT</v>
      </c>
      <c r="CX17" s="328"/>
      <c r="CY17" s="327" t="str">
        <f t="shared" ref="CY17:CY31" si="103">IF($CU17="","",$CU17)</f>
        <v>11 ICT</v>
      </c>
      <c r="CZ17" s="328"/>
      <c r="DA17" s="327" t="str">
        <f t="shared" ref="DA17:DA31" si="104">IF($CU17="","",$CU17)</f>
        <v>11 ICT</v>
      </c>
      <c r="DB17" s="328"/>
      <c r="DC17" s="327" t="str">
        <f t="shared" ref="DC17:DC29" si="105">IF($CU17="","",$CU17)</f>
        <v>11 ICT</v>
      </c>
      <c r="DD17" s="328"/>
      <c r="DE17" s="319"/>
      <c r="DF17" s="311"/>
      <c r="DG17" s="327" t="s">
        <v>465</v>
      </c>
      <c r="DH17" s="328"/>
      <c r="DI17" s="327" t="str">
        <f t="shared" ref="DI17:DI31" si="106">IF($DG17="","",$DG17)</f>
        <v>11 GAS</v>
      </c>
      <c r="DJ17" s="328"/>
      <c r="DK17" s="327" t="str">
        <f t="shared" ref="DK17:DK31" si="107">IF($DG17="","",$DG17)</f>
        <v>11 GAS</v>
      </c>
      <c r="DL17" s="328"/>
      <c r="DM17" s="327" t="str">
        <f t="shared" ref="DM17:DM31" si="108">IF($DG17="","",$DG17)</f>
        <v>11 GAS</v>
      </c>
      <c r="DN17" s="328"/>
      <c r="DO17" s="327" t="str">
        <f t="shared" ref="DO17:DO29" si="109">IF($DG17="","",$DG17)</f>
        <v>11 GAS</v>
      </c>
      <c r="DP17" s="328"/>
      <c r="DQ17" s="319"/>
      <c r="DR17" s="311"/>
      <c r="DS17" s="327" t="s">
        <v>498</v>
      </c>
      <c r="DT17" s="328"/>
      <c r="DU17" s="327" t="str">
        <f t="shared" ref="DU17:DU31" si="110">IF($DS17="","",$DS17)</f>
        <v>11 Cookery</v>
      </c>
      <c r="DV17" s="328"/>
      <c r="DW17" s="327" t="str">
        <f t="shared" ref="DW17:DW31" si="111">IF($DS17="","",$DS17)</f>
        <v>11 Cookery</v>
      </c>
      <c r="DX17" s="328"/>
      <c r="DY17" s="327" t="str">
        <f t="shared" ref="DY17:DY31" si="112">IF($DS17="","",$DS17)</f>
        <v>11 Cookery</v>
      </c>
      <c r="DZ17" s="328"/>
      <c r="EA17" s="327" t="str">
        <f t="shared" ref="EA17:EA29" si="113">IF($DS17="","",$DS17)</f>
        <v>11 Cookery</v>
      </c>
      <c r="EB17" s="328"/>
      <c r="EC17" s="319"/>
      <c r="ED17" s="311"/>
      <c r="EE17" s="327" t="s">
        <v>485</v>
      </c>
      <c r="EF17" s="328"/>
      <c r="EG17" s="327" t="str">
        <f t="shared" ref="EG17:EG31" si="114">IF($EE17="","",$EE17)</f>
        <v>12 STEM</v>
      </c>
      <c r="EH17" s="328"/>
      <c r="EI17" s="327" t="str">
        <f t="shared" ref="EI17:EI31" si="115">IF($EE17="","",$EE17)</f>
        <v>12 STEM</v>
      </c>
      <c r="EJ17" s="328"/>
      <c r="EK17" s="327" t="str">
        <f t="shared" ref="EK17:EK31" si="116">IF($EE17="","",$EE17)</f>
        <v>12 STEM</v>
      </c>
      <c r="EL17" s="328"/>
      <c r="EM17" s="327" t="str">
        <f t="shared" ref="EM17:EM29" si="117">IF($EE17="","",$EE17)</f>
        <v>12 STEM</v>
      </c>
      <c r="EN17" s="328"/>
      <c r="EO17" s="319"/>
      <c r="EP17" s="311"/>
      <c r="EQ17" s="327" t="s">
        <v>486</v>
      </c>
      <c r="ER17" s="328"/>
      <c r="ES17" s="327" t="str">
        <f t="shared" ref="ES17:ES31" si="118">IF($EQ17="","",$EQ17)</f>
        <v>12 HumSS A</v>
      </c>
      <c r="ET17" s="328"/>
      <c r="EU17" s="327" t="str">
        <f t="shared" ref="EU17:EU31" si="119">IF($EQ17="","",$EQ17)</f>
        <v>12 HumSS A</v>
      </c>
      <c r="EV17" s="328"/>
      <c r="EW17" s="327" t="str">
        <f t="shared" ref="EW17:EW31" si="120">IF($EQ17="","",$EQ17)</f>
        <v>12 HumSS A</v>
      </c>
      <c r="EX17" s="328"/>
      <c r="EY17" s="327" t="str">
        <f t="shared" ref="EY17:EY29" si="121">IF($EQ17="","",$EQ17)</f>
        <v>12 HumSS A</v>
      </c>
      <c r="EZ17" s="328"/>
      <c r="FA17" s="319"/>
      <c r="FB17" s="311"/>
      <c r="FC17" s="327" t="s">
        <v>487</v>
      </c>
      <c r="FD17" s="328"/>
      <c r="FE17" s="327" t="str">
        <f t="shared" ref="FE17:FE31" si="122">IF($FC17="","",$FC17)</f>
        <v>12 HumSS B</v>
      </c>
      <c r="FF17" s="328"/>
      <c r="FG17" s="327" t="str">
        <f t="shared" ref="FG17:FG31" si="123">IF($FC17="","",$FC17)</f>
        <v>12 HumSS B</v>
      </c>
      <c r="FH17" s="328"/>
      <c r="FI17" s="327" t="str">
        <f t="shared" ref="FI17:FI31" si="124">IF($FC17="","",$FC17)</f>
        <v>12 HumSS B</v>
      </c>
      <c r="FJ17" s="328"/>
      <c r="FK17" s="327" t="str">
        <f t="shared" ref="FK17:FK27" si="125">IF($FC17="","",$FC17)</f>
        <v>12 HumSS B</v>
      </c>
      <c r="FL17" s="328"/>
      <c r="FM17" s="319"/>
      <c r="FN17" s="311"/>
      <c r="FO17" s="327" t="s">
        <v>488</v>
      </c>
      <c r="FP17" s="328"/>
      <c r="FQ17" s="327" t="str">
        <f t="shared" ref="FQ17:FQ31" si="126">IF($FO17="","",$FO17)</f>
        <v>12 HumSS C</v>
      </c>
      <c r="FR17" s="328"/>
      <c r="FS17" s="327" t="str">
        <f t="shared" ref="FS17:FS31" si="127">IF($FO17="","",$FO17)</f>
        <v>12 HumSS C</v>
      </c>
      <c r="FT17" s="328"/>
      <c r="FU17" s="327" t="str">
        <f t="shared" ref="FU17:FU31" si="128">IF($FO17="","",$FO17)</f>
        <v>12 HumSS C</v>
      </c>
      <c r="FV17" s="328"/>
      <c r="FW17" s="327" t="str">
        <f t="shared" ref="FW17:FW29" si="129">IF($FO17="","",$FO17)</f>
        <v>12 HumSS C</v>
      </c>
      <c r="FX17" s="328"/>
      <c r="FY17" s="319"/>
      <c r="FZ17" s="311"/>
      <c r="GA17" s="327" t="s">
        <v>489</v>
      </c>
      <c r="GB17" s="328"/>
      <c r="GC17" s="327" t="str">
        <f t="shared" ref="GC17:GC31" si="130">IF($GA17="","",$GA17)</f>
        <v>12 HumSS D</v>
      </c>
      <c r="GD17" s="328"/>
      <c r="GE17" s="327" t="str">
        <f t="shared" ref="GE17:GE31" si="131">IF($GA17="","",$GA17)</f>
        <v>12 HumSS D</v>
      </c>
      <c r="GF17" s="328"/>
      <c r="GG17" s="327" t="str">
        <f t="shared" ref="GG17:GG31" si="132">IF($GA17="","",$GA17)</f>
        <v>12 HumSS D</v>
      </c>
      <c r="GH17" s="328"/>
      <c r="GI17" s="327" t="str">
        <f t="shared" ref="GI17:GI29" si="133">IF($GA17="","",$GA17)</f>
        <v>12 HumSS D</v>
      </c>
      <c r="GJ17" s="328"/>
      <c r="GK17" s="319"/>
      <c r="GL17" s="311"/>
      <c r="GM17" s="327" t="s">
        <v>490</v>
      </c>
      <c r="GN17" s="328"/>
      <c r="GO17" s="327"/>
      <c r="GP17" s="328"/>
      <c r="GQ17" s="327"/>
      <c r="GR17" s="328"/>
      <c r="GS17" s="327"/>
      <c r="GT17" s="328"/>
      <c r="GU17" s="327"/>
      <c r="GV17" s="328"/>
      <c r="GW17" s="319"/>
      <c r="GX17" s="311"/>
      <c r="GY17" s="327" t="s">
        <v>492</v>
      </c>
      <c r="GZ17" s="328"/>
      <c r="HA17" s="327" t="str">
        <f t="shared" ref="HA17:HA31" si="134">IF($GY17="","",$GY17)</f>
        <v>12 SMAW</v>
      </c>
      <c r="HB17" s="328"/>
      <c r="HC17" s="327" t="str">
        <f t="shared" ref="HC17:HC31" si="135">IF($GY17="","",$GY17)</f>
        <v>12 SMAW</v>
      </c>
      <c r="HD17" s="328"/>
      <c r="HE17" s="327" t="str">
        <f t="shared" ref="HE17:HE31" si="136">IF($GY17="","",$GY17)</f>
        <v>12 SMAW</v>
      </c>
      <c r="HF17" s="328"/>
      <c r="HG17" s="327" t="str">
        <f t="shared" ref="HG17:HG27" si="137">IF($GY17="","",$GY17)</f>
        <v>12 SMAW</v>
      </c>
      <c r="HH17" s="328"/>
      <c r="HI17" s="319"/>
      <c r="HJ17" s="311"/>
      <c r="HK17" s="327" t="s">
        <v>494</v>
      </c>
      <c r="HL17" s="328"/>
      <c r="HM17" s="327" t="str">
        <f t="shared" ref="HM17:HM31" si="138">IF($HK17="","",$HK17)</f>
        <v>12 ICT</v>
      </c>
      <c r="HN17" s="328"/>
      <c r="HO17" s="327" t="str">
        <f t="shared" ref="HO17:HO31" si="139">IF($HK17="","",$HK17)</f>
        <v>12 ICT</v>
      </c>
      <c r="HP17" s="328"/>
      <c r="HQ17" s="327" t="str">
        <f t="shared" ref="HQ17:HQ31" si="140">IF($HK17="","",$HK17)</f>
        <v>12 ICT</v>
      </c>
      <c r="HR17" s="328"/>
      <c r="HS17" s="327" t="str">
        <f t="shared" ref="HS17:HS29" si="141">IF($HK17="","",$HK17)</f>
        <v>12 ICT</v>
      </c>
      <c r="HT17" s="328"/>
      <c r="HU17" s="319"/>
      <c r="HV17" s="311"/>
      <c r="HW17" s="327"/>
      <c r="HX17" s="328"/>
      <c r="HY17" s="327" t="str">
        <f t="shared" ref="HY17:HY31" si="142">IF($HW17="","",$HW17)</f>
        <v/>
      </c>
      <c r="HZ17" s="328"/>
      <c r="IA17" s="327" t="str">
        <f t="shared" ref="IA17:IA31" si="143">IF($HW17="","",$HW17)</f>
        <v/>
      </c>
      <c r="IB17" s="328"/>
      <c r="IC17" s="327" t="str">
        <f t="shared" ref="IC17:IC31" si="144">IF($HW17="","",$HW17)</f>
        <v/>
      </c>
      <c r="ID17" s="328"/>
      <c r="IE17" s="327" t="str">
        <f t="shared" ref="IE17:IE29" si="145">IF($HW17="","",$HW17)</f>
        <v/>
      </c>
      <c r="IF17" s="328"/>
      <c r="IG17" s="319"/>
      <c r="IH17" s="311"/>
      <c r="II17" s="327" t="s">
        <v>504</v>
      </c>
      <c r="IJ17" s="328"/>
      <c r="IK17" s="327" t="str">
        <f t="shared" ref="IK17:IK31" si="146">IF($II17="","",$II17)</f>
        <v>12 H.E.</v>
      </c>
      <c r="IL17" s="328"/>
      <c r="IM17" s="327" t="str">
        <f t="shared" ref="IK17:IM31" si="147">IF($II17="","",$II17)</f>
        <v>12 H.E.</v>
      </c>
      <c r="IN17" s="328"/>
      <c r="IO17" s="327" t="str">
        <f t="shared" ref="IO17:IO31" si="148">IF($II17="","",$II17)</f>
        <v>12 H.E.</v>
      </c>
      <c r="IP17" s="328"/>
      <c r="IQ17" s="327" t="str">
        <f t="shared" ref="IQ17:IQ29" si="149">IF($II17="","",$II17)</f>
        <v>12 H.E.</v>
      </c>
      <c r="IR17" s="328"/>
      <c r="IS17" s="319"/>
      <c r="IT17" s="311"/>
      <c r="IU17" s="327"/>
      <c r="IV17" s="328"/>
      <c r="IW17" s="327" t="str">
        <f t="shared" ref="IW17:IW31" si="150">IF($IU17="","",$IU17)</f>
        <v/>
      </c>
      <c r="IX17" s="328"/>
      <c r="IY17" s="327" t="str">
        <f t="shared" ref="IY17:IY31" si="151">IF($IU17="","",$IU17)</f>
        <v/>
      </c>
      <c r="IZ17" s="328"/>
      <c r="JA17" s="327" t="str">
        <f t="shared" ref="JA17:JA31" si="152">IF($IU17="","",$IU17)</f>
        <v/>
      </c>
      <c r="JB17" s="328"/>
      <c r="JC17" s="327" t="str">
        <f t="shared" ref="JC17:JC29" si="153">IF($IU17="","",$IU17)</f>
        <v/>
      </c>
      <c r="JD17" s="328"/>
      <c r="JE17" s="319"/>
      <c r="JF17" s="311"/>
      <c r="JG17" s="327" t="s">
        <v>485</v>
      </c>
      <c r="JH17" s="328"/>
      <c r="JI17" s="327"/>
      <c r="JJ17" s="328"/>
      <c r="JK17" s="327"/>
      <c r="JL17" s="328"/>
      <c r="JM17" s="327"/>
      <c r="JN17" s="328"/>
      <c r="JO17" s="327"/>
      <c r="JP17" s="328"/>
      <c r="JQ17" s="319"/>
      <c r="JR17" s="311"/>
      <c r="JS17" s="343" t="s">
        <v>495</v>
      </c>
      <c r="JT17" s="344"/>
      <c r="JU17" s="327" t="str">
        <f t="shared" ref="JU17:JU31" si="154">IF($JS17="","",$JS17)</f>
        <v>12 GAS</v>
      </c>
      <c r="JV17" s="328"/>
      <c r="JW17" s="327" t="str">
        <f t="shared" ref="JW17:JW31" si="155">IF($JS17="","",$JS17)</f>
        <v>12 GAS</v>
      </c>
      <c r="JX17" s="328"/>
      <c r="JY17" s="327" t="str">
        <f t="shared" ref="JY17:JY31" si="156">IF($JS17="","",$JS17)</f>
        <v>12 GAS</v>
      </c>
      <c r="JZ17" s="328"/>
      <c r="KA17" s="327" t="str">
        <f t="shared" ref="KA17:KA29" si="157">IF($JS17="","",$JS17)</f>
        <v>12 GAS</v>
      </c>
      <c r="KB17" s="328"/>
      <c r="KC17" s="319"/>
      <c r="KD17" s="311"/>
      <c r="KE17" s="343" t="s">
        <v>461</v>
      </c>
      <c r="KF17" s="344"/>
      <c r="KG17" s="339" t="str">
        <f t="shared" ref="KG17:KG31" si="158">IF($KE17="","",$KE17)</f>
        <v>11 SMAW</v>
      </c>
      <c r="KH17" s="340"/>
      <c r="KI17" s="339" t="str">
        <f t="shared" ref="KI17:KI31" si="159">IF($KE17="","",$KE17)</f>
        <v>11 SMAW</v>
      </c>
      <c r="KJ17" s="340"/>
      <c r="KK17" s="339" t="str">
        <f t="shared" ref="KK17:KK31" si="160">IF($KE17="","",$KE17)</f>
        <v>11 SMAW</v>
      </c>
      <c r="KL17" s="340"/>
      <c r="KM17" s="339" t="str">
        <f t="shared" ref="KM17:KM29" si="161">IF($KE17="","",$KE17)</f>
        <v>11 SMAW</v>
      </c>
      <c r="KN17" s="340"/>
      <c r="KO17" s="319"/>
      <c r="KP17" s="311"/>
      <c r="KQ17" s="327" t="s">
        <v>490</v>
      </c>
      <c r="KR17" s="328"/>
      <c r="KS17" s="327" t="str">
        <f t="shared" ref="KS17:KS31" si="162">IF($KQ17="","",$KQ17)</f>
        <v>12 AGRI</v>
      </c>
      <c r="KT17" s="328"/>
      <c r="KU17" s="327" t="str">
        <f t="shared" ref="KU17:KU31" si="163">IF($KQ17="","",$KQ17)</f>
        <v>12 AGRI</v>
      </c>
      <c r="KV17" s="328"/>
      <c r="KW17" s="327" t="str">
        <f t="shared" ref="KW17:KW31" si="164">IF($KQ17="","",$KQ17)</f>
        <v>12 AGRI</v>
      </c>
      <c r="KX17" s="328"/>
      <c r="KY17" s="327" t="str">
        <f t="shared" ref="KY17:KY29" si="165">IF($KQ17="","",$KQ17)</f>
        <v>12 AGRI</v>
      </c>
      <c r="KZ17" s="328"/>
      <c r="LA17" s="319"/>
      <c r="LB17" s="311"/>
      <c r="LC17" s="327"/>
      <c r="LD17" s="328"/>
      <c r="LE17" s="327" t="str">
        <f t="shared" ref="LE17:LE31" si="166">IF($LC17="","",$LC17)</f>
        <v/>
      </c>
      <c r="LF17" s="328"/>
      <c r="LG17" s="327" t="str">
        <f t="shared" ref="LG17:LG31" si="167">IF($LC17="","",$LC17)</f>
        <v/>
      </c>
      <c r="LH17" s="328"/>
      <c r="LI17" s="327" t="str">
        <f t="shared" si="52"/>
        <v/>
      </c>
      <c r="LJ17" s="328"/>
      <c r="LK17" s="327" t="str">
        <f t="shared" si="53"/>
        <v/>
      </c>
      <c r="LL17" s="328"/>
      <c r="LM17" s="319"/>
      <c r="LN17" s="311"/>
      <c r="LO17" s="327"/>
      <c r="LP17" s="328"/>
      <c r="LQ17" s="327" t="str">
        <f t="shared" ref="LQ17:LQ31" si="168">IF($LO17="","",$LO17)</f>
        <v/>
      </c>
      <c r="LR17" s="328"/>
      <c r="LS17" s="327" t="str">
        <f t="shared" ref="LS17:LS31" si="169">IF($LO17="","",$LO17)</f>
        <v/>
      </c>
      <c r="LT17" s="328"/>
      <c r="LU17" s="327" t="str">
        <f t="shared" si="54"/>
        <v/>
      </c>
      <c r="LV17" s="328"/>
      <c r="LW17" s="327" t="str">
        <f t="shared" si="55"/>
        <v/>
      </c>
      <c r="LX17" s="328"/>
      <c r="LY17" s="319"/>
      <c r="LZ17" s="311"/>
      <c r="MA17" s="327"/>
      <c r="MB17" s="328"/>
      <c r="MC17" s="327" t="str">
        <f t="shared" ref="MC17:MC31" si="170">IF($MA17="","",$MA17)</f>
        <v/>
      </c>
      <c r="MD17" s="328"/>
      <c r="ME17" s="327" t="str">
        <f t="shared" ref="ME17:ME31" si="171">IF($MA17="","",$MA17)</f>
        <v/>
      </c>
      <c r="MF17" s="328"/>
      <c r="MG17" s="327" t="str">
        <f t="shared" si="56"/>
        <v/>
      </c>
      <c r="MH17" s="328"/>
      <c r="MI17" s="327" t="str">
        <f t="shared" si="57"/>
        <v/>
      </c>
      <c r="MJ17" s="328"/>
      <c r="MK17" s="319"/>
      <c r="ML17" s="311"/>
      <c r="MM17" s="327"/>
      <c r="MN17" s="328"/>
      <c r="MO17" s="327" t="str">
        <f t="shared" ref="MO17:MO31" si="172">IF($MM17="","",$MM17)</f>
        <v/>
      </c>
      <c r="MP17" s="328"/>
      <c r="MQ17" s="327" t="str">
        <f t="shared" ref="MQ17:MQ31" si="173">IF($MM17="","",$MM17)</f>
        <v/>
      </c>
      <c r="MR17" s="328"/>
      <c r="MS17" s="327" t="str">
        <f t="shared" si="58"/>
        <v/>
      </c>
      <c r="MT17" s="328"/>
      <c r="MU17" s="327" t="str">
        <f t="shared" si="59"/>
        <v/>
      </c>
      <c r="MV17" s="328"/>
      <c r="MW17" s="319"/>
      <c r="MX17" s="311"/>
      <c r="MY17" s="327"/>
      <c r="MZ17" s="328"/>
      <c r="NA17" s="327" t="str">
        <f t="shared" ref="NA17:NA31" si="174">IF($MY17="","",$MY17)</f>
        <v/>
      </c>
      <c r="NB17" s="328"/>
      <c r="NC17" s="327" t="str">
        <f t="shared" ref="NC17:NC31" si="175">IF($MY17="","",$MY17)</f>
        <v/>
      </c>
      <c r="ND17" s="328"/>
      <c r="NE17" s="327" t="str">
        <f t="shared" si="60"/>
        <v/>
      </c>
      <c r="NF17" s="328"/>
      <c r="NG17" s="327" t="str">
        <f t="shared" si="61"/>
        <v/>
      </c>
      <c r="NH17" s="328"/>
      <c r="NI17" s="319"/>
      <c r="NJ17" s="311"/>
      <c r="NK17" s="327"/>
      <c r="NL17" s="328"/>
      <c r="NM17" s="327" t="str">
        <f t="shared" ref="NM17:NM31" si="176">IF($NK17="","",$NK17)</f>
        <v/>
      </c>
      <c r="NN17" s="328"/>
      <c r="NO17" s="327" t="str">
        <f t="shared" ref="NO17:NO31" si="177">IF($NK17="","",$NK17)</f>
        <v/>
      </c>
      <c r="NP17" s="328"/>
      <c r="NQ17" s="327" t="str">
        <f t="shared" si="62"/>
        <v/>
      </c>
      <c r="NR17" s="328"/>
      <c r="NS17" s="327" t="str">
        <f t="shared" si="63"/>
        <v/>
      </c>
      <c r="NT17" s="328"/>
      <c r="NU17" s="319"/>
      <c r="NV17" s="311"/>
      <c r="NW17" s="327"/>
      <c r="NX17" s="328"/>
      <c r="NY17" s="327" t="str">
        <f t="shared" ref="NY17:NY31" si="178">IF($NW17="","",$NW17)</f>
        <v/>
      </c>
      <c r="NZ17" s="328"/>
      <c r="OA17" s="327" t="str">
        <f t="shared" ref="OA17:OA31" si="179">IF($NW17="","",$NW17)</f>
        <v/>
      </c>
      <c r="OB17" s="328"/>
      <c r="OC17" s="327" t="str">
        <f t="shared" si="64"/>
        <v/>
      </c>
      <c r="OD17" s="328"/>
      <c r="OE17" s="327" t="str">
        <f t="shared" si="65"/>
        <v/>
      </c>
      <c r="OF17" s="328"/>
      <c r="OG17" s="319"/>
      <c r="OH17" s="311"/>
      <c r="OI17" s="327"/>
      <c r="OJ17" s="328"/>
      <c r="OK17" s="327" t="str">
        <f t="shared" ref="OK17:OK31" si="180">IF($OI17="","",$OI17)</f>
        <v/>
      </c>
      <c r="OL17" s="328"/>
      <c r="OM17" s="327" t="str">
        <f t="shared" ref="OM17:OM31" si="181">IF($OI17="","",$OI17)</f>
        <v/>
      </c>
      <c r="ON17" s="328"/>
      <c r="OO17" s="327" t="str">
        <f t="shared" si="66"/>
        <v/>
      </c>
      <c r="OP17" s="328"/>
      <c r="OQ17" s="327" t="str">
        <f t="shared" si="67"/>
        <v/>
      </c>
      <c r="OR17" s="328"/>
      <c r="OS17" s="319"/>
      <c r="OT17" s="311"/>
      <c r="OU17" s="327"/>
      <c r="OV17" s="328"/>
      <c r="OW17" s="327" t="str">
        <f t="shared" ref="OW17:OW31" si="182">IF($OU17="","",$OU17)</f>
        <v/>
      </c>
      <c r="OX17" s="328"/>
      <c r="OY17" s="327" t="str">
        <f t="shared" ref="OY17:OY31" si="183">IF($OU17="","",$OU17)</f>
        <v/>
      </c>
      <c r="OZ17" s="328"/>
      <c r="PA17" s="327" t="str">
        <f t="shared" si="68"/>
        <v/>
      </c>
      <c r="PB17" s="328"/>
      <c r="PC17" s="327" t="str">
        <f t="shared" si="69"/>
        <v/>
      </c>
      <c r="PD17" s="328"/>
      <c r="PE17" s="319"/>
      <c r="PF17" s="311"/>
      <c r="PG17" s="327"/>
      <c r="PH17" s="328"/>
      <c r="PI17" s="327" t="str">
        <f t="shared" ref="PI17:PI31" si="184">IF($PG17="","",$PG17)</f>
        <v/>
      </c>
      <c r="PJ17" s="328"/>
      <c r="PK17" s="327" t="str">
        <f t="shared" ref="PK17:PK31" si="185">IF($PG17="","",$PG17)</f>
        <v/>
      </c>
      <c r="PL17" s="328"/>
      <c r="PM17" s="327" t="str">
        <f t="shared" si="70"/>
        <v/>
      </c>
      <c r="PN17" s="328"/>
      <c r="PO17" s="327" t="str">
        <f t="shared" si="71"/>
        <v/>
      </c>
      <c r="PP17" s="328"/>
    </row>
    <row r="18" spans="1:432">
      <c r="A18" s="318" t="s">
        <v>341</v>
      </c>
      <c r="B18" s="310">
        <f>IF(AND(C18="",E18="",G18="",I18="",K18=""),"",COUNTA(C18:L18)*50)</f>
        <v>250</v>
      </c>
      <c r="C18" s="305" t="str">
        <f>'Gen CP'!F60</f>
        <v>CPAR</v>
      </c>
      <c r="D18" s="306"/>
      <c r="E18" s="305" t="str">
        <f t="shared" ref="E18:K31" si="186">IF($C18="","",$C18)</f>
        <v>CPAR</v>
      </c>
      <c r="F18" s="306"/>
      <c r="G18" s="305" t="str">
        <f t="shared" si="186"/>
        <v>CPAR</v>
      </c>
      <c r="H18" s="306"/>
      <c r="I18" s="305" t="str">
        <f t="shared" si="186"/>
        <v>CPAR</v>
      </c>
      <c r="J18" s="306"/>
      <c r="K18" s="305" t="str">
        <f t="shared" si="186"/>
        <v>CPAR</v>
      </c>
      <c r="L18" s="306"/>
      <c r="M18" s="318" t="s">
        <v>341</v>
      </c>
      <c r="N18" s="310" t="str">
        <f t="shared" ref="N18" si="187">IF(AND(O18="",Q18="",S18="",U18="",W18=""),"",COUNTA(O18:X18)*50)</f>
        <v/>
      </c>
      <c r="O18" s="327"/>
      <c r="P18" s="328"/>
      <c r="Q18" s="327" t="str">
        <f t="shared" si="74"/>
        <v/>
      </c>
      <c r="R18" s="328"/>
      <c r="S18" s="327" t="str">
        <f t="shared" si="75"/>
        <v/>
      </c>
      <c r="T18" s="328"/>
      <c r="U18" s="327" t="str">
        <f t="shared" si="76"/>
        <v/>
      </c>
      <c r="V18" s="328"/>
      <c r="W18" s="327" t="str">
        <f t="shared" si="77"/>
        <v/>
      </c>
      <c r="X18" s="328"/>
      <c r="Y18" s="318" t="s">
        <v>341</v>
      </c>
      <c r="Z18" s="310">
        <f t="shared" ref="Z18" si="188">IF(AND(AA18="",AC18="",AE18="",AG18="",AI18=""),"",COUNTA(AA18:AJ18)*50)</f>
        <v>250</v>
      </c>
      <c r="AA18" s="327" t="s">
        <v>112</v>
      </c>
      <c r="AB18" s="328"/>
      <c r="AC18" s="327" t="str">
        <f t="shared" si="78"/>
        <v>Oral Com</v>
      </c>
      <c r="AD18" s="328"/>
      <c r="AE18" s="327" t="str">
        <f t="shared" si="79"/>
        <v>Oral Com</v>
      </c>
      <c r="AF18" s="328"/>
      <c r="AG18" s="327" t="str">
        <f t="shared" si="80"/>
        <v>Oral Com</v>
      </c>
      <c r="AH18" s="328"/>
      <c r="AI18" s="327" t="str">
        <f t="shared" si="81"/>
        <v>Oral Com</v>
      </c>
      <c r="AJ18" s="328"/>
      <c r="AK18" s="318" t="s">
        <v>341</v>
      </c>
      <c r="AL18" s="310">
        <f t="shared" ref="AL18" si="189">IF(AND(AM18="",AO18="",AQ18="",AS18="",AU18=""),"",COUNTA(AM18:AV18)*50)</f>
        <v>200</v>
      </c>
      <c r="AM18" s="327" t="s">
        <v>115</v>
      </c>
      <c r="AN18" s="328"/>
      <c r="AO18" s="327" t="str">
        <f t="shared" si="82"/>
        <v>UCSP</v>
      </c>
      <c r="AP18" s="328"/>
      <c r="AQ18" s="329"/>
      <c r="AR18" s="330"/>
      <c r="AS18" s="327" t="str">
        <f t="shared" si="84"/>
        <v>UCSP</v>
      </c>
      <c r="AT18" s="328"/>
      <c r="AU18" s="327" t="str">
        <f t="shared" si="85"/>
        <v>UCSP</v>
      </c>
      <c r="AV18" s="328"/>
      <c r="AW18" s="318" t="s">
        <v>341</v>
      </c>
      <c r="AX18" s="310">
        <f t="shared" ref="AX18" si="190">IF(AND(AY18="",BA18="",BC18="",BE18="",BG18=""),"",COUNTA(AY18:BH18)*50)</f>
        <v>250</v>
      </c>
      <c r="AY18" s="327" t="s">
        <v>113</v>
      </c>
      <c r="AZ18" s="328"/>
      <c r="BA18" s="327" t="str">
        <f t="shared" si="86"/>
        <v>Kom Pan</v>
      </c>
      <c r="BB18" s="328"/>
      <c r="BC18" s="327" t="str">
        <f t="shared" si="87"/>
        <v>Kom Pan</v>
      </c>
      <c r="BD18" s="328"/>
      <c r="BE18" s="327" t="str">
        <f t="shared" si="88"/>
        <v>Kom Pan</v>
      </c>
      <c r="BF18" s="328"/>
      <c r="BG18" s="327" t="str">
        <f t="shared" si="89"/>
        <v>Kom Pan</v>
      </c>
      <c r="BH18" s="328"/>
      <c r="BI18" s="318" t="s">
        <v>341</v>
      </c>
      <c r="BJ18" s="310">
        <f t="shared" ref="BJ18" si="191">IF(AND(BK18="",BM18="",BO18="",BQ18="",BS18=""),"",COUNTA(BK18:BT18)*50)</f>
        <v>50</v>
      </c>
      <c r="BK18" s="327" t="str">
        <f>BK20</f>
        <v>MIL</v>
      </c>
      <c r="BL18" s="328"/>
      <c r="BM18" s="327"/>
      <c r="BN18" s="328"/>
      <c r="BO18" s="327"/>
      <c r="BP18" s="328"/>
      <c r="BQ18" s="327"/>
      <c r="BR18" s="328"/>
      <c r="BS18" s="327"/>
      <c r="BT18" s="328"/>
      <c r="BU18" s="318" t="s">
        <v>341</v>
      </c>
      <c r="BV18" s="310">
        <f t="shared" ref="BV18" si="192">IF(AND(BW18="",BY18="",CA18="",CC18="",CE18=""),"",COUNTA(BW18:CF18)*50)</f>
        <v>250</v>
      </c>
      <c r="BW18" s="327" t="str">
        <f>'Gen CP'!H17</f>
        <v>Agri-Crops NC II</v>
      </c>
      <c r="BX18" s="328"/>
      <c r="BY18" s="327" t="str">
        <f t="shared" si="94"/>
        <v>Agri-Crops NC II</v>
      </c>
      <c r="BZ18" s="328"/>
      <c r="CA18" s="327" t="str">
        <f t="shared" si="95"/>
        <v>Agri-Crops NC II</v>
      </c>
      <c r="CB18" s="328"/>
      <c r="CC18" s="327" t="str">
        <f t="shared" si="96"/>
        <v>Agri-Crops NC II</v>
      </c>
      <c r="CD18" s="328"/>
      <c r="CE18" s="327" t="str">
        <f t="shared" si="97"/>
        <v>Agri-Crops NC II</v>
      </c>
      <c r="CF18" s="328"/>
      <c r="CG18" s="318" t="s">
        <v>341</v>
      </c>
      <c r="CH18" s="310">
        <f t="shared" ref="CH18" si="193">IF(AND(CI18="",CK18="",CM18="",CO18="",CQ18=""),"",COUNTA(CI18:CR18)*50)</f>
        <v>250</v>
      </c>
      <c r="CI18" s="327" t="str">
        <f>'Gen CP'!G17</f>
        <v>Earth &amp; Life</v>
      </c>
      <c r="CJ18" s="328"/>
      <c r="CK18" s="327" t="str">
        <f t="shared" si="98"/>
        <v>Earth &amp; Life</v>
      </c>
      <c r="CL18" s="328"/>
      <c r="CM18" s="327" t="str">
        <f t="shared" si="99"/>
        <v>Earth &amp; Life</v>
      </c>
      <c r="CN18" s="328"/>
      <c r="CO18" s="327" t="str">
        <f t="shared" si="100"/>
        <v>Earth &amp; Life</v>
      </c>
      <c r="CP18" s="328"/>
      <c r="CQ18" s="327" t="str">
        <f t="shared" si="101"/>
        <v>Earth &amp; Life</v>
      </c>
      <c r="CR18" s="328"/>
      <c r="CS18" s="318" t="s">
        <v>341</v>
      </c>
      <c r="CT18" s="310">
        <f t="shared" ref="CT18" si="194">IF(AND(CU18="",CW18="",CY18="",DA18="",DC18=""),"",COUNTA(CU18:DD18)*50)</f>
        <v>200</v>
      </c>
      <c r="CU18" s="327"/>
      <c r="CV18" s="328"/>
      <c r="CW18" s="327" t="s">
        <v>375</v>
      </c>
      <c r="CX18" s="328"/>
      <c r="CY18" s="327" t="s">
        <v>375</v>
      </c>
      <c r="CZ18" s="328"/>
      <c r="DA18" s="327" t="s">
        <v>375</v>
      </c>
      <c r="DB18" s="328"/>
      <c r="DC18" s="327" t="s">
        <v>375</v>
      </c>
      <c r="DD18" s="328"/>
      <c r="DE18" s="318" t="s">
        <v>341</v>
      </c>
      <c r="DF18" s="310">
        <f t="shared" ref="DF18" si="195">IF(AND(DG18="",DI18="",DK18="",DM18="",DO18=""),"",COUNTA(DG18:DP18)*50)</f>
        <v>250</v>
      </c>
      <c r="DG18" s="327" t="s">
        <v>313</v>
      </c>
      <c r="DH18" s="328"/>
      <c r="DI18" s="327" t="str">
        <f t="shared" si="106"/>
        <v>MIL</v>
      </c>
      <c r="DJ18" s="328"/>
      <c r="DK18" s="327" t="str">
        <f t="shared" si="107"/>
        <v>MIL</v>
      </c>
      <c r="DL18" s="328"/>
      <c r="DM18" s="327" t="str">
        <f t="shared" si="108"/>
        <v>MIL</v>
      </c>
      <c r="DN18" s="328"/>
      <c r="DO18" s="327" t="str">
        <f t="shared" si="109"/>
        <v>MIL</v>
      </c>
      <c r="DP18" s="328"/>
      <c r="DQ18" s="318" t="s">
        <v>341</v>
      </c>
      <c r="DR18" s="310">
        <f t="shared" ref="DR18" si="196">IF(AND(DS18="",DU18="",DW18="",DY18="",EA18=""),"",COUNTA(DS18:EB18)*50)</f>
        <v>250</v>
      </c>
      <c r="DS18" s="335" t="str">
        <f>'Gen CP'!L17</f>
        <v>Food and Beverage</v>
      </c>
      <c r="DT18" s="336"/>
      <c r="DU18" s="331" t="s">
        <v>502</v>
      </c>
      <c r="DV18" s="332"/>
      <c r="DW18" s="335" t="str">
        <f t="shared" si="111"/>
        <v>Food and Beverage</v>
      </c>
      <c r="DX18" s="336"/>
      <c r="DY18" s="335" t="str">
        <f t="shared" si="112"/>
        <v>Food and Beverage</v>
      </c>
      <c r="DZ18" s="336"/>
      <c r="EA18" s="335" t="str">
        <f t="shared" si="113"/>
        <v>Food and Beverage</v>
      </c>
      <c r="EB18" s="336"/>
      <c r="EC18" s="318" t="s">
        <v>341</v>
      </c>
      <c r="ED18" s="310">
        <f t="shared" ref="ED18" si="197">IF(AND(EE18="",EG18="",EI18="",EK18="",EM18=""),"",COUNTA(EE18:EN18)*50)</f>
        <v>250</v>
      </c>
      <c r="EE18" s="339" t="str">
        <f>'Gen CP'!G17</f>
        <v>Earth &amp; Life</v>
      </c>
      <c r="EF18" s="340"/>
      <c r="EG18" s="339" t="str">
        <f>'Gen CP'!I17</f>
        <v>Oral Com</v>
      </c>
      <c r="EH18" s="340"/>
      <c r="EI18" s="339" t="str">
        <f t="shared" si="115"/>
        <v>Earth &amp; Life</v>
      </c>
      <c r="EJ18" s="340"/>
      <c r="EK18" s="339" t="str">
        <f t="shared" si="116"/>
        <v>Earth &amp; Life</v>
      </c>
      <c r="EL18" s="340"/>
      <c r="EM18" s="339" t="str">
        <f t="shared" si="117"/>
        <v>Earth &amp; Life</v>
      </c>
      <c r="EN18" s="340"/>
      <c r="EO18" s="318" t="s">
        <v>341</v>
      </c>
      <c r="EP18" s="310">
        <f t="shared" ref="EP18" si="198">IF(AND(EQ18="",ES18="",EU18="",EW18="",EY18=""),"",COUNTA(EQ18:EZ18)*50)</f>
        <v>250</v>
      </c>
      <c r="EQ18" s="327" t="s">
        <v>314</v>
      </c>
      <c r="ER18" s="328"/>
      <c r="ES18" s="327" t="str">
        <f t="shared" si="118"/>
        <v>Philo</v>
      </c>
      <c r="ET18" s="328"/>
      <c r="EU18" s="327" t="str">
        <f t="shared" si="119"/>
        <v>Philo</v>
      </c>
      <c r="EV18" s="328"/>
      <c r="EW18" s="327" t="str">
        <f t="shared" si="120"/>
        <v>Philo</v>
      </c>
      <c r="EX18" s="328"/>
      <c r="EY18" s="327" t="str">
        <f t="shared" si="121"/>
        <v>Philo</v>
      </c>
      <c r="EZ18" s="328"/>
      <c r="FA18" s="318" t="s">
        <v>341</v>
      </c>
      <c r="FB18" s="310" t="str">
        <f t="shared" ref="FB18" si="199">IF(AND(FC18="",FE18="",FG18="",FI18="",FK18=""),"",COUNTA(FC18:FL18)*50)</f>
        <v/>
      </c>
      <c r="FC18" s="327"/>
      <c r="FD18" s="328"/>
      <c r="FE18" s="327" t="str">
        <f t="shared" si="122"/>
        <v/>
      </c>
      <c r="FF18" s="328"/>
      <c r="FG18" s="327" t="str">
        <f t="shared" si="123"/>
        <v/>
      </c>
      <c r="FH18" s="328"/>
      <c r="FI18" s="327" t="str">
        <f t="shared" si="124"/>
        <v/>
      </c>
      <c r="FJ18" s="328"/>
      <c r="FK18" s="327" t="str">
        <f t="shared" si="125"/>
        <v/>
      </c>
      <c r="FL18" s="328"/>
      <c r="FM18" s="318" t="s">
        <v>341</v>
      </c>
      <c r="FN18" s="310">
        <f t="shared" ref="FN18" si="200">IF(AND(FO18="",FQ18="",FS18="",FU18="",FW18=""),"",COUNTA(FO18:FX18)*50)</f>
        <v>250</v>
      </c>
      <c r="FO18" s="327" t="s">
        <v>140</v>
      </c>
      <c r="FP18" s="328"/>
      <c r="FQ18" s="327" t="str">
        <f t="shared" si="126"/>
        <v>PPG</v>
      </c>
      <c r="FR18" s="328"/>
      <c r="FS18" s="333" t="s">
        <v>140</v>
      </c>
      <c r="FT18" s="334"/>
      <c r="FU18" s="327" t="str">
        <f t="shared" si="128"/>
        <v>PPG</v>
      </c>
      <c r="FV18" s="328"/>
      <c r="FW18" s="327" t="str">
        <f t="shared" si="129"/>
        <v>PPG</v>
      </c>
      <c r="FX18" s="328"/>
      <c r="FY18" s="318" t="s">
        <v>341</v>
      </c>
      <c r="FZ18" s="310">
        <f t="shared" ref="FZ18" si="201">IF(AND(GA18="",GC18="",GE18="",GG18="",GI18=""),"",COUNTA(GA18:GJ18)*50)</f>
        <v>250</v>
      </c>
      <c r="GA18" s="327" t="str">
        <f>'Gen CP'!K60</f>
        <v>Piling Larang</v>
      </c>
      <c r="GB18" s="328"/>
      <c r="GC18" s="327" t="str">
        <f t="shared" si="130"/>
        <v>Piling Larang</v>
      </c>
      <c r="GD18" s="328"/>
      <c r="GE18" s="327" t="str">
        <f t="shared" si="131"/>
        <v>Piling Larang</v>
      </c>
      <c r="GF18" s="328"/>
      <c r="GG18" s="327" t="str">
        <f t="shared" si="132"/>
        <v>Piling Larang</v>
      </c>
      <c r="GH18" s="328"/>
      <c r="GI18" s="327" t="str">
        <f t="shared" si="133"/>
        <v>Piling Larang</v>
      </c>
      <c r="GJ18" s="328"/>
      <c r="GK18" s="318" t="s">
        <v>341</v>
      </c>
      <c r="GL18" s="310">
        <f t="shared" ref="GL18" si="202">IF(AND(GM18="",GO18="",GQ18="",GS18="",GU18=""),"",COUNTA(GM18:GV18)*50)</f>
        <v>250</v>
      </c>
      <c r="GM18" s="327" t="str">
        <f>'Gen CP'!G60</f>
        <v>Agri-Crops NC II</v>
      </c>
      <c r="GN18" s="328"/>
      <c r="GO18" s="327" t="str">
        <f t="shared" ref="GO18:GO31" si="203">IF($GM18="","",$GM18)</f>
        <v>Agri-Crops NC II</v>
      </c>
      <c r="GP18" s="328"/>
      <c r="GQ18" s="327" t="str">
        <f t="shared" ref="GQ18:GQ31" si="204">IF($GM18="","",$GM18)</f>
        <v>Agri-Crops NC II</v>
      </c>
      <c r="GR18" s="328"/>
      <c r="GS18" s="327" t="str">
        <f t="shared" ref="GS18:GS31" si="205">IF($GM18="","",$GM18)</f>
        <v>Agri-Crops NC II</v>
      </c>
      <c r="GT18" s="328"/>
      <c r="GU18" s="327" t="str">
        <f t="shared" ref="GU18:GU29" si="206">IF($GM18="","",$GM18)</f>
        <v>Agri-Crops NC II</v>
      </c>
      <c r="GV18" s="328"/>
      <c r="GW18" s="318" t="s">
        <v>341</v>
      </c>
      <c r="GX18" s="310">
        <f t="shared" ref="GX18" si="207">IF(AND(GY18="",HA18="",HC18="",HE18="",HG18=""),"",COUNTA(GY18:HH18)*50)</f>
        <v>200</v>
      </c>
      <c r="GY18" s="327"/>
      <c r="GZ18" s="328"/>
      <c r="HA18" s="327" t="s">
        <v>375</v>
      </c>
      <c r="HB18" s="328"/>
      <c r="HC18" s="327" t="s">
        <v>375</v>
      </c>
      <c r="HD18" s="328"/>
      <c r="HE18" s="327" t="s">
        <v>375</v>
      </c>
      <c r="HF18" s="328"/>
      <c r="HG18" s="327" t="s">
        <v>375</v>
      </c>
      <c r="HH18" s="328"/>
      <c r="HI18" s="318" t="s">
        <v>341</v>
      </c>
      <c r="HJ18" s="310">
        <f t="shared" ref="HJ18" si="208">IF(AND(HK18="",HM18="",HO18="",HQ18="",HS18=""),"",COUNTA(HK18:HT18)*50)</f>
        <v>250</v>
      </c>
      <c r="HK18" s="327" t="s">
        <v>128</v>
      </c>
      <c r="HL18" s="328"/>
      <c r="HM18" s="327" t="str">
        <f t="shared" si="138"/>
        <v>CSS</v>
      </c>
      <c r="HN18" s="328"/>
      <c r="HO18" s="327" t="str">
        <f t="shared" si="139"/>
        <v>CSS</v>
      </c>
      <c r="HP18" s="328"/>
      <c r="HQ18" s="327" t="str">
        <f t="shared" si="140"/>
        <v>CSS</v>
      </c>
      <c r="HR18" s="328"/>
      <c r="HS18" s="327" t="str">
        <f t="shared" si="141"/>
        <v>CSS</v>
      </c>
      <c r="HT18" s="328"/>
      <c r="HU18" s="318" t="s">
        <v>341</v>
      </c>
      <c r="HV18" s="310">
        <f t="shared" ref="HV18" si="209">IF(AND(HW18="",HY18="",IA18="",IC18="",IE18=""),"",COUNTA(HW18:IF18)*50)</f>
        <v>250</v>
      </c>
      <c r="HW18" s="327" t="str">
        <f>'Gen CP'!J17</f>
        <v>Gen Math</v>
      </c>
      <c r="HX18" s="328"/>
      <c r="HY18" s="327" t="str">
        <f t="shared" si="142"/>
        <v>Gen Math</v>
      </c>
      <c r="HZ18" s="328"/>
      <c r="IA18" s="327" t="str">
        <f t="shared" si="143"/>
        <v>Gen Math</v>
      </c>
      <c r="IB18" s="328"/>
      <c r="IC18" s="327" t="str">
        <f t="shared" si="144"/>
        <v>Gen Math</v>
      </c>
      <c r="ID18" s="328"/>
      <c r="IE18" s="327" t="str">
        <f t="shared" si="145"/>
        <v>Gen Math</v>
      </c>
      <c r="IF18" s="328"/>
      <c r="IG18" s="318" t="s">
        <v>341</v>
      </c>
      <c r="IH18" s="310">
        <f t="shared" ref="IH18" si="210">IF(AND(II18="",IK18="",IM18="",IO18="",IQ18=""),"",COUNTA(II18:IR18)*50)</f>
        <v>250</v>
      </c>
      <c r="II18" s="327" t="s">
        <v>141</v>
      </c>
      <c r="IJ18" s="328"/>
      <c r="IK18" s="327" t="str">
        <f t="shared" si="147"/>
        <v>DIASS</v>
      </c>
      <c r="IL18" s="328"/>
      <c r="IM18" s="327" t="str">
        <f t="shared" si="147"/>
        <v>DIASS</v>
      </c>
      <c r="IN18" s="328"/>
      <c r="IO18" s="327" t="s">
        <v>125</v>
      </c>
      <c r="IP18" s="328"/>
      <c r="IQ18" s="327" t="str">
        <f t="shared" si="149"/>
        <v>DIASS</v>
      </c>
      <c r="IR18" s="328"/>
      <c r="IS18" s="318" t="s">
        <v>341</v>
      </c>
      <c r="IT18" s="310">
        <f t="shared" ref="IT18" si="211">IF(AND(IU18="",IW18="",IY18="",JA18="",JC18=""),"",COUNTA(IU18:JD18)*50)</f>
        <v>250</v>
      </c>
      <c r="IU18" s="327" t="str">
        <f>'Gen CP'!B17</f>
        <v>Pre-Calculus</v>
      </c>
      <c r="IV18" s="328"/>
      <c r="IW18" s="327" t="str">
        <f t="shared" si="150"/>
        <v>Pre-Calculus</v>
      </c>
      <c r="IX18" s="328"/>
      <c r="IY18" s="327" t="str">
        <f t="shared" si="151"/>
        <v>Pre-Calculus</v>
      </c>
      <c r="IZ18" s="328"/>
      <c r="JA18" s="327" t="str">
        <f t="shared" si="152"/>
        <v>Pre-Calculus</v>
      </c>
      <c r="JB18" s="328"/>
      <c r="JC18" s="327" t="str">
        <f t="shared" si="153"/>
        <v>Pre-Calculus</v>
      </c>
      <c r="JD18" s="328"/>
      <c r="JE18" s="318" t="s">
        <v>341</v>
      </c>
      <c r="JF18" s="310">
        <f t="shared" ref="JF18" si="212">IF(AND(JG18="",JI18="",JK18="",JM18="",JO18=""),"",COUNTA(JG18:JP18)*50)</f>
        <v>200</v>
      </c>
      <c r="JG18" s="327" t="str">
        <f>'Gen CP'!C60</f>
        <v>Piling Larang</v>
      </c>
      <c r="JH18" s="328"/>
      <c r="JI18" s="333"/>
      <c r="JJ18" s="334"/>
      <c r="JK18" s="327" t="str">
        <f t="shared" ref="JK18:JM31" si="213">IF($JG18="","",$JG18)</f>
        <v>Piling Larang</v>
      </c>
      <c r="JL18" s="328"/>
      <c r="JM18" s="327" t="str">
        <f t="shared" si="213"/>
        <v>Piling Larang</v>
      </c>
      <c r="JN18" s="328"/>
      <c r="JO18" s="327" t="str">
        <f t="shared" ref="JO18:JO29" si="214">IF($JG18="","",$JG18)</f>
        <v>Piling Larang</v>
      </c>
      <c r="JP18" s="328"/>
      <c r="JQ18" s="318" t="s">
        <v>341</v>
      </c>
      <c r="JR18" s="310">
        <f t="shared" ref="JR18" si="215">IF(AND(JS18="",JU18="",JW18="",JY18="",KA18=""),"",COUNTA(JS18:KB18)*50)</f>
        <v>250</v>
      </c>
      <c r="JS18" s="327" t="str">
        <f>'Gen CP'!K17</f>
        <v>Earth &amp; Life</v>
      </c>
      <c r="JT18" s="328"/>
      <c r="JU18" s="327" t="str">
        <f t="shared" si="154"/>
        <v>Earth &amp; Life</v>
      </c>
      <c r="JV18" s="328"/>
      <c r="JW18" s="327" t="str">
        <f t="shared" si="155"/>
        <v>Earth &amp; Life</v>
      </c>
      <c r="JX18" s="328"/>
      <c r="JY18" s="327" t="str">
        <f t="shared" si="156"/>
        <v>Earth &amp; Life</v>
      </c>
      <c r="JZ18" s="328"/>
      <c r="KA18" s="327" t="str">
        <f t="shared" si="157"/>
        <v>Earth &amp; Life</v>
      </c>
      <c r="KB18" s="328"/>
      <c r="KC18" s="318" t="s">
        <v>341</v>
      </c>
      <c r="KD18" s="310">
        <f t="shared" ref="KD18" si="216">IF(AND(KE18="",KG18="",KI18="",KK18="",KM18=""),"",COUNTA(KE18:KN18)*50)</f>
        <v>250</v>
      </c>
      <c r="KE18" s="327" t="str">
        <f>'Gen CP'!F17</f>
        <v>21st Cen Lit</v>
      </c>
      <c r="KF18" s="328"/>
      <c r="KG18" s="327" t="str">
        <f t="shared" si="158"/>
        <v>21st Cen Lit</v>
      </c>
      <c r="KH18" s="328"/>
      <c r="KI18" s="327" t="str">
        <f t="shared" si="159"/>
        <v>21st Cen Lit</v>
      </c>
      <c r="KJ18" s="328"/>
      <c r="KK18" s="327" t="str">
        <f t="shared" si="160"/>
        <v>21st Cen Lit</v>
      </c>
      <c r="KL18" s="328"/>
      <c r="KM18" s="327" t="str">
        <f t="shared" si="161"/>
        <v>21st Cen Lit</v>
      </c>
      <c r="KN18" s="328"/>
      <c r="KO18" s="318" t="s">
        <v>341</v>
      </c>
      <c r="KP18" s="310">
        <f t="shared" ref="KP18" si="217">IF(AND(KQ18="",KS18="",KU18="",KW18="",KY18=""),"",COUNTA(KQ18:KZ18)*50)</f>
        <v>200</v>
      </c>
      <c r="KQ18" s="327" t="str">
        <f>'Gen CP'!I17</f>
        <v>Oral Com</v>
      </c>
      <c r="KR18" s="328"/>
      <c r="KS18" s="327" t="str">
        <f t="shared" si="162"/>
        <v>Oral Com</v>
      </c>
      <c r="KT18" s="328"/>
      <c r="KU18" s="327" t="str">
        <f t="shared" si="163"/>
        <v>Oral Com</v>
      </c>
      <c r="KV18" s="328"/>
      <c r="KW18" s="329"/>
      <c r="KX18" s="330"/>
      <c r="KY18" s="327" t="str">
        <f t="shared" si="165"/>
        <v>Oral Com</v>
      </c>
      <c r="KZ18" s="328"/>
      <c r="LA18" s="318" t="s">
        <v>341</v>
      </c>
      <c r="LB18" s="310" t="str">
        <f t="shared" ref="LB18" si="218">IF(AND(LC18="",LE18="",LG18="",LI18="",LK18=""),"",COUNTA(LC18:LL18)*50)</f>
        <v/>
      </c>
      <c r="LC18" s="327"/>
      <c r="LD18" s="328"/>
      <c r="LE18" s="327" t="str">
        <f t="shared" si="166"/>
        <v/>
      </c>
      <c r="LF18" s="328"/>
      <c r="LG18" s="327" t="str">
        <f t="shared" si="167"/>
        <v/>
      </c>
      <c r="LH18" s="328"/>
      <c r="LI18" s="327" t="str">
        <f t="shared" si="52"/>
        <v/>
      </c>
      <c r="LJ18" s="328"/>
      <c r="LK18" s="327" t="str">
        <f t="shared" si="53"/>
        <v/>
      </c>
      <c r="LL18" s="328"/>
      <c r="LM18" s="318" t="s">
        <v>341</v>
      </c>
      <c r="LN18" s="310" t="str">
        <f t="shared" ref="LN18" si="219">IF(AND(LO18="",LQ18="",LS18="",LU18="",LW18=""),"",COUNTA(LO18:LX18)*50)</f>
        <v/>
      </c>
      <c r="LO18" s="327"/>
      <c r="LP18" s="328"/>
      <c r="LQ18" s="327" t="str">
        <f t="shared" si="168"/>
        <v/>
      </c>
      <c r="LR18" s="328"/>
      <c r="LS18" s="327" t="str">
        <f t="shared" si="169"/>
        <v/>
      </c>
      <c r="LT18" s="328"/>
      <c r="LU18" s="327" t="str">
        <f t="shared" si="54"/>
        <v/>
      </c>
      <c r="LV18" s="328"/>
      <c r="LW18" s="327" t="str">
        <f t="shared" si="55"/>
        <v/>
      </c>
      <c r="LX18" s="328"/>
      <c r="LY18" s="318" t="s">
        <v>341</v>
      </c>
      <c r="LZ18" s="310" t="str">
        <f t="shared" ref="LZ18" si="220">IF(AND(MA18="",MC18="",ME18="",MG18="",MI18=""),"",COUNTA(MA18:MJ18)*50)</f>
        <v/>
      </c>
      <c r="MA18" s="327"/>
      <c r="MB18" s="328"/>
      <c r="MC18" s="327" t="str">
        <f t="shared" si="170"/>
        <v/>
      </c>
      <c r="MD18" s="328"/>
      <c r="ME18" s="327" t="str">
        <f t="shared" si="171"/>
        <v/>
      </c>
      <c r="MF18" s="328"/>
      <c r="MG18" s="327" t="str">
        <f t="shared" si="56"/>
        <v/>
      </c>
      <c r="MH18" s="328"/>
      <c r="MI18" s="327" t="str">
        <f t="shared" si="57"/>
        <v/>
      </c>
      <c r="MJ18" s="328"/>
      <c r="MK18" s="318" t="s">
        <v>341</v>
      </c>
      <c r="ML18" s="310" t="str">
        <f t="shared" ref="ML18" si="221">IF(AND(MM18="",MO18="",MQ18="",MS18="",MU18=""),"",COUNTA(MM18:MV18)*50)</f>
        <v/>
      </c>
      <c r="MM18" s="327"/>
      <c r="MN18" s="328"/>
      <c r="MO18" s="327" t="str">
        <f t="shared" si="172"/>
        <v/>
      </c>
      <c r="MP18" s="328"/>
      <c r="MQ18" s="327" t="str">
        <f t="shared" si="173"/>
        <v/>
      </c>
      <c r="MR18" s="328"/>
      <c r="MS18" s="327" t="str">
        <f t="shared" si="58"/>
        <v/>
      </c>
      <c r="MT18" s="328"/>
      <c r="MU18" s="327" t="str">
        <f t="shared" si="59"/>
        <v/>
      </c>
      <c r="MV18" s="328"/>
      <c r="MW18" s="318" t="s">
        <v>341</v>
      </c>
      <c r="MX18" s="310" t="str">
        <f t="shared" ref="MX18" si="222">IF(AND(MY18="",NA18="",NC18="",NE18="",NG18=""),"",COUNTA(MY18:NH18)*50)</f>
        <v/>
      </c>
      <c r="MY18" s="327"/>
      <c r="MZ18" s="328"/>
      <c r="NA18" s="327" t="str">
        <f t="shared" si="174"/>
        <v/>
      </c>
      <c r="NB18" s="328"/>
      <c r="NC18" s="327" t="str">
        <f t="shared" si="175"/>
        <v/>
      </c>
      <c r="ND18" s="328"/>
      <c r="NE18" s="327" t="str">
        <f t="shared" si="60"/>
        <v/>
      </c>
      <c r="NF18" s="328"/>
      <c r="NG18" s="327" t="str">
        <f t="shared" si="61"/>
        <v/>
      </c>
      <c r="NH18" s="328"/>
      <c r="NI18" s="318" t="s">
        <v>341</v>
      </c>
      <c r="NJ18" s="310" t="str">
        <f t="shared" ref="NJ18" si="223">IF(AND(NK18="",NM18="",NO18="",NQ18="",NS18=""),"",COUNTA(NK18:NT18)*50)</f>
        <v/>
      </c>
      <c r="NK18" s="327"/>
      <c r="NL18" s="328"/>
      <c r="NM18" s="327" t="str">
        <f t="shared" si="176"/>
        <v/>
      </c>
      <c r="NN18" s="328"/>
      <c r="NO18" s="327" t="str">
        <f t="shared" si="177"/>
        <v/>
      </c>
      <c r="NP18" s="328"/>
      <c r="NQ18" s="327" t="str">
        <f t="shared" si="62"/>
        <v/>
      </c>
      <c r="NR18" s="328"/>
      <c r="NS18" s="327" t="str">
        <f t="shared" si="63"/>
        <v/>
      </c>
      <c r="NT18" s="328"/>
      <c r="NU18" s="318" t="s">
        <v>341</v>
      </c>
      <c r="NV18" s="310" t="str">
        <f t="shared" ref="NV18" si="224">IF(AND(NW18="",NY18="",OA18="",OC18="",OE18=""),"",COUNTA(NW18:OF18)*50)</f>
        <v/>
      </c>
      <c r="NW18" s="327"/>
      <c r="NX18" s="328"/>
      <c r="NY18" s="327" t="str">
        <f t="shared" si="178"/>
        <v/>
      </c>
      <c r="NZ18" s="328"/>
      <c r="OA18" s="327" t="str">
        <f t="shared" si="179"/>
        <v/>
      </c>
      <c r="OB18" s="328"/>
      <c r="OC18" s="327" t="str">
        <f t="shared" si="64"/>
        <v/>
      </c>
      <c r="OD18" s="328"/>
      <c r="OE18" s="327" t="str">
        <f t="shared" si="65"/>
        <v/>
      </c>
      <c r="OF18" s="328"/>
      <c r="OG18" s="318" t="s">
        <v>341</v>
      </c>
      <c r="OH18" s="310" t="str">
        <f t="shared" ref="OH18" si="225">IF(AND(OI18="",OK18="",OM18="",OO18="",OQ18=""),"",COUNTA(OI18:OR18)*50)</f>
        <v/>
      </c>
      <c r="OI18" s="327"/>
      <c r="OJ18" s="328"/>
      <c r="OK18" s="327" t="str">
        <f t="shared" si="180"/>
        <v/>
      </c>
      <c r="OL18" s="328"/>
      <c r="OM18" s="327" t="str">
        <f t="shared" si="181"/>
        <v/>
      </c>
      <c r="ON18" s="328"/>
      <c r="OO18" s="327" t="str">
        <f t="shared" si="66"/>
        <v/>
      </c>
      <c r="OP18" s="328"/>
      <c r="OQ18" s="327" t="str">
        <f t="shared" si="67"/>
        <v/>
      </c>
      <c r="OR18" s="328"/>
      <c r="OS18" s="318" t="s">
        <v>341</v>
      </c>
      <c r="OT18" s="310" t="str">
        <f t="shared" ref="OT18" si="226">IF(AND(OU18="",OW18="",OY18="",PA18="",PC18=""),"",COUNTA(OU18:PD18)*50)</f>
        <v/>
      </c>
      <c r="OU18" s="327"/>
      <c r="OV18" s="328"/>
      <c r="OW18" s="327" t="str">
        <f t="shared" si="182"/>
        <v/>
      </c>
      <c r="OX18" s="328"/>
      <c r="OY18" s="327" t="str">
        <f t="shared" si="183"/>
        <v/>
      </c>
      <c r="OZ18" s="328"/>
      <c r="PA18" s="327" t="str">
        <f t="shared" si="68"/>
        <v/>
      </c>
      <c r="PB18" s="328"/>
      <c r="PC18" s="327" t="str">
        <f t="shared" si="69"/>
        <v/>
      </c>
      <c r="PD18" s="328"/>
      <c r="PE18" s="318" t="s">
        <v>341</v>
      </c>
      <c r="PF18" s="310" t="str">
        <f>IF(PG18="","",COUNTA(PG18:PP18)*50)</f>
        <v/>
      </c>
      <c r="PG18" s="327"/>
      <c r="PH18" s="328"/>
      <c r="PI18" s="327" t="str">
        <f t="shared" si="184"/>
        <v/>
      </c>
      <c r="PJ18" s="328"/>
      <c r="PK18" s="327" t="str">
        <f t="shared" si="185"/>
        <v/>
      </c>
      <c r="PL18" s="328"/>
      <c r="PM18" s="327" t="str">
        <f t="shared" si="70"/>
        <v/>
      </c>
      <c r="PN18" s="328"/>
      <c r="PO18" s="327" t="str">
        <f t="shared" si="71"/>
        <v/>
      </c>
      <c r="PP18" s="328"/>
    </row>
    <row r="19" spans="1:432">
      <c r="A19" s="319"/>
      <c r="B19" s="311"/>
      <c r="C19" s="305" t="s">
        <v>489</v>
      </c>
      <c r="D19" s="306"/>
      <c r="E19" s="305" t="str">
        <f t="shared" si="186"/>
        <v>12 HumSS D</v>
      </c>
      <c r="F19" s="306"/>
      <c r="G19" s="305" t="str">
        <f t="shared" si="72"/>
        <v>12 HumSS D</v>
      </c>
      <c r="H19" s="306"/>
      <c r="I19" s="305" t="str">
        <f t="shared" si="72"/>
        <v>12 HumSS D</v>
      </c>
      <c r="J19" s="306"/>
      <c r="K19" s="305" t="str">
        <f t="shared" si="73"/>
        <v>12 HumSS D</v>
      </c>
      <c r="L19" s="306"/>
      <c r="M19" s="319"/>
      <c r="N19" s="311"/>
      <c r="O19" s="327"/>
      <c r="P19" s="328"/>
      <c r="Q19" s="327" t="str">
        <f t="shared" si="74"/>
        <v/>
      </c>
      <c r="R19" s="328"/>
      <c r="S19" s="327" t="str">
        <f t="shared" si="75"/>
        <v/>
      </c>
      <c r="T19" s="328"/>
      <c r="U19" s="327" t="str">
        <f t="shared" si="76"/>
        <v/>
      </c>
      <c r="V19" s="328"/>
      <c r="W19" s="327" t="str">
        <f t="shared" si="77"/>
        <v/>
      </c>
      <c r="X19" s="328"/>
      <c r="Y19" s="319"/>
      <c r="Z19" s="311"/>
      <c r="AA19" s="327" t="s">
        <v>451</v>
      </c>
      <c r="AB19" s="328"/>
      <c r="AC19" s="327" t="str">
        <f t="shared" si="78"/>
        <v>11 HumSS C</v>
      </c>
      <c r="AD19" s="328"/>
      <c r="AE19" s="327" t="str">
        <f t="shared" si="79"/>
        <v>11 HumSS C</v>
      </c>
      <c r="AF19" s="328"/>
      <c r="AG19" s="327" t="str">
        <f t="shared" si="80"/>
        <v>11 HumSS C</v>
      </c>
      <c r="AH19" s="328"/>
      <c r="AI19" s="327" t="str">
        <f t="shared" si="81"/>
        <v>11 HumSS C</v>
      </c>
      <c r="AJ19" s="328"/>
      <c r="AK19" s="319"/>
      <c r="AL19" s="311"/>
      <c r="AM19" s="327" t="s">
        <v>454</v>
      </c>
      <c r="AN19" s="328"/>
      <c r="AO19" s="327" t="str">
        <f t="shared" si="82"/>
        <v>11 HumSS B</v>
      </c>
      <c r="AP19" s="328"/>
      <c r="AQ19" s="329"/>
      <c r="AR19" s="330"/>
      <c r="AS19" s="327" t="str">
        <f t="shared" si="84"/>
        <v>11 HumSS B</v>
      </c>
      <c r="AT19" s="328"/>
      <c r="AU19" s="327" t="str">
        <f t="shared" si="85"/>
        <v>11 HumSS B</v>
      </c>
      <c r="AV19" s="328"/>
      <c r="AW19" s="319"/>
      <c r="AX19" s="311"/>
      <c r="AY19" s="327" t="s">
        <v>453</v>
      </c>
      <c r="AZ19" s="328"/>
      <c r="BA19" s="327" t="str">
        <f t="shared" si="86"/>
        <v>11 HumSS A</v>
      </c>
      <c r="BB19" s="328"/>
      <c r="BC19" s="327" t="str">
        <f t="shared" si="87"/>
        <v>11 HumSS A</v>
      </c>
      <c r="BD19" s="328"/>
      <c r="BE19" s="327" t="str">
        <f t="shared" si="88"/>
        <v>11 HumSS A</v>
      </c>
      <c r="BF19" s="328"/>
      <c r="BG19" s="327" t="str">
        <f t="shared" si="89"/>
        <v>11 HumSS A</v>
      </c>
      <c r="BH19" s="328"/>
      <c r="BI19" s="319"/>
      <c r="BJ19" s="311"/>
      <c r="BK19" s="327" t="str">
        <f>BK21</f>
        <v>12 GAS</v>
      </c>
      <c r="BL19" s="328"/>
      <c r="BM19" s="327"/>
      <c r="BN19" s="328"/>
      <c r="BO19" s="327"/>
      <c r="BP19" s="328"/>
      <c r="BQ19" s="327"/>
      <c r="BR19" s="328"/>
      <c r="BS19" s="327"/>
      <c r="BT19" s="328"/>
      <c r="BU19" s="319"/>
      <c r="BV19" s="311"/>
      <c r="BW19" s="327" t="s">
        <v>459</v>
      </c>
      <c r="BX19" s="328"/>
      <c r="BY19" s="327" t="str">
        <f t="shared" si="94"/>
        <v>11 AGRI</v>
      </c>
      <c r="BZ19" s="328"/>
      <c r="CA19" s="327" t="str">
        <f t="shared" si="95"/>
        <v>11 AGRI</v>
      </c>
      <c r="CB19" s="328"/>
      <c r="CC19" s="327" t="str">
        <f t="shared" si="96"/>
        <v>11 AGRI</v>
      </c>
      <c r="CD19" s="328"/>
      <c r="CE19" s="327" t="str">
        <f t="shared" si="97"/>
        <v>11 AGRI</v>
      </c>
      <c r="CF19" s="328"/>
      <c r="CG19" s="319"/>
      <c r="CH19" s="311"/>
      <c r="CI19" s="327" t="s">
        <v>457</v>
      </c>
      <c r="CJ19" s="328"/>
      <c r="CK19" s="327" t="str">
        <f t="shared" si="98"/>
        <v>11 HumSS E</v>
      </c>
      <c r="CL19" s="328"/>
      <c r="CM19" s="327" t="str">
        <f t="shared" si="99"/>
        <v>11 HumSS E</v>
      </c>
      <c r="CN19" s="328"/>
      <c r="CO19" s="327" t="str">
        <f t="shared" si="100"/>
        <v>11 HumSS E</v>
      </c>
      <c r="CP19" s="328"/>
      <c r="CQ19" s="327" t="str">
        <f t="shared" si="101"/>
        <v>11 HumSS E</v>
      </c>
      <c r="CR19" s="328"/>
      <c r="CS19" s="319"/>
      <c r="CT19" s="311"/>
      <c r="CU19" s="327"/>
      <c r="CV19" s="328"/>
      <c r="CW19" s="327" t="s">
        <v>507</v>
      </c>
      <c r="CX19" s="328"/>
      <c r="CY19" s="327" t="s">
        <v>454</v>
      </c>
      <c r="CZ19" s="328"/>
      <c r="DA19" s="327" t="s">
        <v>461</v>
      </c>
      <c r="DB19" s="328"/>
      <c r="DC19" s="327" t="s">
        <v>495</v>
      </c>
      <c r="DD19" s="328"/>
      <c r="DE19" s="319"/>
      <c r="DF19" s="311"/>
      <c r="DG19" s="327" t="s">
        <v>492</v>
      </c>
      <c r="DH19" s="328"/>
      <c r="DI19" s="327" t="str">
        <f t="shared" si="106"/>
        <v>12 SMAW</v>
      </c>
      <c r="DJ19" s="328"/>
      <c r="DK19" s="327" t="str">
        <f t="shared" si="107"/>
        <v>12 SMAW</v>
      </c>
      <c r="DL19" s="328"/>
      <c r="DM19" s="327" t="str">
        <f t="shared" si="108"/>
        <v>12 SMAW</v>
      </c>
      <c r="DN19" s="328"/>
      <c r="DO19" s="327" t="str">
        <f t="shared" si="109"/>
        <v>12 SMAW</v>
      </c>
      <c r="DP19" s="328"/>
      <c r="DQ19" s="319"/>
      <c r="DR19" s="311"/>
      <c r="DS19" s="327" t="s">
        <v>498</v>
      </c>
      <c r="DT19" s="328"/>
      <c r="DU19" s="331" t="s">
        <v>495</v>
      </c>
      <c r="DV19" s="332"/>
      <c r="DW19" s="327" t="str">
        <f t="shared" si="111"/>
        <v>11 Cookery</v>
      </c>
      <c r="DX19" s="328"/>
      <c r="DY19" s="327" t="str">
        <f t="shared" si="112"/>
        <v>11 Cookery</v>
      </c>
      <c r="DZ19" s="328"/>
      <c r="EA19" s="327" t="str">
        <f t="shared" si="113"/>
        <v>11 Cookery</v>
      </c>
      <c r="EB19" s="328"/>
      <c r="EC19" s="319"/>
      <c r="ED19" s="311"/>
      <c r="EE19" s="339" t="s">
        <v>457</v>
      </c>
      <c r="EF19" s="340"/>
      <c r="EG19" s="339" t="s">
        <v>517</v>
      </c>
      <c r="EH19" s="340"/>
      <c r="EI19" s="339" t="str">
        <f t="shared" si="115"/>
        <v>11 HumSS E</v>
      </c>
      <c r="EJ19" s="340"/>
      <c r="EK19" s="339" t="str">
        <f t="shared" si="116"/>
        <v>11 HumSS E</v>
      </c>
      <c r="EL19" s="340"/>
      <c r="EM19" s="339" t="str">
        <f t="shared" si="117"/>
        <v>11 HumSS E</v>
      </c>
      <c r="EN19" s="340"/>
      <c r="EO19" s="319"/>
      <c r="EP19" s="311"/>
      <c r="EQ19" s="327" t="s">
        <v>485</v>
      </c>
      <c r="ER19" s="328"/>
      <c r="ES19" s="327" t="str">
        <f t="shared" si="118"/>
        <v>12 STEM</v>
      </c>
      <c r="ET19" s="328"/>
      <c r="EU19" s="327" t="str">
        <f t="shared" si="119"/>
        <v>12 STEM</v>
      </c>
      <c r="EV19" s="328"/>
      <c r="EW19" s="327" t="str">
        <f t="shared" si="120"/>
        <v>12 STEM</v>
      </c>
      <c r="EX19" s="328"/>
      <c r="EY19" s="327" t="str">
        <f t="shared" si="121"/>
        <v>12 STEM</v>
      </c>
      <c r="EZ19" s="328"/>
      <c r="FA19" s="319"/>
      <c r="FB19" s="311"/>
      <c r="FC19" s="327"/>
      <c r="FD19" s="328"/>
      <c r="FE19" s="327" t="str">
        <f t="shared" si="122"/>
        <v/>
      </c>
      <c r="FF19" s="328"/>
      <c r="FG19" s="327" t="str">
        <f t="shared" si="123"/>
        <v/>
      </c>
      <c r="FH19" s="328"/>
      <c r="FI19" s="327" t="str">
        <f t="shared" si="124"/>
        <v/>
      </c>
      <c r="FJ19" s="328"/>
      <c r="FK19" s="327" t="str">
        <f t="shared" si="125"/>
        <v/>
      </c>
      <c r="FL19" s="328"/>
      <c r="FM19" s="319"/>
      <c r="FN19" s="311"/>
      <c r="FO19" s="327" t="s">
        <v>487</v>
      </c>
      <c r="FP19" s="328"/>
      <c r="FQ19" s="327" t="str">
        <f t="shared" si="126"/>
        <v>12 HumSS B</v>
      </c>
      <c r="FR19" s="328"/>
      <c r="FS19" s="333" t="s">
        <v>495</v>
      </c>
      <c r="FT19" s="334"/>
      <c r="FU19" s="327" t="str">
        <f t="shared" si="128"/>
        <v>12 HumSS B</v>
      </c>
      <c r="FV19" s="328"/>
      <c r="FW19" s="327" t="str">
        <f t="shared" si="129"/>
        <v>12 HumSS B</v>
      </c>
      <c r="FX19" s="328"/>
      <c r="FY19" s="319"/>
      <c r="FZ19" s="311"/>
      <c r="GA19" s="327" t="s">
        <v>504</v>
      </c>
      <c r="GB19" s="328"/>
      <c r="GC19" s="327" t="str">
        <f t="shared" si="130"/>
        <v>12 H.E.</v>
      </c>
      <c r="GD19" s="328"/>
      <c r="GE19" s="327" t="str">
        <f t="shared" si="131"/>
        <v>12 H.E.</v>
      </c>
      <c r="GF19" s="328"/>
      <c r="GG19" s="327" t="str">
        <f t="shared" si="132"/>
        <v>12 H.E.</v>
      </c>
      <c r="GH19" s="328"/>
      <c r="GI19" s="327" t="str">
        <f t="shared" si="133"/>
        <v>12 H.E.</v>
      </c>
      <c r="GJ19" s="328"/>
      <c r="GK19" s="319"/>
      <c r="GL19" s="311"/>
      <c r="GM19" s="327" t="s">
        <v>490</v>
      </c>
      <c r="GN19" s="328"/>
      <c r="GO19" s="327" t="str">
        <f t="shared" si="203"/>
        <v>12 AGRI</v>
      </c>
      <c r="GP19" s="328"/>
      <c r="GQ19" s="327" t="str">
        <f t="shared" si="204"/>
        <v>12 AGRI</v>
      </c>
      <c r="GR19" s="328"/>
      <c r="GS19" s="327" t="str">
        <f t="shared" si="205"/>
        <v>12 AGRI</v>
      </c>
      <c r="GT19" s="328"/>
      <c r="GU19" s="327" t="str">
        <f t="shared" si="206"/>
        <v>12 AGRI</v>
      </c>
      <c r="GV19" s="328"/>
      <c r="GW19" s="319"/>
      <c r="GX19" s="311"/>
      <c r="GY19" s="327"/>
      <c r="GZ19" s="328"/>
      <c r="HA19" s="327" t="s">
        <v>486</v>
      </c>
      <c r="HB19" s="328"/>
      <c r="HC19" s="327" t="s">
        <v>487</v>
      </c>
      <c r="HD19" s="328"/>
      <c r="HE19" s="327" t="s">
        <v>488</v>
      </c>
      <c r="HF19" s="328"/>
      <c r="HG19" s="327" t="s">
        <v>485</v>
      </c>
      <c r="HH19" s="328"/>
      <c r="HI19" s="319"/>
      <c r="HJ19" s="311"/>
      <c r="HK19" s="327" t="s">
        <v>494</v>
      </c>
      <c r="HL19" s="328"/>
      <c r="HM19" s="327" t="str">
        <f t="shared" si="138"/>
        <v>12 ICT</v>
      </c>
      <c r="HN19" s="328"/>
      <c r="HO19" s="327" t="str">
        <f t="shared" si="139"/>
        <v>12 ICT</v>
      </c>
      <c r="HP19" s="328"/>
      <c r="HQ19" s="327" t="str">
        <f t="shared" si="140"/>
        <v>12 ICT</v>
      </c>
      <c r="HR19" s="328"/>
      <c r="HS19" s="327" t="str">
        <f t="shared" si="141"/>
        <v>12 ICT</v>
      </c>
      <c r="HT19" s="328"/>
      <c r="HU19" s="319"/>
      <c r="HV19" s="311"/>
      <c r="HW19" s="327" t="s">
        <v>463</v>
      </c>
      <c r="HX19" s="328"/>
      <c r="HY19" s="327" t="str">
        <f t="shared" si="142"/>
        <v>11 ICT</v>
      </c>
      <c r="HZ19" s="328"/>
      <c r="IA19" s="327" t="str">
        <f t="shared" si="143"/>
        <v>11 ICT</v>
      </c>
      <c r="IB19" s="328"/>
      <c r="IC19" s="327" t="str">
        <f t="shared" si="144"/>
        <v>11 ICT</v>
      </c>
      <c r="ID19" s="328"/>
      <c r="IE19" s="327" t="str">
        <f t="shared" si="145"/>
        <v>11 ICT</v>
      </c>
      <c r="IF19" s="328"/>
      <c r="IG19" s="319"/>
      <c r="IH19" s="311"/>
      <c r="II19" s="327" t="s">
        <v>488</v>
      </c>
      <c r="IJ19" s="328"/>
      <c r="IK19" s="327" t="str">
        <f t="shared" si="147"/>
        <v>12 HumSS C</v>
      </c>
      <c r="IL19" s="328"/>
      <c r="IM19" s="327" t="str">
        <f t="shared" si="147"/>
        <v>12 HumSS C</v>
      </c>
      <c r="IN19" s="328"/>
      <c r="IO19" s="327" t="s">
        <v>495</v>
      </c>
      <c r="IP19" s="328"/>
      <c r="IQ19" s="327" t="str">
        <f t="shared" si="149"/>
        <v>12 HumSS C</v>
      </c>
      <c r="IR19" s="328"/>
      <c r="IS19" s="319"/>
      <c r="IT19" s="311"/>
      <c r="IU19" s="327" t="s">
        <v>452</v>
      </c>
      <c r="IV19" s="328"/>
      <c r="IW19" s="327" t="str">
        <f t="shared" si="150"/>
        <v>11 STEM</v>
      </c>
      <c r="IX19" s="328"/>
      <c r="IY19" s="327" t="str">
        <f t="shared" si="151"/>
        <v>11 STEM</v>
      </c>
      <c r="IZ19" s="328"/>
      <c r="JA19" s="327" t="str">
        <f t="shared" si="152"/>
        <v>11 STEM</v>
      </c>
      <c r="JB19" s="328"/>
      <c r="JC19" s="327" t="str">
        <f t="shared" si="153"/>
        <v>11 STEM</v>
      </c>
      <c r="JD19" s="328"/>
      <c r="JE19" s="319"/>
      <c r="JF19" s="311"/>
      <c r="JG19" s="327" t="s">
        <v>486</v>
      </c>
      <c r="JH19" s="328"/>
      <c r="JI19" s="333"/>
      <c r="JJ19" s="334"/>
      <c r="JK19" s="327" t="str">
        <f t="shared" si="213"/>
        <v>12 HumSS A</v>
      </c>
      <c r="JL19" s="328"/>
      <c r="JM19" s="327" t="str">
        <f t="shared" si="213"/>
        <v>12 HumSS A</v>
      </c>
      <c r="JN19" s="328"/>
      <c r="JO19" s="327" t="str">
        <f t="shared" si="214"/>
        <v>12 HumSS A</v>
      </c>
      <c r="JP19" s="328"/>
      <c r="JQ19" s="319"/>
      <c r="JR19" s="311"/>
      <c r="JS19" s="327" t="s">
        <v>465</v>
      </c>
      <c r="JT19" s="328"/>
      <c r="JU19" s="327" t="str">
        <f t="shared" si="154"/>
        <v>11 GAS</v>
      </c>
      <c r="JV19" s="328"/>
      <c r="JW19" s="327" t="str">
        <f t="shared" si="155"/>
        <v>11 GAS</v>
      </c>
      <c r="JX19" s="328"/>
      <c r="JY19" s="327" t="str">
        <f t="shared" si="156"/>
        <v>11 GAS</v>
      </c>
      <c r="JZ19" s="328"/>
      <c r="KA19" s="327" t="str">
        <f t="shared" si="157"/>
        <v>11 GAS</v>
      </c>
      <c r="KB19" s="328"/>
      <c r="KC19" s="319"/>
      <c r="KD19" s="311"/>
      <c r="KE19" s="327" t="s">
        <v>497</v>
      </c>
      <c r="KF19" s="328"/>
      <c r="KG19" s="327" t="str">
        <f t="shared" si="158"/>
        <v>11 HumSS D</v>
      </c>
      <c r="KH19" s="328"/>
      <c r="KI19" s="327" t="str">
        <f t="shared" si="159"/>
        <v>11 HumSS D</v>
      </c>
      <c r="KJ19" s="328"/>
      <c r="KK19" s="327" t="str">
        <f t="shared" si="160"/>
        <v>11 HumSS D</v>
      </c>
      <c r="KL19" s="328"/>
      <c r="KM19" s="327" t="str">
        <f t="shared" si="161"/>
        <v>11 HumSS D</v>
      </c>
      <c r="KN19" s="328"/>
      <c r="KO19" s="319"/>
      <c r="KP19" s="311"/>
      <c r="KQ19" s="327" t="s">
        <v>461</v>
      </c>
      <c r="KR19" s="328"/>
      <c r="KS19" s="327" t="str">
        <f t="shared" si="162"/>
        <v>11 SMAW</v>
      </c>
      <c r="KT19" s="328"/>
      <c r="KU19" s="327" t="str">
        <f t="shared" si="163"/>
        <v>11 SMAW</v>
      </c>
      <c r="KV19" s="328"/>
      <c r="KW19" s="329"/>
      <c r="KX19" s="330"/>
      <c r="KY19" s="327" t="str">
        <f t="shared" si="165"/>
        <v>11 SMAW</v>
      </c>
      <c r="KZ19" s="328"/>
      <c r="LA19" s="319"/>
      <c r="LB19" s="311"/>
      <c r="LC19" s="327"/>
      <c r="LD19" s="328"/>
      <c r="LE19" s="327" t="str">
        <f t="shared" si="166"/>
        <v/>
      </c>
      <c r="LF19" s="328"/>
      <c r="LG19" s="327" t="str">
        <f t="shared" si="167"/>
        <v/>
      </c>
      <c r="LH19" s="328"/>
      <c r="LI19" s="327" t="str">
        <f t="shared" si="52"/>
        <v/>
      </c>
      <c r="LJ19" s="328"/>
      <c r="LK19" s="327" t="str">
        <f t="shared" si="53"/>
        <v/>
      </c>
      <c r="LL19" s="328"/>
      <c r="LM19" s="319"/>
      <c r="LN19" s="311"/>
      <c r="LO19" s="327"/>
      <c r="LP19" s="328"/>
      <c r="LQ19" s="327" t="str">
        <f t="shared" si="168"/>
        <v/>
      </c>
      <c r="LR19" s="328"/>
      <c r="LS19" s="327" t="str">
        <f t="shared" si="169"/>
        <v/>
      </c>
      <c r="LT19" s="328"/>
      <c r="LU19" s="327" t="str">
        <f t="shared" si="54"/>
        <v/>
      </c>
      <c r="LV19" s="328"/>
      <c r="LW19" s="327" t="str">
        <f t="shared" si="55"/>
        <v/>
      </c>
      <c r="LX19" s="328"/>
      <c r="LY19" s="319"/>
      <c r="LZ19" s="311"/>
      <c r="MA19" s="327"/>
      <c r="MB19" s="328"/>
      <c r="MC19" s="327" t="str">
        <f t="shared" si="170"/>
        <v/>
      </c>
      <c r="MD19" s="328"/>
      <c r="ME19" s="327" t="str">
        <f t="shared" si="171"/>
        <v/>
      </c>
      <c r="MF19" s="328"/>
      <c r="MG19" s="327" t="str">
        <f t="shared" si="56"/>
        <v/>
      </c>
      <c r="MH19" s="328"/>
      <c r="MI19" s="327" t="str">
        <f t="shared" si="57"/>
        <v/>
      </c>
      <c r="MJ19" s="328"/>
      <c r="MK19" s="319"/>
      <c r="ML19" s="311"/>
      <c r="MM19" s="327"/>
      <c r="MN19" s="328"/>
      <c r="MO19" s="327" t="str">
        <f t="shared" si="172"/>
        <v/>
      </c>
      <c r="MP19" s="328"/>
      <c r="MQ19" s="327" t="str">
        <f t="shared" si="173"/>
        <v/>
      </c>
      <c r="MR19" s="328"/>
      <c r="MS19" s="327" t="str">
        <f t="shared" si="58"/>
        <v/>
      </c>
      <c r="MT19" s="328"/>
      <c r="MU19" s="327" t="str">
        <f t="shared" si="59"/>
        <v/>
      </c>
      <c r="MV19" s="328"/>
      <c r="MW19" s="319"/>
      <c r="MX19" s="311"/>
      <c r="MY19" s="327"/>
      <c r="MZ19" s="328"/>
      <c r="NA19" s="327" t="str">
        <f t="shared" si="174"/>
        <v/>
      </c>
      <c r="NB19" s="328"/>
      <c r="NC19" s="327" t="str">
        <f t="shared" si="175"/>
        <v/>
      </c>
      <c r="ND19" s="328"/>
      <c r="NE19" s="327" t="str">
        <f t="shared" si="60"/>
        <v/>
      </c>
      <c r="NF19" s="328"/>
      <c r="NG19" s="327" t="str">
        <f t="shared" si="61"/>
        <v/>
      </c>
      <c r="NH19" s="328"/>
      <c r="NI19" s="319"/>
      <c r="NJ19" s="311"/>
      <c r="NK19" s="327"/>
      <c r="NL19" s="328"/>
      <c r="NM19" s="327" t="str">
        <f t="shared" si="176"/>
        <v/>
      </c>
      <c r="NN19" s="328"/>
      <c r="NO19" s="327" t="str">
        <f t="shared" si="177"/>
        <v/>
      </c>
      <c r="NP19" s="328"/>
      <c r="NQ19" s="327" t="str">
        <f t="shared" si="62"/>
        <v/>
      </c>
      <c r="NR19" s="328"/>
      <c r="NS19" s="327" t="str">
        <f t="shared" si="63"/>
        <v/>
      </c>
      <c r="NT19" s="328"/>
      <c r="NU19" s="319"/>
      <c r="NV19" s="311"/>
      <c r="NW19" s="327"/>
      <c r="NX19" s="328"/>
      <c r="NY19" s="327" t="str">
        <f t="shared" si="178"/>
        <v/>
      </c>
      <c r="NZ19" s="328"/>
      <c r="OA19" s="327" t="str">
        <f t="shared" si="179"/>
        <v/>
      </c>
      <c r="OB19" s="328"/>
      <c r="OC19" s="327" t="str">
        <f t="shared" si="64"/>
        <v/>
      </c>
      <c r="OD19" s="328"/>
      <c r="OE19" s="327" t="str">
        <f t="shared" si="65"/>
        <v/>
      </c>
      <c r="OF19" s="328"/>
      <c r="OG19" s="319"/>
      <c r="OH19" s="311"/>
      <c r="OI19" s="327"/>
      <c r="OJ19" s="328"/>
      <c r="OK19" s="327" t="str">
        <f t="shared" si="180"/>
        <v/>
      </c>
      <c r="OL19" s="328"/>
      <c r="OM19" s="327" t="str">
        <f t="shared" si="181"/>
        <v/>
      </c>
      <c r="ON19" s="328"/>
      <c r="OO19" s="327" t="str">
        <f t="shared" si="66"/>
        <v/>
      </c>
      <c r="OP19" s="328"/>
      <c r="OQ19" s="327" t="str">
        <f t="shared" si="67"/>
        <v/>
      </c>
      <c r="OR19" s="328"/>
      <c r="OS19" s="319"/>
      <c r="OT19" s="311"/>
      <c r="OU19" s="327"/>
      <c r="OV19" s="328"/>
      <c r="OW19" s="327" t="str">
        <f t="shared" si="182"/>
        <v/>
      </c>
      <c r="OX19" s="328"/>
      <c r="OY19" s="327" t="str">
        <f t="shared" si="183"/>
        <v/>
      </c>
      <c r="OZ19" s="328"/>
      <c r="PA19" s="327" t="str">
        <f t="shared" si="68"/>
        <v/>
      </c>
      <c r="PB19" s="328"/>
      <c r="PC19" s="327" t="str">
        <f t="shared" si="69"/>
        <v/>
      </c>
      <c r="PD19" s="328"/>
      <c r="PE19" s="319"/>
      <c r="PF19" s="311"/>
      <c r="PG19" s="327"/>
      <c r="PH19" s="328"/>
      <c r="PI19" s="327" t="str">
        <f t="shared" si="184"/>
        <v/>
      </c>
      <c r="PJ19" s="328"/>
      <c r="PK19" s="327" t="str">
        <f t="shared" si="185"/>
        <v/>
      </c>
      <c r="PL19" s="328"/>
      <c r="PM19" s="327" t="str">
        <f t="shared" si="70"/>
        <v/>
      </c>
      <c r="PN19" s="328"/>
      <c r="PO19" s="327" t="str">
        <f t="shared" si="71"/>
        <v/>
      </c>
      <c r="PP19" s="328"/>
    </row>
    <row r="20" spans="1:432">
      <c r="A20" s="308" t="s">
        <v>334</v>
      </c>
      <c r="B20" s="310">
        <f t="shared" ref="B20" si="227">IF(AND(C20="",E20="",G20="",I20="",K20=""),"",COUNTA(C20:L20)*50)</f>
        <v>250</v>
      </c>
      <c r="C20" s="305" t="str">
        <f>'Gen CP'!E63</f>
        <v>CPAR</v>
      </c>
      <c r="D20" s="306"/>
      <c r="E20" s="305" t="str">
        <f t="shared" si="72"/>
        <v>CPAR</v>
      </c>
      <c r="F20" s="306"/>
      <c r="G20" s="305" t="str">
        <f t="shared" si="72"/>
        <v>CPAR</v>
      </c>
      <c r="H20" s="306"/>
      <c r="I20" s="305" t="str">
        <f t="shared" si="72"/>
        <v>CPAR</v>
      </c>
      <c r="J20" s="306"/>
      <c r="K20" s="305" t="str">
        <f t="shared" si="73"/>
        <v>CPAR</v>
      </c>
      <c r="L20" s="306"/>
      <c r="M20" s="308" t="s">
        <v>334</v>
      </c>
      <c r="N20" s="310">
        <f t="shared" ref="N20" si="228">IF(AND(O20="",Q20="",S20="",U20="",W20=""),"",COUNTA(O20:X20)*50)</f>
        <v>250</v>
      </c>
      <c r="O20" s="327" t="str">
        <f>'Gen CP'!G20</f>
        <v>MIL</v>
      </c>
      <c r="P20" s="328"/>
      <c r="Q20" s="327" t="str">
        <f t="shared" si="74"/>
        <v>MIL</v>
      </c>
      <c r="R20" s="328"/>
      <c r="S20" s="327" t="str">
        <f t="shared" si="75"/>
        <v>MIL</v>
      </c>
      <c r="T20" s="328"/>
      <c r="U20" s="327" t="str">
        <f t="shared" si="76"/>
        <v>MIL</v>
      </c>
      <c r="V20" s="328"/>
      <c r="W20" s="327" t="str">
        <f t="shared" si="77"/>
        <v>MIL</v>
      </c>
      <c r="X20" s="328"/>
      <c r="Y20" s="308" t="s">
        <v>334</v>
      </c>
      <c r="Z20" s="310">
        <f t="shared" ref="Z20" si="229">IF(AND(AA20="",AC20="",AE20="",AG20="",AI20=""),"",COUNTA(AA20:AJ20)*50)</f>
        <v>250</v>
      </c>
      <c r="AA20" s="327" t="s">
        <v>112</v>
      </c>
      <c r="AB20" s="328"/>
      <c r="AC20" s="327" t="str">
        <f t="shared" si="78"/>
        <v>Oral Com</v>
      </c>
      <c r="AD20" s="328"/>
      <c r="AE20" s="327" t="str">
        <f t="shared" si="79"/>
        <v>Oral Com</v>
      </c>
      <c r="AF20" s="328"/>
      <c r="AG20" s="327" t="str">
        <f t="shared" si="80"/>
        <v>Oral Com</v>
      </c>
      <c r="AH20" s="328"/>
      <c r="AI20" s="327" t="str">
        <f t="shared" si="81"/>
        <v>Oral Com</v>
      </c>
      <c r="AJ20" s="328"/>
      <c r="AK20" s="308" t="s">
        <v>334</v>
      </c>
      <c r="AL20" s="310">
        <f t="shared" ref="AL20" si="230">IF(AND(AM20="",AO20="",AQ20="",AS20="",AU20=""),"",COUNTA(AM20:AV20)*50)</f>
        <v>250</v>
      </c>
      <c r="AM20" s="327" t="s">
        <v>115</v>
      </c>
      <c r="AN20" s="328"/>
      <c r="AO20" s="327" t="str">
        <f t="shared" si="82"/>
        <v>UCSP</v>
      </c>
      <c r="AP20" s="328"/>
      <c r="AQ20" s="327" t="str">
        <f t="shared" si="83"/>
        <v>UCSP</v>
      </c>
      <c r="AR20" s="328"/>
      <c r="AS20" s="327" t="str">
        <f t="shared" si="84"/>
        <v>UCSP</v>
      </c>
      <c r="AT20" s="328"/>
      <c r="AU20" s="327" t="str">
        <f t="shared" si="85"/>
        <v>UCSP</v>
      </c>
      <c r="AV20" s="328"/>
      <c r="AW20" s="308" t="s">
        <v>334</v>
      </c>
      <c r="AX20" s="310">
        <f t="shared" ref="AX20" si="231">IF(AND(AY20="",BA20="",BC20="",BE20="",BG20=""),"",COUNTA(AY20:BH20)*50)</f>
        <v>250</v>
      </c>
      <c r="AY20" s="327" t="s">
        <v>113</v>
      </c>
      <c r="AZ20" s="328"/>
      <c r="BA20" s="327" t="str">
        <f t="shared" si="86"/>
        <v>Kom Pan</v>
      </c>
      <c r="BB20" s="328"/>
      <c r="BC20" s="327" t="str">
        <f t="shared" si="87"/>
        <v>Kom Pan</v>
      </c>
      <c r="BD20" s="328"/>
      <c r="BE20" s="327" t="str">
        <f t="shared" si="88"/>
        <v>Kom Pan</v>
      </c>
      <c r="BF20" s="328"/>
      <c r="BG20" s="327" t="str">
        <f t="shared" si="89"/>
        <v>Kom Pan</v>
      </c>
      <c r="BH20" s="328"/>
      <c r="BI20" s="308" t="s">
        <v>334</v>
      </c>
      <c r="BJ20" s="310">
        <f t="shared" ref="BJ20" si="232">IF(AND(BK20="",BM20="",BO20="",BQ20="",BS20=""),"",COUNTA(BK20:BT20)*50)</f>
        <v>200</v>
      </c>
      <c r="BK20" s="327" t="s">
        <v>313</v>
      </c>
      <c r="BL20" s="328"/>
      <c r="BM20" s="327"/>
      <c r="BN20" s="328"/>
      <c r="BO20" s="327" t="str">
        <f t="shared" si="91"/>
        <v>MIL</v>
      </c>
      <c r="BP20" s="328"/>
      <c r="BQ20" s="327" t="str">
        <f t="shared" si="92"/>
        <v>MIL</v>
      </c>
      <c r="BR20" s="328"/>
      <c r="BS20" s="327" t="str">
        <f t="shared" si="93"/>
        <v>MIL</v>
      </c>
      <c r="BT20" s="328"/>
      <c r="BU20" s="308" t="s">
        <v>334</v>
      </c>
      <c r="BV20" s="310" t="str">
        <f t="shared" ref="BV20" si="233">IF(AND(BW20="",BY20="",CA20="",CC20="",CE20=""),"",COUNTA(BW20:CF20)*50)</f>
        <v/>
      </c>
      <c r="BW20" s="327"/>
      <c r="BX20" s="328"/>
      <c r="BY20" s="327" t="str">
        <f t="shared" si="94"/>
        <v/>
      </c>
      <c r="BZ20" s="328"/>
      <c r="CA20" s="327" t="str">
        <f t="shared" si="95"/>
        <v/>
      </c>
      <c r="CB20" s="328"/>
      <c r="CC20" s="327" t="str">
        <f t="shared" si="96"/>
        <v/>
      </c>
      <c r="CD20" s="328"/>
      <c r="CE20" s="327" t="str">
        <f t="shared" si="97"/>
        <v/>
      </c>
      <c r="CF20" s="328"/>
      <c r="CG20" s="308" t="s">
        <v>334</v>
      </c>
      <c r="CH20" s="310">
        <f t="shared" ref="CH20" si="234">IF(AND(CI20="",CK20="",CM20="",CO20="",CQ20=""),"",COUNTA(CI20:CR20)*50)</f>
        <v>250</v>
      </c>
      <c r="CI20" s="327" t="s">
        <v>119</v>
      </c>
      <c r="CJ20" s="328"/>
      <c r="CK20" s="327" t="str">
        <f t="shared" si="98"/>
        <v>Earth &amp; Life</v>
      </c>
      <c r="CL20" s="328"/>
      <c r="CM20" s="327" t="str">
        <f t="shared" si="99"/>
        <v>Earth &amp; Life</v>
      </c>
      <c r="CN20" s="328"/>
      <c r="CO20" s="327" t="str">
        <f t="shared" si="100"/>
        <v>Earth &amp; Life</v>
      </c>
      <c r="CP20" s="328"/>
      <c r="CQ20" s="327" t="str">
        <f t="shared" si="101"/>
        <v>Earth &amp; Life</v>
      </c>
      <c r="CR20" s="328"/>
      <c r="CS20" s="308" t="s">
        <v>334</v>
      </c>
      <c r="CT20" s="310">
        <f t="shared" ref="CT20" si="235">IF(AND(CU20="",CW20="",CY20="",DA20="",DC20=""),"",COUNTA(CU20:DD20)*50)</f>
        <v>150</v>
      </c>
      <c r="CU20" s="327"/>
      <c r="CV20" s="328"/>
      <c r="CW20" s="327" t="s">
        <v>375</v>
      </c>
      <c r="CX20" s="328"/>
      <c r="CY20" s="327" t="s">
        <v>375</v>
      </c>
      <c r="CZ20" s="328"/>
      <c r="DA20" s="327"/>
      <c r="DB20" s="328"/>
      <c r="DC20" s="327" t="s">
        <v>375</v>
      </c>
      <c r="DD20" s="328"/>
      <c r="DE20" s="308" t="s">
        <v>334</v>
      </c>
      <c r="DF20" s="310">
        <f t="shared" ref="DF20" si="236">IF(AND(DG20="",DI20="",DK20="",DM20="",DO20=""),"",COUNTA(DG20:DP20)*50)</f>
        <v>250</v>
      </c>
      <c r="DG20" s="327" t="str">
        <f>'Gen CP'!K63</f>
        <v>21st Cen Lit</v>
      </c>
      <c r="DH20" s="328"/>
      <c r="DI20" s="327" t="str">
        <f t="shared" si="106"/>
        <v>21st Cen Lit</v>
      </c>
      <c r="DJ20" s="328"/>
      <c r="DK20" s="327" t="str">
        <f t="shared" si="107"/>
        <v>21st Cen Lit</v>
      </c>
      <c r="DL20" s="328"/>
      <c r="DM20" s="327" t="str">
        <f t="shared" si="108"/>
        <v>21st Cen Lit</v>
      </c>
      <c r="DN20" s="328"/>
      <c r="DO20" s="327" t="str">
        <f t="shared" si="109"/>
        <v>21st Cen Lit</v>
      </c>
      <c r="DP20" s="328"/>
      <c r="DQ20" s="308" t="s">
        <v>334</v>
      </c>
      <c r="DR20" s="310">
        <v>80</v>
      </c>
      <c r="DS20" s="327"/>
      <c r="DT20" s="328"/>
      <c r="DU20" s="331" t="s">
        <v>502</v>
      </c>
      <c r="DV20" s="332"/>
      <c r="DW20" s="327" t="str">
        <f t="shared" si="111"/>
        <v/>
      </c>
      <c r="DX20" s="328"/>
      <c r="DY20" s="327" t="str">
        <f t="shared" si="112"/>
        <v/>
      </c>
      <c r="DZ20" s="328"/>
      <c r="EA20" s="327" t="str">
        <f t="shared" si="113"/>
        <v/>
      </c>
      <c r="EB20" s="328"/>
      <c r="EC20" s="308" t="s">
        <v>334</v>
      </c>
      <c r="ED20" s="310">
        <f t="shared" ref="ED20" si="237">IF(AND(EE20="",EG20="",EI20="",EK20="",EM20=""),"",COUNTA(EE20:EN20)*50)</f>
        <v>200</v>
      </c>
      <c r="EE20" s="327" t="s">
        <v>503</v>
      </c>
      <c r="EF20" s="328"/>
      <c r="EG20" s="333"/>
      <c r="EH20" s="334"/>
      <c r="EI20" s="327" t="str">
        <f t="shared" si="115"/>
        <v>Research</v>
      </c>
      <c r="EJ20" s="328"/>
      <c r="EK20" s="327" t="str">
        <f t="shared" si="116"/>
        <v>Research</v>
      </c>
      <c r="EL20" s="328"/>
      <c r="EM20" s="327" t="str">
        <f t="shared" si="117"/>
        <v>Research</v>
      </c>
      <c r="EN20" s="328"/>
      <c r="EO20" s="308" t="s">
        <v>334</v>
      </c>
      <c r="EP20" s="310">
        <f t="shared" ref="EP20" si="238">IF(AND(EQ20="",ES20="",EU20="",EW20="",EY20=""),"",COUNTA(EQ20:EZ20)*50)</f>
        <v>200</v>
      </c>
      <c r="EQ20" s="339" t="str">
        <f>'Gen CP'!E20</f>
        <v>Earth &amp; Life</v>
      </c>
      <c r="ER20" s="340"/>
      <c r="ES20" s="339" t="str">
        <f t="shared" si="118"/>
        <v>Earth &amp; Life</v>
      </c>
      <c r="ET20" s="340"/>
      <c r="EU20" s="329"/>
      <c r="EV20" s="330"/>
      <c r="EW20" s="339" t="str">
        <f t="shared" si="120"/>
        <v>Earth &amp; Life</v>
      </c>
      <c r="EX20" s="340"/>
      <c r="EY20" s="339" t="str">
        <f t="shared" si="121"/>
        <v>Earth &amp; Life</v>
      </c>
      <c r="EZ20" s="340"/>
      <c r="FA20" s="308" t="s">
        <v>334</v>
      </c>
      <c r="FB20" s="310">
        <f t="shared" ref="FB20" si="239">IF(AND(FC20="",FE20="",FG20="",FI20="",FK20=""),"",COUNTA(FC20:FL20)*50)</f>
        <v>250</v>
      </c>
      <c r="FC20" s="327" t="str">
        <f>'Gen CP'!I20</f>
        <v>SMAW NC I</v>
      </c>
      <c r="FD20" s="328"/>
      <c r="FE20" s="327" t="str">
        <f t="shared" si="122"/>
        <v>SMAW NC I</v>
      </c>
      <c r="FF20" s="328"/>
      <c r="FG20" s="327" t="str">
        <f t="shared" si="123"/>
        <v>SMAW NC I</v>
      </c>
      <c r="FH20" s="328"/>
      <c r="FI20" s="327" t="str">
        <f t="shared" si="124"/>
        <v>SMAW NC I</v>
      </c>
      <c r="FJ20" s="328"/>
      <c r="FK20" s="327" t="str">
        <f t="shared" si="125"/>
        <v>SMAW NC I</v>
      </c>
      <c r="FL20" s="328"/>
      <c r="FM20" s="308" t="s">
        <v>334</v>
      </c>
      <c r="FN20" s="310" t="str">
        <f t="shared" ref="FN20" si="240">IF(AND(FO20="",FQ20="",FS20="",FU20="",FW20=""),"",COUNTA(FO20:FX20)*50)</f>
        <v/>
      </c>
      <c r="FO20" s="327"/>
      <c r="FP20" s="328"/>
      <c r="FQ20" s="327" t="str">
        <f t="shared" si="126"/>
        <v/>
      </c>
      <c r="FR20" s="328"/>
      <c r="FS20" s="327" t="str">
        <f t="shared" si="127"/>
        <v/>
      </c>
      <c r="FT20" s="328"/>
      <c r="FU20" s="327" t="str">
        <f t="shared" si="128"/>
        <v/>
      </c>
      <c r="FV20" s="328"/>
      <c r="FW20" s="327" t="str">
        <f t="shared" si="129"/>
        <v/>
      </c>
      <c r="FX20" s="328"/>
      <c r="FY20" s="308" t="s">
        <v>334</v>
      </c>
      <c r="FZ20" s="310">
        <f t="shared" ref="FZ20" si="241">IF(AND(GA20="",GC20="",GE20="",GG20="",GI20=""),"",COUNTA(GA20:GJ20)*50)</f>
        <v>250</v>
      </c>
      <c r="GA20" s="327" t="s">
        <v>132</v>
      </c>
      <c r="GB20" s="328"/>
      <c r="GC20" s="327" t="str">
        <f t="shared" si="130"/>
        <v>Piling Larang</v>
      </c>
      <c r="GD20" s="328"/>
      <c r="GE20" s="327" t="str">
        <f t="shared" si="131"/>
        <v>Piling Larang</v>
      </c>
      <c r="GF20" s="328"/>
      <c r="GG20" s="327" t="str">
        <f t="shared" si="132"/>
        <v>Piling Larang</v>
      </c>
      <c r="GH20" s="328"/>
      <c r="GI20" s="327" t="str">
        <f t="shared" si="133"/>
        <v>Piling Larang</v>
      </c>
      <c r="GJ20" s="328"/>
      <c r="GK20" s="308" t="s">
        <v>334</v>
      </c>
      <c r="GL20" s="310">
        <f t="shared" ref="GL20" si="242">IF(AND(GM20="",GO20="",GQ20="",GS20="",GU20=""),"",COUNTA(GM20:GV20)*50)</f>
        <v>250</v>
      </c>
      <c r="GM20" s="327" t="s">
        <v>274</v>
      </c>
      <c r="GN20" s="328"/>
      <c r="GO20" s="327" t="str">
        <f t="shared" si="203"/>
        <v>Agri-Crops NC II</v>
      </c>
      <c r="GP20" s="328"/>
      <c r="GQ20" s="327" t="str">
        <f t="shared" si="204"/>
        <v>Agri-Crops NC II</v>
      </c>
      <c r="GR20" s="328"/>
      <c r="GS20" s="327" t="str">
        <f t="shared" si="205"/>
        <v>Agri-Crops NC II</v>
      </c>
      <c r="GT20" s="328"/>
      <c r="GU20" s="327" t="str">
        <f t="shared" si="206"/>
        <v>Agri-Crops NC II</v>
      </c>
      <c r="GV20" s="328"/>
      <c r="GW20" s="308" t="s">
        <v>334</v>
      </c>
      <c r="GX20" s="310">
        <f t="shared" ref="GX20" si="243">IF(AND(GY20="",HA20="",HC20="",HE20="",HG20=""),"",COUNTA(GY20:HH20)*50)</f>
        <v>250</v>
      </c>
      <c r="GY20" s="327" t="str">
        <f>'Gen CP'!B63</f>
        <v>CPAR</v>
      </c>
      <c r="GZ20" s="328"/>
      <c r="HA20" s="327" t="str">
        <f t="shared" si="134"/>
        <v>CPAR</v>
      </c>
      <c r="HB20" s="328"/>
      <c r="HC20" s="327" t="str">
        <f t="shared" si="135"/>
        <v>CPAR</v>
      </c>
      <c r="HD20" s="328"/>
      <c r="HE20" s="327" t="str">
        <f t="shared" si="136"/>
        <v>CPAR</v>
      </c>
      <c r="HF20" s="328"/>
      <c r="HG20" s="327" t="str">
        <f t="shared" si="137"/>
        <v>CPAR</v>
      </c>
      <c r="HH20" s="328"/>
      <c r="HI20" s="308" t="s">
        <v>334</v>
      </c>
      <c r="HJ20" s="310">
        <f t="shared" ref="HJ20" si="244">IF(AND(HK20="",HM20="",HO20="",HQ20="",HS20=""),"",COUNTA(HK20:HT20)*50)</f>
        <v>250</v>
      </c>
      <c r="HK20" s="327" t="s">
        <v>128</v>
      </c>
      <c r="HL20" s="328"/>
      <c r="HM20" s="327" t="str">
        <f t="shared" si="138"/>
        <v>CSS</v>
      </c>
      <c r="HN20" s="328"/>
      <c r="HO20" s="327" t="str">
        <f t="shared" si="139"/>
        <v>CSS</v>
      </c>
      <c r="HP20" s="328"/>
      <c r="HQ20" s="327" t="str">
        <f t="shared" si="140"/>
        <v>CSS</v>
      </c>
      <c r="HR20" s="328"/>
      <c r="HS20" s="327" t="str">
        <f t="shared" si="141"/>
        <v>CSS</v>
      </c>
      <c r="HT20" s="328"/>
      <c r="HU20" s="308" t="s">
        <v>334</v>
      </c>
      <c r="HV20" s="310">
        <f t="shared" ref="HV20" si="245">IF(AND(HW20="",HY20="",IA20="",IC20="",IE20=""),"",COUNTA(HW20:IF20)*50)</f>
        <v>250</v>
      </c>
      <c r="HW20" s="327" t="s">
        <v>150</v>
      </c>
      <c r="HX20" s="328"/>
      <c r="HY20" s="327" t="str">
        <f t="shared" si="142"/>
        <v>Gen Math</v>
      </c>
      <c r="HZ20" s="328"/>
      <c r="IA20" s="327" t="str">
        <f t="shared" si="143"/>
        <v>Gen Math</v>
      </c>
      <c r="IB20" s="328"/>
      <c r="IC20" s="327" t="str">
        <f t="shared" si="144"/>
        <v>Gen Math</v>
      </c>
      <c r="ID20" s="328"/>
      <c r="IE20" s="327" t="str">
        <f t="shared" si="145"/>
        <v>Gen Math</v>
      </c>
      <c r="IF20" s="328"/>
      <c r="IG20" s="308" t="s">
        <v>334</v>
      </c>
      <c r="IH20" s="310">
        <f t="shared" ref="IH20:IH22" si="246">IF(AND(II20="",IK20="",IM20="",IO20="",IQ20=""),"",COUNTA(II20:IR20)*50)</f>
        <v>250</v>
      </c>
      <c r="II20" s="327" t="s">
        <v>141</v>
      </c>
      <c r="IJ20" s="328"/>
      <c r="IK20" s="327" t="str">
        <f t="shared" si="146"/>
        <v>DIASS</v>
      </c>
      <c r="IL20" s="328"/>
      <c r="IM20" s="327" t="str">
        <f t="shared" si="147"/>
        <v>DIASS</v>
      </c>
      <c r="IN20" s="328"/>
      <c r="IO20" s="327" t="str">
        <f t="shared" si="148"/>
        <v>DIASS</v>
      </c>
      <c r="IP20" s="328"/>
      <c r="IQ20" s="327" t="str">
        <f t="shared" si="149"/>
        <v>DIASS</v>
      </c>
      <c r="IR20" s="328"/>
      <c r="IS20" s="308" t="s">
        <v>334</v>
      </c>
      <c r="IT20" s="310">
        <f t="shared" ref="IT20" si="247">IF(AND(IU20="",IW20="",IY20="",JA20="",JC20=""),"",COUNTA(IU20:JD20)*50)</f>
        <v>250</v>
      </c>
      <c r="IU20" s="327" t="str">
        <f>'Gen CP'!B20</f>
        <v>Gen Math</v>
      </c>
      <c r="IV20" s="328"/>
      <c r="IW20" s="327" t="str">
        <f t="shared" si="150"/>
        <v>Gen Math</v>
      </c>
      <c r="IX20" s="328"/>
      <c r="IY20" s="327" t="str">
        <f t="shared" si="151"/>
        <v>Gen Math</v>
      </c>
      <c r="IZ20" s="328"/>
      <c r="JA20" s="327" t="str">
        <f t="shared" si="152"/>
        <v>Gen Math</v>
      </c>
      <c r="JB20" s="328"/>
      <c r="JC20" s="327" t="str">
        <f t="shared" si="153"/>
        <v>Gen Math</v>
      </c>
      <c r="JD20" s="328"/>
      <c r="JE20" s="308" t="s">
        <v>334</v>
      </c>
      <c r="JF20" s="310">
        <f t="shared" ref="JF20" si="248">IF(AND(JG20="",JI20="",JK20="",JM20="",JO20=""),"",COUNTA(JG20:JP20)*50)</f>
        <v>250</v>
      </c>
      <c r="JG20" s="327" t="s">
        <v>132</v>
      </c>
      <c r="JH20" s="328"/>
      <c r="JI20" s="327" t="str">
        <f t="shared" ref="JI20:JI31" si="249">IF($JG20="","",$JG20)</f>
        <v>Piling Larang</v>
      </c>
      <c r="JJ20" s="328"/>
      <c r="JK20" s="327" t="str">
        <f t="shared" si="213"/>
        <v>Piling Larang</v>
      </c>
      <c r="JL20" s="328"/>
      <c r="JM20" s="327" t="str">
        <f t="shared" ref="JM20:JM31" si="250">IF($JG20="","",$JG20)</f>
        <v>Piling Larang</v>
      </c>
      <c r="JN20" s="328"/>
      <c r="JO20" s="327" t="str">
        <f t="shared" si="214"/>
        <v>Piling Larang</v>
      </c>
      <c r="JP20" s="328"/>
      <c r="JQ20" s="308" t="s">
        <v>334</v>
      </c>
      <c r="JR20" s="310">
        <f t="shared" ref="JR20" si="251">IF(AND(JS20="",JU20="",JW20="",JY20="",KA20=""),"",COUNTA(JS20:KB20)*50)</f>
        <v>250</v>
      </c>
      <c r="JS20" s="327" t="str">
        <f>'Gen CP'!L21</f>
        <v>Marcelo OJ</v>
      </c>
      <c r="JT20" s="328"/>
      <c r="JU20" s="327" t="str">
        <f t="shared" si="154"/>
        <v>Marcelo OJ</v>
      </c>
      <c r="JV20" s="328"/>
      <c r="JW20" s="327" t="str">
        <f t="shared" si="155"/>
        <v>Marcelo OJ</v>
      </c>
      <c r="JX20" s="328"/>
      <c r="JY20" s="327" t="str">
        <f t="shared" si="156"/>
        <v>Marcelo OJ</v>
      </c>
      <c r="JZ20" s="328"/>
      <c r="KA20" s="327" t="str">
        <f t="shared" si="157"/>
        <v>Marcelo OJ</v>
      </c>
      <c r="KB20" s="328"/>
      <c r="KC20" s="308" t="s">
        <v>334</v>
      </c>
      <c r="KD20" s="310">
        <f t="shared" ref="KD20" si="252">IF(AND(KE20="",KG20="",KI20="",KK20="",KM20=""),"",COUNTA(KE20:KN20)*50)</f>
        <v>250</v>
      </c>
      <c r="KE20" s="327" t="str">
        <f>'Gen CP'!C20</f>
        <v>21st Cen Lit</v>
      </c>
      <c r="KF20" s="328"/>
      <c r="KG20" s="327" t="str">
        <f t="shared" si="158"/>
        <v>21st Cen Lit</v>
      </c>
      <c r="KH20" s="328"/>
      <c r="KI20" s="327" t="str">
        <f t="shared" si="159"/>
        <v>21st Cen Lit</v>
      </c>
      <c r="KJ20" s="328"/>
      <c r="KK20" s="327" t="str">
        <f t="shared" si="160"/>
        <v>21st Cen Lit</v>
      </c>
      <c r="KL20" s="328"/>
      <c r="KM20" s="327" t="str">
        <f t="shared" si="161"/>
        <v>21st Cen Lit</v>
      </c>
      <c r="KN20" s="328"/>
      <c r="KO20" s="308" t="s">
        <v>334</v>
      </c>
      <c r="KP20" s="310">
        <f t="shared" ref="KP20" si="253">IF(AND(KQ20="",KS20="",KU20="",KW20="",KY20=""),"",COUNTA(KQ20:KZ20)*50)</f>
        <v>250</v>
      </c>
      <c r="KQ20" s="335" t="str">
        <f>'Gen CP'!C63</f>
        <v>Creative Non-Fiction</v>
      </c>
      <c r="KR20" s="336"/>
      <c r="KS20" s="335" t="str">
        <f t="shared" si="162"/>
        <v>Creative Non-Fiction</v>
      </c>
      <c r="KT20" s="336"/>
      <c r="KU20" s="335" t="str">
        <f t="shared" si="163"/>
        <v>Creative Non-Fiction</v>
      </c>
      <c r="KV20" s="336"/>
      <c r="KW20" s="335" t="str">
        <f t="shared" si="164"/>
        <v>Creative Non-Fiction</v>
      </c>
      <c r="KX20" s="336"/>
      <c r="KY20" s="335" t="str">
        <f t="shared" si="165"/>
        <v>Creative Non-Fiction</v>
      </c>
      <c r="KZ20" s="336"/>
      <c r="LA20" s="308" t="s">
        <v>334</v>
      </c>
      <c r="LB20" s="310" t="str">
        <f t="shared" ref="LB20" si="254">IF(AND(LC20="",LE20="",LG20="",LI20="",LK20=""),"",COUNTA(LC20:LL20)*50)</f>
        <v/>
      </c>
      <c r="LC20" s="327"/>
      <c r="LD20" s="328"/>
      <c r="LE20" s="327" t="str">
        <f t="shared" si="166"/>
        <v/>
      </c>
      <c r="LF20" s="328"/>
      <c r="LG20" s="327" t="str">
        <f t="shared" si="167"/>
        <v/>
      </c>
      <c r="LH20" s="328"/>
      <c r="LI20" s="327" t="str">
        <f t="shared" si="52"/>
        <v/>
      </c>
      <c r="LJ20" s="328"/>
      <c r="LK20" s="327" t="str">
        <f t="shared" si="53"/>
        <v/>
      </c>
      <c r="LL20" s="328"/>
      <c r="LM20" s="308" t="s">
        <v>334</v>
      </c>
      <c r="LN20" s="310" t="str">
        <f t="shared" ref="LN20" si="255">IF(AND(LO20="",LQ20="",LS20="",LU20="",LW20=""),"",COUNTA(LO20:LX20)*50)</f>
        <v/>
      </c>
      <c r="LO20" s="327"/>
      <c r="LP20" s="328"/>
      <c r="LQ20" s="327" t="str">
        <f t="shared" si="168"/>
        <v/>
      </c>
      <c r="LR20" s="328"/>
      <c r="LS20" s="327" t="str">
        <f t="shared" si="169"/>
        <v/>
      </c>
      <c r="LT20" s="328"/>
      <c r="LU20" s="327" t="str">
        <f t="shared" si="54"/>
        <v/>
      </c>
      <c r="LV20" s="328"/>
      <c r="LW20" s="327" t="str">
        <f t="shared" si="55"/>
        <v/>
      </c>
      <c r="LX20" s="328"/>
      <c r="LY20" s="308" t="s">
        <v>334</v>
      </c>
      <c r="LZ20" s="310" t="str">
        <f t="shared" ref="LZ20" si="256">IF(AND(MA20="",MC20="",ME20="",MG20="",MI20=""),"",COUNTA(MA20:MJ20)*50)</f>
        <v/>
      </c>
      <c r="MA20" s="327"/>
      <c r="MB20" s="328"/>
      <c r="MC20" s="327" t="str">
        <f t="shared" si="170"/>
        <v/>
      </c>
      <c r="MD20" s="328"/>
      <c r="ME20" s="327" t="str">
        <f t="shared" si="171"/>
        <v/>
      </c>
      <c r="MF20" s="328"/>
      <c r="MG20" s="327" t="str">
        <f t="shared" si="56"/>
        <v/>
      </c>
      <c r="MH20" s="328"/>
      <c r="MI20" s="327" t="str">
        <f t="shared" si="57"/>
        <v/>
      </c>
      <c r="MJ20" s="328"/>
      <c r="MK20" s="308" t="s">
        <v>334</v>
      </c>
      <c r="ML20" s="310" t="str">
        <f t="shared" ref="ML20" si="257">IF(AND(MM20="",MO20="",MQ20="",MS20="",MU20=""),"",COUNTA(MM20:MV20)*50)</f>
        <v/>
      </c>
      <c r="MM20" s="327"/>
      <c r="MN20" s="328"/>
      <c r="MO20" s="327" t="str">
        <f t="shared" si="172"/>
        <v/>
      </c>
      <c r="MP20" s="328"/>
      <c r="MQ20" s="327" t="str">
        <f t="shared" si="173"/>
        <v/>
      </c>
      <c r="MR20" s="328"/>
      <c r="MS20" s="327" t="str">
        <f t="shared" si="58"/>
        <v/>
      </c>
      <c r="MT20" s="328"/>
      <c r="MU20" s="327" t="str">
        <f t="shared" si="59"/>
        <v/>
      </c>
      <c r="MV20" s="328"/>
      <c r="MW20" s="308" t="s">
        <v>334</v>
      </c>
      <c r="MX20" s="310" t="str">
        <f t="shared" ref="MX20" si="258">IF(AND(MY20="",NA20="",NC20="",NE20="",NG20=""),"",COUNTA(MY20:NH20)*50)</f>
        <v/>
      </c>
      <c r="MY20" s="327"/>
      <c r="MZ20" s="328"/>
      <c r="NA20" s="327" t="str">
        <f t="shared" si="174"/>
        <v/>
      </c>
      <c r="NB20" s="328"/>
      <c r="NC20" s="327" t="str">
        <f t="shared" si="175"/>
        <v/>
      </c>
      <c r="ND20" s="328"/>
      <c r="NE20" s="327" t="str">
        <f t="shared" si="60"/>
        <v/>
      </c>
      <c r="NF20" s="328"/>
      <c r="NG20" s="327" t="str">
        <f t="shared" si="61"/>
        <v/>
      </c>
      <c r="NH20" s="328"/>
      <c r="NI20" s="308" t="s">
        <v>334</v>
      </c>
      <c r="NJ20" s="310" t="str">
        <f t="shared" ref="NJ20" si="259">IF(AND(NK20="",NM20="",NO20="",NQ20="",NS20=""),"",COUNTA(NK20:NT20)*50)</f>
        <v/>
      </c>
      <c r="NK20" s="327"/>
      <c r="NL20" s="328"/>
      <c r="NM20" s="327" t="str">
        <f t="shared" si="176"/>
        <v/>
      </c>
      <c r="NN20" s="328"/>
      <c r="NO20" s="327" t="str">
        <f t="shared" si="177"/>
        <v/>
      </c>
      <c r="NP20" s="328"/>
      <c r="NQ20" s="327" t="str">
        <f t="shared" si="62"/>
        <v/>
      </c>
      <c r="NR20" s="328"/>
      <c r="NS20" s="327" t="str">
        <f t="shared" si="63"/>
        <v/>
      </c>
      <c r="NT20" s="328"/>
      <c r="NU20" s="308" t="s">
        <v>334</v>
      </c>
      <c r="NV20" s="310" t="str">
        <f t="shared" ref="NV20" si="260">IF(AND(NW20="",NY20="",OA20="",OC20="",OE20=""),"",COUNTA(NW20:OF20)*50)</f>
        <v/>
      </c>
      <c r="NW20" s="327"/>
      <c r="NX20" s="328"/>
      <c r="NY20" s="327" t="str">
        <f t="shared" si="178"/>
        <v/>
      </c>
      <c r="NZ20" s="328"/>
      <c r="OA20" s="327" t="str">
        <f t="shared" si="179"/>
        <v/>
      </c>
      <c r="OB20" s="328"/>
      <c r="OC20" s="327" t="str">
        <f t="shared" si="64"/>
        <v/>
      </c>
      <c r="OD20" s="328"/>
      <c r="OE20" s="327" t="str">
        <f t="shared" si="65"/>
        <v/>
      </c>
      <c r="OF20" s="328"/>
      <c r="OG20" s="308" t="s">
        <v>334</v>
      </c>
      <c r="OH20" s="310" t="str">
        <f t="shared" ref="OH20" si="261">IF(AND(OI20="",OK20="",OM20="",OO20="",OQ20=""),"",COUNTA(OI20:OR20)*50)</f>
        <v/>
      </c>
      <c r="OI20" s="327"/>
      <c r="OJ20" s="328"/>
      <c r="OK20" s="327" t="str">
        <f t="shared" si="180"/>
        <v/>
      </c>
      <c r="OL20" s="328"/>
      <c r="OM20" s="327" t="str">
        <f t="shared" si="181"/>
        <v/>
      </c>
      <c r="ON20" s="328"/>
      <c r="OO20" s="327" t="str">
        <f t="shared" si="66"/>
        <v/>
      </c>
      <c r="OP20" s="328"/>
      <c r="OQ20" s="327" t="str">
        <f t="shared" si="67"/>
        <v/>
      </c>
      <c r="OR20" s="328"/>
      <c r="OS20" s="308" t="s">
        <v>334</v>
      </c>
      <c r="OT20" s="310" t="str">
        <f t="shared" ref="OT20" si="262">IF(AND(OU20="",OW20="",OY20="",PA20="",PC20=""),"",COUNTA(OU20:PD20)*50)</f>
        <v/>
      </c>
      <c r="OU20" s="327"/>
      <c r="OV20" s="328"/>
      <c r="OW20" s="327" t="str">
        <f t="shared" si="182"/>
        <v/>
      </c>
      <c r="OX20" s="328"/>
      <c r="OY20" s="327" t="str">
        <f t="shared" si="183"/>
        <v/>
      </c>
      <c r="OZ20" s="328"/>
      <c r="PA20" s="327" t="str">
        <f t="shared" si="68"/>
        <v/>
      </c>
      <c r="PB20" s="328"/>
      <c r="PC20" s="327" t="str">
        <f t="shared" si="69"/>
        <v/>
      </c>
      <c r="PD20" s="328"/>
      <c r="PE20" s="308" t="s">
        <v>334</v>
      </c>
      <c r="PF20" s="310" t="str">
        <f t="shared" ref="PF20" si="263">IF(PG20="","",COUNTA(PG20:PP20)*50)</f>
        <v/>
      </c>
      <c r="PG20" s="327"/>
      <c r="PH20" s="328"/>
      <c r="PI20" s="327" t="str">
        <f t="shared" si="184"/>
        <v/>
      </c>
      <c r="PJ20" s="328"/>
      <c r="PK20" s="327" t="str">
        <f t="shared" si="185"/>
        <v/>
      </c>
      <c r="PL20" s="328"/>
      <c r="PM20" s="327" t="str">
        <f t="shared" si="70"/>
        <v/>
      </c>
      <c r="PN20" s="328"/>
      <c r="PO20" s="327" t="str">
        <f t="shared" si="71"/>
        <v/>
      </c>
      <c r="PP20" s="328"/>
    </row>
    <row r="21" spans="1:432">
      <c r="A21" s="309"/>
      <c r="B21" s="311"/>
      <c r="C21" s="305" t="s">
        <v>488</v>
      </c>
      <c r="D21" s="306"/>
      <c r="E21" s="305" t="str">
        <f t="shared" si="186"/>
        <v>12 HumSS C</v>
      </c>
      <c r="F21" s="306"/>
      <c r="G21" s="305" t="str">
        <f t="shared" si="72"/>
        <v>12 HumSS C</v>
      </c>
      <c r="H21" s="306"/>
      <c r="I21" s="305" t="str">
        <f t="shared" si="72"/>
        <v>12 HumSS C</v>
      </c>
      <c r="J21" s="306"/>
      <c r="K21" s="305" t="str">
        <f t="shared" si="73"/>
        <v>12 HumSS C</v>
      </c>
      <c r="L21" s="306"/>
      <c r="M21" s="309"/>
      <c r="N21" s="311"/>
      <c r="O21" s="327" t="s">
        <v>457</v>
      </c>
      <c r="P21" s="328"/>
      <c r="Q21" s="327" t="str">
        <f t="shared" si="74"/>
        <v>11 HumSS E</v>
      </c>
      <c r="R21" s="328"/>
      <c r="S21" s="327" t="str">
        <f t="shared" si="75"/>
        <v>11 HumSS E</v>
      </c>
      <c r="T21" s="328"/>
      <c r="U21" s="327" t="str">
        <f t="shared" si="76"/>
        <v>11 HumSS E</v>
      </c>
      <c r="V21" s="328"/>
      <c r="W21" s="327" t="str">
        <f t="shared" si="77"/>
        <v>11 HumSS E</v>
      </c>
      <c r="X21" s="328"/>
      <c r="Y21" s="309"/>
      <c r="Z21" s="311"/>
      <c r="AA21" s="327" t="s">
        <v>497</v>
      </c>
      <c r="AB21" s="328"/>
      <c r="AC21" s="327" t="str">
        <f t="shared" si="78"/>
        <v>11 HumSS D</v>
      </c>
      <c r="AD21" s="328"/>
      <c r="AE21" s="327" t="str">
        <f t="shared" si="79"/>
        <v>11 HumSS D</v>
      </c>
      <c r="AF21" s="328"/>
      <c r="AG21" s="327" t="str">
        <f t="shared" si="80"/>
        <v>11 HumSS D</v>
      </c>
      <c r="AH21" s="328"/>
      <c r="AI21" s="327" t="str">
        <f t="shared" si="81"/>
        <v>11 HumSS D</v>
      </c>
      <c r="AJ21" s="328"/>
      <c r="AK21" s="309"/>
      <c r="AL21" s="311"/>
      <c r="AM21" s="327" t="s">
        <v>459</v>
      </c>
      <c r="AN21" s="328"/>
      <c r="AO21" s="327" t="str">
        <f t="shared" si="82"/>
        <v>11 AGRI</v>
      </c>
      <c r="AP21" s="328"/>
      <c r="AQ21" s="327" t="str">
        <f t="shared" si="83"/>
        <v>11 AGRI</v>
      </c>
      <c r="AR21" s="328"/>
      <c r="AS21" s="327" t="str">
        <f t="shared" si="84"/>
        <v>11 AGRI</v>
      </c>
      <c r="AT21" s="328"/>
      <c r="AU21" s="327" t="str">
        <f t="shared" si="85"/>
        <v>11 AGRI</v>
      </c>
      <c r="AV21" s="328"/>
      <c r="AW21" s="309"/>
      <c r="AX21" s="311"/>
      <c r="AY21" s="327" t="s">
        <v>454</v>
      </c>
      <c r="AZ21" s="328"/>
      <c r="BA21" s="327" t="str">
        <f t="shared" si="86"/>
        <v>11 HumSS B</v>
      </c>
      <c r="BB21" s="328"/>
      <c r="BC21" s="327" t="str">
        <f t="shared" si="87"/>
        <v>11 HumSS B</v>
      </c>
      <c r="BD21" s="328"/>
      <c r="BE21" s="327" t="str">
        <f t="shared" si="88"/>
        <v>11 HumSS B</v>
      </c>
      <c r="BF21" s="328"/>
      <c r="BG21" s="327" t="str">
        <f t="shared" si="89"/>
        <v>11 HumSS B</v>
      </c>
      <c r="BH21" s="328"/>
      <c r="BI21" s="309"/>
      <c r="BJ21" s="311"/>
      <c r="BK21" s="327" t="s">
        <v>495</v>
      </c>
      <c r="BL21" s="328"/>
      <c r="BM21" s="327"/>
      <c r="BN21" s="328"/>
      <c r="BO21" s="327" t="str">
        <f t="shared" si="91"/>
        <v>12 GAS</v>
      </c>
      <c r="BP21" s="328"/>
      <c r="BQ21" s="327" t="str">
        <f t="shared" si="92"/>
        <v>12 GAS</v>
      </c>
      <c r="BR21" s="328"/>
      <c r="BS21" s="327" t="str">
        <f t="shared" si="93"/>
        <v>12 GAS</v>
      </c>
      <c r="BT21" s="328"/>
      <c r="BU21" s="309"/>
      <c r="BV21" s="311"/>
      <c r="BW21" s="327"/>
      <c r="BX21" s="328"/>
      <c r="BY21" s="327" t="str">
        <f t="shared" si="94"/>
        <v/>
      </c>
      <c r="BZ21" s="328"/>
      <c r="CA21" s="327" t="str">
        <f t="shared" si="95"/>
        <v/>
      </c>
      <c r="CB21" s="328"/>
      <c r="CC21" s="327" t="str">
        <f t="shared" si="96"/>
        <v/>
      </c>
      <c r="CD21" s="328"/>
      <c r="CE21" s="327" t="str">
        <f t="shared" si="97"/>
        <v/>
      </c>
      <c r="CF21" s="328"/>
      <c r="CG21" s="309"/>
      <c r="CH21" s="311"/>
      <c r="CI21" s="327" t="s">
        <v>451</v>
      </c>
      <c r="CJ21" s="328"/>
      <c r="CK21" s="327" t="str">
        <f t="shared" si="98"/>
        <v>11 HumSS C</v>
      </c>
      <c r="CL21" s="328"/>
      <c r="CM21" s="327" t="str">
        <f t="shared" si="99"/>
        <v>11 HumSS C</v>
      </c>
      <c r="CN21" s="328"/>
      <c r="CO21" s="327" t="str">
        <f t="shared" si="100"/>
        <v>11 HumSS C</v>
      </c>
      <c r="CP21" s="328"/>
      <c r="CQ21" s="327" t="str">
        <f t="shared" si="101"/>
        <v>11 HumSS C</v>
      </c>
      <c r="CR21" s="328"/>
      <c r="CS21" s="309"/>
      <c r="CT21" s="311"/>
      <c r="CU21" s="327"/>
      <c r="CV21" s="328"/>
      <c r="CW21" s="327" t="s">
        <v>494</v>
      </c>
      <c r="CX21" s="328"/>
      <c r="CY21" s="327" t="s">
        <v>451</v>
      </c>
      <c r="CZ21" s="328"/>
      <c r="DA21" s="327"/>
      <c r="DB21" s="328"/>
      <c r="DC21" s="327" t="s">
        <v>452</v>
      </c>
      <c r="DD21" s="328"/>
      <c r="DE21" s="309"/>
      <c r="DF21" s="311"/>
      <c r="DG21" s="327" t="s">
        <v>499</v>
      </c>
      <c r="DH21" s="328"/>
      <c r="DI21" s="327" t="str">
        <f t="shared" si="106"/>
        <v>12 Cookery</v>
      </c>
      <c r="DJ21" s="328"/>
      <c r="DK21" s="327" t="str">
        <f t="shared" si="107"/>
        <v>12 Cookery</v>
      </c>
      <c r="DL21" s="328"/>
      <c r="DM21" s="327" t="str">
        <f t="shared" si="108"/>
        <v>12 Cookery</v>
      </c>
      <c r="DN21" s="328"/>
      <c r="DO21" s="327" t="str">
        <f t="shared" si="109"/>
        <v>12 Cookery</v>
      </c>
      <c r="DP21" s="328"/>
      <c r="DQ21" s="309"/>
      <c r="DR21" s="311"/>
      <c r="DS21" s="327"/>
      <c r="DT21" s="328"/>
      <c r="DU21" s="331" t="s">
        <v>495</v>
      </c>
      <c r="DV21" s="332"/>
      <c r="DW21" s="327" t="str">
        <f t="shared" si="111"/>
        <v/>
      </c>
      <c r="DX21" s="328"/>
      <c r="DY21" s="327" t="str">
        <f t="shared" si="112"/>
        <v/>
      </c>
      <c r="DZ21" s="328"/>
      <c r="EA21" s="327" t="str">
        <f t="shared" si="113"/>
        <v/>
      </c>
      <c r="EB21" s="328"/>
      <c r="EC21" s="309"/>
      <c r="ED21" s="311"/>
      <c r="EE21" s="327" t="s">
        <v>494</v>
      </c>
      <c r="EF21" s="328"/>
      <c r="EG21" s="333"/>
      <c r="EH21" s="334"/>
      <c r="EI21" s="327" t="str">
        <f t="shared" si="115"/>
        <v>12 ICT</v>
      </c>
      <c r="EJ21" s="328"/>
      <c r="EK21" s="327" t="str">
        <f t="shared" si="116"/>
        <v>12 ICT</v>
      </c>
      <c r="EL21" s="328"/>
      <c r="EM21" s="327" t="str">
        <f t="shared" si="117"/>
        <v>12 ICT</v>
      </c>
      <c r="EN21" s="328"/>
      <c r="EO21" s="309"/>
      <c r="EP21" s="311"/>
      <c r="EQ21" s="339" t="s">
        <v>451</v>
      </c>
      <c r="ER21" s="340"/>
      <c r="ES21" s="339" t="str">
        <f t="shared" si="118"/>
        <v>11 HumSS C</v>
      </c>
      <c r="ET21" s="340"/>
      <c r="EU21" s="329"/>
      <c r="EV21" s="330"/>
      <c r="EW21" s="339" t="str">
        <f t="shared" si="120"/>
        <v>11 HumSS C</v>
      </c>
      <c r="EX21" s="340"/>
      <c r="EY21" s="339" t="str">
        <f t="shared" si="121"/>
        <v>11 HumSS C</v>
      </c>
      <c r="EZ21" s="340"/>
      <c r="FA21" s="309"/>
      <c r="FB21" s="311"/>
      <c r="FC21" s="327" t="s">
        <v>461</v>
      </c>
      <c r="FD21" s="328"/>
      <c r="FE21" s="327" t="str">
        <f t="shared" si="122"/>
        <v>11 SMAW</v>
      </c>
      <c r="FF21" s="328"/>
      <c r="FG21" s="327" t="str">
        <f t="shared" si="123"/>
        <v>11 SMAW</v>
      </c>
      <c r="FH21" s="328"/>
      <c r="FI21" s="327" t="str">
        <f t="shared" si="124"/>
        <v>11 SMAW</v>
      </c>
      <c r="FJ21" s="328"/>
      <c r="FK21" s="327" t="str">
        <f t="shared" si="125"/>
        <v>11 SMAW</v>
      </c>
      <c r="FL21" s="328"/>
      <c r="FM21" s="309"/>
      <c r="FN21" s="311"/>
      <c r="FO21" s="327"/>
      <c r="FP21" s="328"/>
      <c r="FQ21" s="327" t="str">
        <f t="shared" si="126"/>
        <v/>
      </c>
      <c r="FR21" s="328"/>
      <c r="FS21" s="327" t="str">
        <f t="shared" si="127"/>
        <v/>
      </c>
      <c r="FT21" s="328"/>
      <c r="FU21" s="327" t="str">
        <f t="shared" si="128"/>
        <v/>
      </c>
      <c r="FV21" s="328"/>
      <c r="FW21" s="327" t="str">
        <f t="shared" si="129"/>
        <v/>
      </c>
      <c r="FX21" s="328"/>
      <c r="FY21" s="309"/>
      <c r="FZ21" s="311"/>
      <c r="GA21" s="327" t="s">
        <v>492</v>
      </c>
      <c r="GB21" s="328"/>
      <c r="GC21" s="327" t="str">
        <f t="shared" si="130"/>
        <v>12 SMAW</v>
      </c>
      <c r="GD21" s="328"/>
      <c r="GE21" s="327" t="str">
        <f t="shared" si="131"/>
        <v>12 SMAW</v>
      </c>
      <c r="GF21" s="328"/>
      <c r="GG21" s="327" t="str">
        <f t="shared" si="132"/>
        <v>12 SMAW</v>
      </c>
      <c r="GH21" s="328"/>
      <c r="GI21" s="327" t="str">
        <f t="shared" si="133"/>
        <v>12 SMAW</v>
      </c>
      <c r="GJ21" s="328"/>
      <c r="GK21" s="309"/>
      <c r="GL21" s="311"/>
      <c r="GM21" s="327" t="s">
        <v>490</v>
      </c>
      <c r="GN21" s="328"/>
      <c r="GO21" s="327" t="str">
        <f t="shared" si="203"/>
        <v>12 AGRI</v>
      </c>
      <c r="GP21" s="328"/>
      <c r="GQ21" s="327" t="str">
        <f t="shared" si="204"/>
        <v>12 AGRI</v>
      </c>
      <c r="GR21" s="328"/>
      <c r="GS21" s="327" t="str">
        <f t="shared" si="205"/>
        <v>12 AGRI</v>
      </c>
      <c r="GT21" s="328"/>
      <c r="GU21" s="327" t="str">
        <f t="shared" si="206"/>
        <v>12 AGRI</v>
      </c>
      <c r="GV21" s="328"/>
      <c r="GW21" s="309"/>
      <c r="GX21" s="311"/>
      <c r="GY21" s="327" t="s">
        <v>492</v>
      </c>
      <c r="GZ21" s="328"/>
      <c r="HA21" s="327" t="str">
        <f t="shared" si="134"/>
        <v>12 SMAW</v>
      </c>
      <c r="HB21" s="328"/>
      <c r="HC21" s="327" t="str">
        <f t="shared" si="135"/>
        <v>12 SMAW</v>
      </c>
      <c r="HD21" s="328"/>
      <c r="HE21" s="327" t="str">
        <f t="shared" si="136"/>
        <v>12 SMAW</v>
      </c>
      <c r="HF21" s="328"/>
      <c r="HG21" s="327" t="str">
        <f t="shared" si="137"/>
        <v>12 SMAW</v>
      </c>
      <c r="HH21" s="328"/>
      <c r="HI21" s="309"/>
      <c r="HJ21" s="311"/>
      <c r="HK21" s="327" t="s">
        <v>463</v>
      </c>
      <c r="HL21" s="328"/>
      <c r="HM21" s="327" t="str">
        <f t="shared" si="138"/>
        <v>11 ICT</v>
      </c>
      <c r="HN21" s="328"/>
      <c r="HO21" s="327" t="str">
        <f t="shared" si="139"/>
        <v>11 ICT</v>
      </c>
      <c r="HP21" s="328"/>
      <c r="HQ21" s="327" t="str">
        <f t="shared" si="140"/>
        <v>11 ICT</v>
      </c>
      <c r="HR21" s="328"/>
      <c r="HS21" s="327" t="str">
        <f t="shared" si="141"/>
        <v>11 ICT</v>
      </c>
      <c r="HT21" s="328"/>
      <c r="HU21" s="309"/>
      <c r="HV21" s="311"/>
      <c r="HW21" s="327" t="s">
        <v>465</v>
      </c>
      <c r="HX21" s="328"/>
      <c r="HY21" s="327" t="str">
        <f t="shared" si="142"/>
        <v>11 GAS</v>
      </c>
      <c r="HZ21" s="328"/>
      <c r="IA21" s="327" t="str">
        <f t="shared" si="143"/>
        <v>11 GAS</v>
      </c>
      <c r="IB21" s="328"/>
      <c r="IC21" s="327" t="str">
        <f t="shared" si="144"/>
        <v>11 GAS</v>
      </c>
      <c r="ID21" s="328"/>
      <c r="IE21" s="327" t="str">
        <f t="shared" si="145"/>
        <v>11 GAS</v>
      </c>
      <c r="IF21" s="328"/>
      <c r="IG21" s="309"/>
      <c r="IH21" s="311"/>
      <c r="II21" s="327" t="s">
        <v>489</v>
      </c>
      <c r="IJ21" s="328"/>
      <c r="IK21" s="327" t="str">
        <f t="shared" si="146"/>
        <v>12 HumSS D</v>
      </c>
      <c r="IL21" s="328"/>
      <c r="IM21" s="327" t="str">
        <f t="shared" si="147"/>
        <v>12 HumSS D</v>
      </c>
      <c r="IN21" s="328"/>
      <c r="IO21" s="327" t="str">
        <f t="shared" si="148"/>
        <v>12 HumSS D</v>
      </c>
      <c r="IP21" s="328"/>
      <c r="IQ21" s="327" t="str">
        <f t="shared" si="149"/>
        <v>12 HumSS D</v>
      </c>
      <c r="IR21" s="328"/>
      <c r="IS21" s="309"/>
      <c r="IT21" s="311"/>
      <c r="IU21" s="327" t="s">
        <v>452</v>
      </c>
      <c r="IV21" s="328"/>
      <c r="IW21" s="327" t="str">
        <f t="shared" si="150"/>
        <v>11 STEM</v>
      </c>
      <c r="IX21" s="328"/>
      <c r="IY21" s="327" t="str">
        <f t="shared" si="151"/>
        <v>11 STEM</v>
      </c>
      <c r="IZ21" s="328"/>
      <c r="JA21" s="327" t="str">
        <f t="shared" si="152"/>
        <v>11 STEM</v>
      </c>
      <c r="JB21" s="328"/>
      <c r="JC21" s="327" t="str">
        <f t="shared" si="153"/>
        <v>11 STEM</v>
      </c>
      <c r="JD21" s="328"/>
      <c r="JE21" s="309"/>
      <c r="JF21" s="311"/>
      <c r="JG21" s="327" t="s">
        <v>487</v>
      </c>
      <c r="JH21" s="328"/>
      <c r="JI21" s="327" t="str">
        <f t="shared" si="249"/>
        <v>12 HumSS B</v>
      </c>
      <c r="JJ21" s="328"/>
      <c r="JK21" s="327" t="str">
        <f t="shared" si="213"/>
        <v>12 HumSS B</v>
      </c>
      <c r="JL21" s="328"/>
      <c r="JM21" s="327" t="str">
        <f t="shared" si="250"/>
        <v>12 HumSS B</v>
      </c>
      <c r="JN21" s="328"/>
      <c r="JO21" s="327" t="str">
        <f t="shared" si="214"/>
        <v>12 HumSS B</v>
      </c>
      <c r="JP21" s="328"/>
      <c r="JQ21" s="309"/>
      <c r="JR21" s="311"/>
      <c r="JS21" s="327" t="s">
        <v>498</v>
      </c>
      <c r="JT21" s="328"/>
      <c r="JU21" s="327" t="str">
        <f t="shared" si="154"/>
        <v>11 Cookery</v>
      </c>
      <c r="JV21" s="328"/>
      <c r="JW21" s="327" t="str">
        <f t="shared" si="155"/>
        <v>11 Cookery</v>
      </c>
      <c r="JX21" s="328"/>
      <c r="JY21" s="327" t="str">
        <f t="shared" si="156"/>
        <v>11 Cookery</v>
      </c>
      <c r="JZ21" s="328"/>
      <c r="KA21" s="327" t="str">
        <f t="shared" si="157"/>
        <v>11 Cookery</v>
      </c>
      <c r="KB21" s="328"/>
      <c r="KC21" s="309"/>
      <c r="KD21" s="311"/>
      <c r="KE21" s="327" t="s">
        <v>512</v>
      </c>
      <c r="KF21" s="328"/>
      <c r="KG21" s="327" t="str">
        <f t="shared" si="158"/>
        <v>11 humSS A</v>
      </c>
      <c r="KH21" s="328"/>
      <c r="KI21" s="327" t="str">
        <f t="shared" si="159"/>
        <v>11 humSS A</v>
      </c>
      <c r="KJ21" s="328"/>
      <c r="KK21" s="327" t="str">
        <f t="shared" si="160"/>
        <v>11 humSS A</v>
      </c>
      <c r="KL21" s="328"/>
      <c r="KM21" s="327" t="str">
        <f t="shared" si="161"/>
        <v>11 humSS A</v>
      </c>
      <c r="KN21" s="328"/>
      <c r="KO21" s="309"/>
      <c r="KP21" s="311"/>
      <c r="KQ21" s="327" t="s">
        <v>515</v>
      </c>
      <c r="KR21" s="328"/>
      <c r="KS21" s="327" t="str">
        <f t="shared" si="162"/>
        <v>12  HumSS A</v>
      </c>
      <c r="KT21" s="328"/>
      <c r="KU21" s="327" t="str">
        <f t="shared" si="163"/>
        <v>12  HumSS A</v>
      </c>
      <c r="KV21" s="328"/>
      <c r="KW21" s="327" t="str">
        <f t="shared" si="164"/>
        <v>12  HumSS A</v>
      </c>
      <c r="KX21" s="328"/>
      <c r="KY21" s="327" t="str">
        <f t="shared" si="165"/>
        <v>12  HumSS A</v>
      </c>
      <c r="KZ21" s="328"/>
      <c r="LA21" s="309"/>
      <c r="LB21" s="311"/>
      <c r="LC21" s="327"/>
      <c r="LD21" s="328"/>
      <c r="LE21" s="327" t="str">
        <f t="shared" si="166"/>
        <v/>
      </c>
      <c r="LF21" s="328"/>
      <c r="LG21" s="327" t="str">
        <f t="shared" si="167"/>
        <v/>
      </c>
      <c r="LH21" s="328"/>
      <c r="LI21" s="327" t="str">
        <f t="shared" si="52"/>
        <v/>
      </c>
      <c r="LJ21" s="328"/>
      <c r="LK21" s="327" t="str">
        <f t="shared" si="53"/>
        <v/>
      </c>
      <c r="LL21" s="328"/>
      <c r="LM21" s="309"/>
      <c r="LN21" s="311"/>
      <c r="LO21" s="327"/>
      <c r="LP21" s="328"/>
      <c r="LQ21" s="327" t="str">
        <f t="shared" si="168"/>
        <v/>
      </c>
      <c r="LR21" s="328"/>
      <c r="LS21" s="327" t="str">
        <f t="shared" si="169"/>
        <v/>
      </c>
      <c r="LT21" s="328"/>
      <c r="LU21" s="327" t="str">
        <f t="shared" si="54"/>
        <v/>
      </c>
      <c r="LV21" s="328"/>
      <c r="LW21" s="327" t="str">
        <f t="shared" si="55"/>
        <v/>
      </c>
      <c r="LX21" s="328"/>
      <c r="LY21" s="309"/>
      <c r="LZ21" s="311"/>
      <c r="MA21" s="327"/>
      <c r="MB21" s="328"/>
      <c r="MC21" s="327" t="str">
        <f t="shared" si="170"/>
        <v/>
      </c>
      <c r="MD21" s="328"/>
      <c r="ME21" s="327" t="str">
        <f t="shared" si="171"/>
        <v/>
      </c>
      <c r="MF21" s="328"/>
      <c r="MG21" s="327" t="str">
        <f t="shared" si="56"/>
        <v/>
      </c>
      <c r="MH21" s="328"/>
      <c r="MI21" s="327" t="str">
        <f t="shared" si="57"/>
        <v/>
      </c>
      <c r="MJ21" s="328"/>
      <c r="MK21" s="309"/>
      <c r="ML21" s="311"/>
      <c r="MM21" s="327"/>
      <c r="MN21" s="328"/>
      <c r="MO21" s="327" t="str">
        <f t="shared" si="172"/>
        <v/>
      </c>
      <c r="MP21" s="328"/>
      <c r="MQ21" s="327" t="str">
        <f t="shared" si="173"/>
        <v/>
      </c>
      <c r="MR21" s="328"/>
      <c r="MS21" s="327" t="str">
        <f t="shared" si="58"/>
        <v/>
      </c>
      <c r="MT21" s="328"/>
      <c r="MU21" s="327" t="str">
        <f t="shared" si="59"/>
        <v/>
      </c>
      <c r="MV21" s="328"/>
      <c r="MW21" s="309"/>
      <c r="MX21" s="311"/>
      <c r="MY21" s="327"/>
      <c r="MZ21" s="328"/>
      <c r="NA21" s="327" t="str">
        <f t="shared" si="174"/>
        <v/>
      </c>
      <c r="NB21" s="328"/>
      <c r="NC21" s="327" t="str">
        <f t="shared" si="175"/>
        <v/>
      </c>
      <c r="ND21" s="328"/>
      <c r="NE21" s="327" t="str">
        <f t="shared" si="60"/>
        <v/>
      </c>
      <c r="NF21" s="328"/>
      <c r="NG21" s="327" t="str">
        <f t="shared" si="61"/>
        <v/>
      </c>
      <c r="NH21" s="328"/>
      <c r="NI21" s="309"/>
      <c r="NJ21" s="311"/>
      <c r="NK21" s="327"/>
      <c r="NL21" s="328"/>
      <c r="NM21" s="327" t="str">
        <f t="shared" si="176"/>
        <v/>
      </c>
      <c r="NN21" s="328"/>
      <c r="NO21" s="327" t="str">
        <f t="shared" si="177"/>
        <v/>
      </c>
      <c r="NP21" s="328"/>
      <c r="NQ21" s="327" t="str">
        <f t="shared" si="62"/>
        <v/>
      </c>
      <c r="NR21" s="328"/>
      <c r="NS21" s="327" t="str">
        <f t="shared" si="63"/>
        <v/>
      </c>
      <c r="NT21" s="328"/>
      <c r="NU21" s="309"/>
      <c r="NV21" s="311"/>
      <c r="NW21" s="327"/>
      <c r="NX21" s="328"/>
      <c r="NY21" s="327" t="str">
        <f t="shared" si="178"/>
        <v/>
      </c>
      <c r="NZ21" s="328"/>
      <c r="OA21" s="327" t="str">
        <f t="shared" si="179"/>
        <v/>
      </c>
      <c r="OB21" s="328"/>
      <c r="OC21" s="327" t="str">
        <f t="shared" si="64"/>
        <v/>
      </c>
      <c r="OD21" s="328"/>
      <c r="OE21" s="327" t="str">
        <f t="shared" si="65"/>
        <v/>
      </c>
      <c r="OF21" s="328"/>
      <c r="OG21" s="309"/>
      <c r="OH21" s="311"/>
      <c r="OI21" s="327"/>
      <c r="OJ21" s="328"/>
      <c r="OK21" s="327" t="str">
        <f t="shared" si="180"/>
        <v/>
      </c>
      <c r="OL21" s="328"/>
      <c r="OM21" s="327" t="str">
        <f t="shared" si="181"/>
        <v/>
      </c>
      <c r="ON21" s="328"/>
      <c r="OO21" s="327" t="str">
        <f t="shared" si="66"/>
        <v/>
      </c>
      <c r="OP21" s="328"/>
      <c r="OQ21" s="327" t="str">
        <f t="shared" si="67"/>
        <v/>
      </c>
      <c r="OR21" s="328"/>
      <c r="OS21" s="309"/>
      <c r="OT21" s="311"/>
      <c r="OU21" s="327"/>
      <c r="OV21" s="328"/>
      <c r="OW21" s="327" t="str">
        <f t="shared" si="182"/>
        <v/>
      </c>
      <c r="OX21" s="328"/>
      <c r="OY21" s="327" t="str">
        <f t="shared" si="183"/>
        <v/>
      </c>
      <c r="OZ21" s="328"/>
      <c r="PA21" s="327" t="str">
        <f t="shared" si="68"/>
        <v/>
      </c>
      <c r="PB21" s="328"/>
      <c r="PC21" s="327" t="str">
        <f t="shared" si="69"/>
        <v/>
      </c>
      <c r="PD21" s="328"/>
      <c r="PE21" s="309"/>
      <c r="PF21" s="311"/>
      <c r="PG21" s="327"/>
      <c r="PH21" s="328"/>
      <c r="PI21" s="327" t="str">
        <f t="shared" si="184"/>
        <v/>
      </c>
      <c r="PJ21" s="328"/>
      <c r="PK21" s="327" t="str">
        <f t="shared" si="185"/>
        <v/>
      </c>
      <c r="PL21" s="328"/>
      <c r="PM21" s="327" t="str">
        <f t="shared" si="70"/>
        <v/>
      </c>
      <c r="PN21" s="328"/>
      <c r="PO21" s="327" t="str">
        <f t="shared" si="71"/>
        <v/>
      </c>
      <c r="PP21" s="328"/>
    </row>
    <row r="22" spans="1:432">
      <c r="A22" s="308" t="s">
        <v>335</v>
      </c>
      <c r="B22" s="310">
        <f t="shared" ref="B22" si="264">IF(AND(C22="",E22="",G22="",I22="",K22=""),"",COUNTA(C22:L22)*50)</f>
        <v>250</v>
      </c>
      <c r="C22" s="305" t="str">
        <f>'Gen CP'!B65</f>
        <v>Biology 1</v>
      </c>
      <c r="D22" s="306"/>
      <c r="E22" s="305" t="str">
        <f t="shared" si="186"/>
        <v>Biology 1</v>
      </c>
      <c r="F22" s="306"/>
      <c r="G22" s="305" t="str">
        <f t="shared" si="72"/>
        <v>Biology 1</v>
      </c>
      <c r="H22" s="306"/>
      <c r="I22" s="305" t="str">
        <f t="shared" si="72"/>
        <v>Biology 1</v>
      </c>
      <c r="J22" s="306"/>
      <c r="K22" s="305" t="str">
        <f t="shared" si="73"/>
        <v>Biology 1</v>
      </c>
      <c r="L22" s="306"/>
      <c r="M22" s="308" t="s">
        <v>335</v>
      </c>
      <c r="N22" s="310">
        <f t="shared" ref="N22" si="265">IF(AND(O22="",Q22="",S22="",U22="",W22=""),"",COUNTA(O22:X22)*50)</f>
        <v>250</v>
      </c>
      <c r="O22" s="327" t="str">
        <f>'Gen CP'!E22</f>
        <v>MIL</v>
      </c>
      <c r="P22" s="328"/>
      <c r="Q22" s="327" t="str">
        <f t="shared" si="74"/>
        <v>MIL</v>
      </c>
      <c r="R22" s="328"/>
      <c r="S22" s="327" t="str">
        <f t="shared" si="75"/>
        <v>MIL</v>
      </c>
      <c r="T22" s="328"/>
      <c r="U22" s="327" t="str">
        <f t="shared" si="76"/>
        <v>MIL</v>
      </c>
      <c r="V22" s="328"/>
      <c r="W22" s="327" t="str">
        <f t="shared" si="77"/>
        <v>MIL</v>
      </c>
      <c r="X22" s="328"/>
      <c r="Y22" s="308" t="s">
        <v>335</v>
      </c>
      <c r="Z22" s="310">
        <f t="shared" ref="Z22" si="266">IF(AND(AA22="",AC22="",AE22="",AG22="",AI22=""),"",COUNTA(AA22:AJ22)*50)</f>
        <v>250</v>
      </c>
      <c r="AA22" s="327" t="s">
        <v>112</v>
      </c>
      <c r="AB22" s="328"/>
      <c r="AC22" s="327" t="str">
        <f t="shared" si="78"/>
        <v>Oral Com</v>
      </c>
      <c r="AD22" s="328"/>
      <c r="AE22" s="327" t="str">
        <f t="shared" si="79"/>
        <v>Oral Com</v>
      </c>
      <c r="AF22" s="328"/>
      <c r="AG22" s="327" t="str">
        <f t="shared" si="80"/>
        <v>Oral Com</v>
      </c>
      <c r="AH22" s="328"/>
      <c r="AI22" s="327" t="str">
        <f t="shared" si="81"/>
        <v>Oral Com</v>
      </c>
      <c r="AJ22" s="328"/>
      <c r="AK22" s="308" t="s">
        <v>335</v>
      </c>
      <c r="AL22" s="310">
        <f t="shared" ref="AL22" si="267">IF(AND(AM22="",AO22="",AQ22="",AS22="",AU22=""),"",COUNTA(AM22:AV22)*50)</f>
        <v>250</v>
      </c>
      <c r="AM22" s="327" t="s">
        <v>115</v>
      </c>
      <c r="AN22" s="328"/>
      <c r="AO22" s="327" t="str">
        <f t="shared" si="82"/>
        <v>UCSP</v>
      </c>
      <c r="AP22" s="328"/>
      <c r="AQ22" s="327" t="str">
        <f t="shared" si="83"/>
        <v>UCSP</v>
      </c>
      <c r="AR22" s="328"/>
      <c r="AS22" s="327" t="str">
        <f t="shared" si="84"/>
        <v>UCSP</v>
      </c>
      <c r="AT22" s="328"/>
      <c r="AU22" s="327" t="str">
        <f t="shared" si="85"/>
        <v>UCSP</v>
      </c>
      <c r="AV22" s="328"/>
      <c r="AW22" s="308" t="s">
        <v>335</v>
      </c>
      <c r="AX22" s="310">
        <f t="shared" ref="AX22" si="268">IF(AND(AY22="",BA22="",BC22="",BE22="",BG22=""),"",COUNTA(AY22:BH22)*50)</f>
        <v>200</v>
      </c>
      <c r="AY22" s="327" t="s">
        <v>113</v>
      </c>
      <c r="AZ22" s="328"/>
      <c r="BA22" s="327" t="str">
        <f t="shared" si="86"/>
        <v>Kom Pan</v>
      </c>
      <c r="BB22" s="328"/>
      <c r="BC22" s="327" t="str">
        <f t="shared" si="87"/>
        <v>Kom Pan</v>
      </c>
      <c r="BD22" s="328"/>
      <c r="BE22" s="329"/>
      <c r="BF22" s="330"/>
      <c r="BG22" s="327" t="str">
        <f t="shared" si="89"/>
        <v>Kom Pan</v>
      </c>
      <c r="BH22" s="328"/>
      <c r="BI22" s="308" t="s">
        <v>335</v>
      </c>
      <c r="BJ22" s="310">
        <f t="shared" ref="BJ22" si="269">IF(AND(BK22="",BM22="",BO22="",BQ22="",BS22=""),"",COUNTA(BK22:BT22)*50)</f>
        <v>200</v>
      </c>
      <c r="BK22" s="327" t="s">
        <v>313</v>
      </c>
      <c r="BL22" s="328"/>
      <c r="BM22" s="333"/>
      <c r="BN22" s="334"/>
      <c r="BO22" s="327" t="str">
        <f t="shared" si="91"/>
        <v>MIL</v>
      </c>
      <c r="BP22" s="328"/>
      <c r="BQ22" s="327" t="str">
        <f t="shared" si="92"/>
        <v>MIL</v>
      </c>
      <c r="BR22" s="328"/>
      <c r="BS22" s="327" t="str">
        <f t="shared" si="93"/>
        <v>MIL</v>
      </c>
      <c r="BT22" s="328"/>
      <c r="BU22" s="308" t="s">
        <v>335</v>
      </c>
      <c r="BV22" s="310">
        <f t="shared" ref="BV22" si="270">IF(AND(BW22="",BY22="",CA22="",CC22="",CE22=""),"",COUNTA(BW22:CF22)*50)</f>
        <v>250</v>
      </c>
      <c r="BW22" s="327" t="s">
        <v>311</v>
      </c>
      <c r="BX22" s="328"/>
      <c r="BY22" s="327" t="str">
        <f t="shared" si="94"/>
        <v>Emp Tech</v>
      </c>
      <c r="BZ22" s="328"/>
      <c r="CA22" s="327" t="str">
        <f t="shared" si="95"/>
        <v>Emp Tech</v>
      </c>
      <c r="CB22" s="328"/>
      <c r="CC22" s="327" t="str">
        <f t="shared" si="96"/>
        <v>Emp Tech</v>
      </c>
      <c r="CD22" s="328"/>
      <c r="CE22" s="327" t="str">
        <f t="shared" si="97"/>
        <v>Emp Tech</v>
      </c>
      <c r="CF22" s="328"/>
      <c r="CG22" s="308" t="s">
        <v>335</v>
      </c>
      <c r="CH22" s="310">
        <f t="shared" ref="CH22" si="271">IF(AND(CI22="",CK22="",CM22="",CO22="",CQ22=""),"",COUNTA(CI22:CR22)*50)</f>
        <v>250</v>
      </c>
      <c r="CI22" s="327" t="s">
        <v>119</v>
      </c>
      <c r="CJ22" s="328"/>
      <c r="CK22" s="327" t="str">
        <f t="shared" si="98"/>
        <v>Earth &amp; Life</v>
      </c>
      <c r="CL22" s="328"/>
      <c r="CM22" s="327" t="str">
        <f t="shared" si="99"/>
        <v>Earth &amp; Life</v>
      </c>
      <c r="CN22" s="328"/>
      <c r="CO22" s="327" t="str">
        <f t="shared" si="100"/>
        <v>Earth &amp; Life</v>
      </c>
      <c r="CP22" s="328"/>
      <c r="CQ22" s="327" t="str">
        <f t="shared" si="101"/>
        <v>Earth &amp; Life</v>
      </c>
      <c r="CR22" s="328"/>
      <c r="CS22" s="308" t="s">
        <v>335</v>
      </c>
      <c r="CT22" s="310">
        <f t="shared" ref="CT22" si="272">IF(AND(CU22="",CW22="",CY22="",DA22="",DC22=""),"",COUNTA(CU22:DD22)*50)</f>
        <v>200</v>
      </c>
      <c r="CU22" s="327"/>
      <c r="CV22" s="328"/>
      <c r="CW22" s="327" t="s">
        <v>375</v>
      </c>
      <c r="CX22" s="328"/>
      <c r="CY22" s="327" t="s">
        <v>375</v>
      </c>
      <c r="CZ22" s="328"/>
      <c r="DA22" s="327" t="s">
        <v>375</v>
      </c>
      <c r="DB22" s="328"/>
      <c r="DC22" s="327" t="s">
        <v>375</v>
      </c>
      <c r="DD22" s="328"/>
      <c r="DE22" s="308" t="s">
        <v>335</v>
      </c>
      <c r="DF22" s="310">
        <f t="shared" ref="DF22" si="273">IF(AND(DG22="",DI22="",DK22="",DM22="",DO22=""),"",COUNTA(DG22:DP22)*50)</f>
        <v>250</v>
      </c>
      <c r="DG22" s="327" t="str">
        <f>'Gen CP'!K63</f>
        <v>21st Cen Lit</v>
      </c>
      <c r="DH22" s="328"/>
      <c r="DI22" s="327" t="str">
        <f t="shared" si="106"/>
        <v>21st Cen Lit</v>
      </c>
      <c r="DJ22" s="328"/>
      <c r="DK22" s="327" t="str">
        <f t="shared" si="107"/>
        <v>21st Cen Lit</v>
      </c>
      <c r="DL22" s="328"/>
      <c r="DM22" s="327" t="str">
        <f t="shared" si="108"/>
        <v>21st Cen Lit</v>
      </c>
      <c r="DN22" s="328"/>
      <c r="DO22" s="327" t="str">
        <f t="shared" si="109"/>
        <v>21st Cen Lit</v>
      </c>
      <c r="DP22" s="328"/>
      <c r="DQ22" s="308" t="s">
        <v>335</v>
      </c>
      <c r="DR22" s="310">
        <v>50</v>
      </c>
      <c r="DS22" s="327"/>
      <c r="DT22" s="328"/>
      <c r="DU22" s="331" t="s">
        <v>502</v>
      </c>
      <c r="DV22" s="332"/>
      <c r="DW22" s="327" t="str">
        <f t="shared" si="111"/>
        <v/>
      </c>
      <c r="DX22" s="328"/>
      <c r="DY22" s="327" t="str">
        <f t="shared" si="112"/>
        <v/>
      </c>
      <c r="DZ22" s="328"/>
      <c r="EA22" s="327" t="str">
        <f t="shared" si="113"/>
        <v/>
      </c>
      <c r="EB22" s="328"/>
      <c r="EC22" s="308" t="s">
        <v>335</v>
      </c>
      <c r="ED22" s="310">
        <f t="shared" ref="ED22" si="274">IF(AND(EE22="",EG22="",EI22="",EK22="",EM22=""),"",COUNTA(EE22:EN22)*50)</f>
        <v>250</v>
      </c>
      <c r="EE22" s="327" t="s">
        <v>503</v>
      </c>
      <c r="EF22" s="328"/>
      <c r="EG22" s="327" t="str">
        <f t="shared" si="114"/>
        <v>Research</v>
      </c>
      <c r="EH22" s="328"/>
      <c r="EI22" s="327" t="str">
        <f t="shared" si="115"/>
        <v>Research</v>
      </c>
      <c r="EJ22" s="328"/>
      <c r="EK22" s="327" t="str">
        <f t="shared" si="116"/>
        <v>Research</v>
      </c>
      <c r="EL22" s="328"/>
      <c r="EM22" s="327" t="str">
        <f t="shared" si="117"/>
        <v>Research</v>
      </c>
      <c r="EN22" s="328"/>
      <c r="EO22" s="308" t="s">
        <v>335</v>
      </c>
      <c r="EP22" s="310">
        <f t="shared" ref="EP22" si="275">IF(AND(EQ22="",ES22="",EU22="",EW22="",EY22=""),"",COUNTA(EQ22:EZ22)*50)</f>
        <v>250</v>
      </c>
      <c r="EQ22" s="327" t="s">
        <v>314</v>
      </c>
      <c r="ER22" s="328"/>
      <c r="ES22" s="327" t="str">
        <f t="shared" si="118"/>
        <v>Philo</v>
      </c>
      <c r="ET22" s="328"/>
      <c r="EU22" s="327" t="str">
        <f t="shared" si="119"/>
        <v>Philo</v>
      </c>
      <c r="EV22" s="328"/>
      <c r="EW22" s="327" t="str">
        <f t="shared" si="120"/>
        <v>Philo</v>
      </c>
      <c r="EX22" s="328"/>
      <c r="EY22" s="327" t="str">
        <f t="shared" si="121"/>
        <v>Philo</v>
      </c>
      <c r="EZ22" s="328"/>
      <c r="FA22" s="308" t="s">
        <v>335</v>
      </c>
      <c r="FB22" s="310">
        <f t="shared" ref="FB22" si="276">IF(AND(FC22="",FE22="",FG22="",FI22="",FK22=""),"",COUNTA(FC22:FL22)*50)</f>
        <v>250</v>
      </c>
      <c r="FC22" s="327" t="s">
        <v>126</v>
      </c>
      <c r="FD22" s="328"/>
      <c r="FE22" s="327" t="str">
        <f t="shared" si="122"/>
        <v>SMAW NC I</v>
      </c>
      <c r="FF22" s="328"/>
      <c r="FG22" s="327" t="str">
        <f t="shared" si="123"/>
        <v>SMAW NC I</v>
      </c>
      <c r="FH22" s="328"/>
      <c r="FI22" s="327" t="str">
        <f t="shared" si="124"/>
        <v>SMAW NC I</v>
      </c>
      <c r="FJ22" s="328"/>
      <c r="FK22" s="327" t="str">
        <f t="shared" si="125"/>
        <v>SMAW NC I</v>
      </c>
      <c r="FL22" s="328"/>
      <c r="FM22" s="308" t="s">
        <v>335</v>
      </c>
      <c r="FN22" s="310">
        <f t="shared" ref="FN22" si="277">IF(AND(FO22="",FQ22="",FS22="",FU22="",FW22=""),"",COUNTA(FO22:FX22)*50)</f>
        <v>250</v>
      </c>
      <c r="FO22" s="327" t="s">
        <v>140</v>
      </c>
      <c r="FP22" s="328"/>
      <c r="FQ22" s="327" t="str">
        <f t="shared" si="126"/>
        <v>PPG</v>
      </c>
      <c r="FR22" s="328"/>
      <c r="FS22" s="327" t="str">
        <f t="shared" si="127"/>
        <v>PPG</v>
      </c>
      <c r="FT22" s="328"/>
      <c r="FU22" s="327" t="str">
        <f t="shared" si="128"/>
        <v>PPG</v>
      </c>
      <c r="FV22" s="328"/>
      <c r="FW22" s="327" t="str">
        <f t="shared" si="129"/>
        <v>PPG</v>
      </c>
      <c r="FX22" s="328"/>
      <c r="FY22" s="308" t="s">
        <v>335</v>
      </c>
      <c r="FZ22" s="310" t="str">
        <f t="shared" ref="FZ22" si="278">IF(AND(GA22="",GC22="",GE22="",GG22="",GI22=""),"",COUNTA(GA22:GJ22)*50)</f>
        <v/>
      </c>
      <c r="GA22" s="327"/>
      <c r="GB22" s="328"/>
      <c r="GC22" s="327" t="str">
        <f t="shared" si="130"/>
        <v/>
      </c>
      <c r="GD22" s="328"/>
      <c r="GE22" s="327" t="str">
        <f t="shared" si="131"/>
        <v/>
      </c>
      <c r="GF22" s="328"/>
      <c r="GG22" s="327" t="str">
        <f t="shared" si="132"/>
        <v/>
      </c>
      <c r="GH22" s="328"/>
      <c r="GI22" s="327" t="str">
        <f t="shared" si="133"/>
        <v/>
      </c>
      <c r="GJ22" s="328"/>
      <c r="GK22" s="308" t="s">
        <v>335</v>
      </c>
      <c r="GL22" s="310">
        <f t="shared" ref="GL22" si="279">IF(AND(GM22="",GO22="",GQ22="",GS22="",GU22=""),"",COUNTA(GM22:GV22)*50)</f>
        <v>250</v>
      </c>
      <c r="GM22" s="327" t="s">
        <v>503</v>
      </c>
      <c r="GN22" s="328"/>
      <c r="GO22" s="327" t="str">
        <f t="shared" si="203"/>
        <v>Research</v>
      </c>
      <c r="GP22" s="328"/>
      <c r="GQ22" s="327" t="str">
        <f t="shared" si="204"/>
        <v>Research</v>
      </c>
      <c r="GR22" s="328"/>
      <c r="GS22" s="327" t="str">
        <f t="shared" si="205"/>
        <v>Research</v>
      </c>
      <c r="GT22" s="328"/>
      <c r="GU22" s="327" t="str">
        <f t="shared" si="206"/>
        <v>Research</v>
      </c>
      <c r="GV22" s="328"/>
      <c r="GW22" s="308" t="s">
        <v>335</v>
      </c>
      <c r="GX22" s="310">
        <f t="shared" ref="GX22" si="280">IF(AND(GY22="",HA22="",HC22="",HE22="",HG22=""),"",COUNTA(GY22:HH22)*50)</f>
        <v>250</v>
      </c>
      <c r="GY22" s="339" t="str">
        <f>'Gen CP'!H22</f>
        <v>Earth &amp; Life</v>
      </c>
      <c r="GZ22" s="340"/>
      <c r="HA22" s="327" t="s">
        <v>375</v>
      </c>
      <c r="HB22" s="328"/>
      <c r="HC22" s="339" t="str">
        <f t="shared" si="135"/>
        <v>Earth &amp; Life</v>
      </c>
      <c r="HD22" s="340"/>
      <c r="HE22" s="339" t="str">
        <f t="shared" si="136"/>
        <v>Earth &amp; Life</v>
      </c>
      <c r="HF22" s="340"/>
      <c r="HG22" s="339" t="str">
        <f t="shared" si="137"/>
        <v>Earth &amp; Life</v>
      </c>
      <c r="HH22" s="340"/>
      <c r="HI22" s="308" t="s">
        <v>335</v>
      </c>
      <c r="HJ22" s="310">
        <f t="shared" ref="HJ22" si="281">IF(AND(HK22="",HM22="",HO22="",HQ22="",HS22=""),"",COUNTA(HK22:HT22)*50)</f>
        <v>250</v>
      </c>
      <c r="HK22" s="327" t="s">
        <v>128</v>
      </c>
      <c r="HL22" s="328"/>
      <c r="HM22" s="327" t="str">
        <f t="shared" si="138"/>
        <v>CSS</v>
      </c>
      <c r="HN22" s="328"/>
      <c r="HO22" s="327" t="str">
        <f t="shared" si="139"/>
        <v>CSS</v>
      </c>
      <c r="HP22" s="328"/>
      <c r="HQ22" s="327" t="str">
        <f t="shared" si="140"/>
        <v>CSS</v>
      </c>
      <c r="HR22" s="328"/>
      <c r="HS22" s="327" t="str">
        <f t="shared" si="141"/>
        <v>CSS</v>
      </c>
      <c r="HT22" s="328"/>
      <c r="HU22" s="308" t="s">
        <v>335</v>
      </c>
      <c r="HV22" s="310">
        <f t="shared" ref="HV22" si="282">IF(AND(HW22="",HY22="",IA22="",IC22="",IE22=""),"",COUNTA(HW22:IF22)*50)</f>
        <v>250</v>
      </c>
      <c r="HW22" s="327" t="s">
        <v>150</v>
      </c>
      <c r="HX22" s="328"/>
      <c r="HY22" s="327" t="str">
        <f t="shared" si="142"/>
        <v>Gen Math</v>
      </c>
      <c r="HZ22" s="328"/>
      <c r="IA22" s="327" t="str">
        <f t="shared" si="143"/>
        <v>Gen Math</v>
      </c>
      <c r="IB22" s="328"/>
      <c r="IC22" s="327" t="str">
        <f t="shared" si="144"/>
        <v>Gen Math</v>
      </c>
      <c r="ID22" s="328"/>
      <c r="IE22" s="327" t="str">
        <f t="shared" si="145"/>
        <v>Gen Math</v>
      </c>
      <c r="IF22" s="328"/>
      <c r="IG22" s="308" t="s">
        <v>335</v>
      </c>
      <c r="IH22" s="310">
        <f t="shared" si="246"/>
        <v>200</v>
      </c>
      <c r="II22" s="327" t="s">
        <v>125</v>
      </c>
      <c r="IJ22" s="328"/>
      <c r="IK22" s="327"/>
      <c r="IL22" s="328"/>
      <c r="IM22" s="327" t="str">
        <f t="shared" si="147"/>
        <v>CPAR</v>
      </c>
      <c r="IN22" s="328"/>
      <c r="IO22" s="327" t="str">
        <f t="shared" si="148"/>
        <v>CPAR</v>
      </c>
      <c r="IP22" s="328"/>
      <c r="IQ22" s="327" t="str">
        <f t="shared" si="149"/>
        <v>CPAR</v>
      </c>
      <c r="IR22" s="328"/>
      <c r="IS22" s="308" t="s">
        <v>335</v>
      </c>
      <c r="IT22" s="310">
        <f t="shared" ref="IT22" si="283">IF(AND(IU22="",IW22="",IY22="",JA22="",JC22=""),"",COUNTA(IU22:JD22)*50)</f>
        <v>250</v>
      </c>
      <c r="IU22" s="327" t="str">
        <f>'Gen CP'!C22</f>
        <v>Gen Math</v>
      </c>
      <c r="IV22" s="328"/>
      <c r="IW22" s="327" t="str">
        <f t="shared" si="150"/>
        <v>Gen Math</v>
      </c>
      <c r="IX22" s="328"/>
      <c r="IY22" s="327" t="str">
        <f t="shared" si="151"/>
        <v>Gen Math</v>
      </c>
      <c r="IZ22" s="328"/>
      <c r="JA22" s="327" t="str">
        <f t="shared" si="152"/>
        <v>Gen Math</v>
      </c>
      <c r="JB22" s="328"/>
      <c r="JC22" s="327" t="str">
        <f t="shared" si="153"/>
        <v>Gen Math</v>
      </c>
      <c r="JD22" s="328"/>
      <c r="JE22" s="308" t="s">
        <v>335</v>
      </c>
      <c r="JF22" s="310">
        <f t="shared" ref="JF22" si="284">IF(AND(JG22="",JI22="",JK22="",JM22="",JO22=""),"",COUNTA(JG22:JP22)*50)</f>
        <v>250</v>
      </c>
      <c r="JG22" s="327" t="s">
        <v>132</v>
      </c>
      <c r="JH22" s="328"/>
      <c r="JI22" s="327" t="str">
        <f t="shared" si="249"/>
        <v>Piling Larang</v>
      </c>
      <c r="JJ22" s="328"/>
      <c r="JK22" s="327" t="str">
        <f t="shared" si="213"/>
        <v>Piling Larang</v>
      </c>
      <c r="JL22" s="328"/>
      <c r="JM22" s="327" t="str">
        <f t="shared" si="250"/>
        <v>Piling Larang</v>
      </c>
      <c r="JN22" s="328"/>
      <c r="JO22" s="327" t="str">
        <f t="shared" si="214"/>
        <v>Piling Larang</v>
      </c>
      <c r="JP22" s="328"/>
      <c r="JQ22" s="308" t="s">
        <v>335</v>
      </c>
      <c r="JR22" s="310">
        <f t="shared" ref="JR22" si="285">IF(AND(JS22="",JU22="",JW22="",JY22="",KA22=""),"",COUNTA(JS22:KB22)*50)</f>
        <v>250</v>
      </c>
      <c r="JS22" s="327" t="str">
        <f>'Gen CP'!C65</f>
        <v>Research 2</v>
      </c>
      <c r="JT22" s="328"/>
      <c r="JU22" s="327" t="str">
        <f t="shared" si="154"/>
        <v>Research 2</v>
      </c>
      <c r="JV22" s="328"/>
      <c r="JW22" s="327" t="str">
        <f t="shared" si="155"/>
        <v>Research 2</v>
      </c>
      <c r="JX22" s="328"/>
      <c r="JY22" s="327" t="str">
        <f t="shared" si="156"/>
        <v>Research 2</v>
      </c>
      <c r="JZ22" s="328"/>
      <c r="KA22" s="327" t="str">
        <f t="shared" si="157"/>
        <v>Research 2</v>
      </c>
      <c r="KB22" s="328"/>
      <c r="KC22" s="308" t="s">
        <v>335</v>
      </c>
      <c r="KD22" s="310">
        <f t="shared" ref="KD22" si="286">IF(AND(KE22="",KG22="",KI22="",KK22="",KM22=""),"",COUNTA(KE22:KN22)*50)</f>
        <v>250</v>
      </c>
      <c r="KE22" s="327" t="s">
        <v>312</v>
      </c>
      <c r="KF22" s="328"/>
      <c r="KG22" s="327" t="str">
        <f t="shared" si="158"/>
        <v>21st Cen Lit</v>
      </c>
      <c r="KH22" s="328"/>
      <c r="KI22" s="327" t="str">
        <f t="shared" si="159"/>
        <v>21st Cen Lit</v>
      </c>
      <c r="KJ22" s="328"/>
      <c r="KK22" s="327" t="str">
        <f t="shared" si="160"/>
        <v>21st Cen Lit</v>
      </c>
      <c r="KL22" s="328"/>
      <c r="KM22" s="327" t="str">
        <f t="shared" si="161"/>
        <v>21st Cen Lit</v>
      </c>
      <c r="KN22" s="328"/>
      <c r="KO22" s="308" t="s">
        <v>335</v>
      </c>
      <c r="KP22" s="310" t="str">
        <f t="shared" ref="KP22" si="287">IF(AND(KQ22="",KS22="",KU22="",KW22="",KY22=""),"",COUNTA(KQ22:KZ22)*50)</f>
        <v/>
      </c>
      <c r="KQ22" s="327"/>
      <c r="KR22" s="328"/>
      <c r="KS22" s="327" t="str">
        <f t="shared" si="162"/>
        <v/>
      </c>
      <c r="KT22" s="328"/>
      <c r="KU22" s="327" t="str">
        <f t="shared" si="163"/>
        <v/>
      </c>
      <c r="KV22" s="328"/>
      <c r="KW22" s="327" t="str">
        <f t="shared" si="164"/>
        <v/>
      </c>
      <c r="KX22" s="328"/>
      <c r="KY22" s="327" t="str">
        <f t="shared" si="165"/>
        <v/>
      </c>
      <c r="KZ22" s="328"/>
      <c r="LA22" s="308" t="s">
        <v>335</v>
      </c>
      <c r="LB22" s="310" t="str">
        <f t="shared" ref="LB22" si="288">IF(AND(LC22="",LE22="",LG22="",LI22="",LK22=""),"",COUNTA(LC22:LL22)*50)</f>
        <v/>
      </c>
      <c r="LC22" s="327"/>
      <c r="LD22" s="328"/>
      <c r="LE22" s="327" t="str">
        <f t="shared" si="166"/>
        <v/>
      </c>
      <c r="LF22" s="328"/>
      <c r="LG22" s="327" t="str">
        <f t="shared" si="167"/>
        <v/>
      </c>
      <c r="LH22" s="328"/>
      <c r="LI22" s="327" t="str">
        <f t="shared" si="52"/>
        <v/>
      </c>
      <c r="LJ22" s="328"/>
      <c r="LK22" s="327" t="str">
        <f t="shared" si="53"/>
        <v/>
      </c>
      <c r="LL22" s="328"/>
      <c r="LM22" s="308" t="s">
        <v>335</v>
      </c>
      <c r="LN22" s="310" t="str">
        <f t="shared" ref="LN22" si="289">IF(AND(LO22="",LQ22="",LS22="",LU22="",LW22=""),"",COUNTA(LO22:LX22)*50)</f>
        <v/>
      </c>
      <c r="LO22" s="327"/>
      <c r="LP22" s="328"/>
      <c r="LQ22" s="327" t="str">
        <f t="shared" si="168"/>
        <v/>
      </c>
      <c r="LR22" s="328"/>
      <c r="LS22" s="327" t="str">
        <f t="shared" si="169"/>
        <v/>
      </c>
      <c r="LT22" s="328"/>
      <c r="LU22" s="327" t="str">
        <f t="shared" si="54"/>
        <v/>
      </c>
      <c r="LV22" s="328"/>
      <c r="LW22" s="327" t="str">
        <f t="shared" si="55"/>
        <v/>
      </c>
      <c r="LX22" s="328"/>
      <c r="LY22" s="308" t="s">
        <v>335</v>
      </c>
      <c r="LZ22" s="310" t="str">
        <f t="shared" ref="LZ22" si="290">IF(AND(MA22="",MC22="",ME22="",MG22="",MI22=""),"",COUNTA(MA22:MJ22)*50)</f>
        <v/>
      </c>
      <c r="MA22" s="327"/>
      <c r="MB22" s="328"/>
      <c r="MC22" s="327" t="str">
        <f t="shared" si="170"/>
        <v/>
      </c>
      <c r="MD22" s="328"/>
      <c r="ME22" s="327" t="str">
        <f t="shared" si="171"/>
        <v/>
      </c>
      <c r="MF22" s="328"/>
      <c r="MG22" s="327" t="str">
        <f t="shared" si="56"/>
        <v/>
      </c>
      <c r="MH22" s="328"/>
      <c r="MI22" s="327" t="str">
        <f t="shared" si="57"/>
        <v/>
      </c>
      <c r="MJ22" s="328"/>
      <c r="MK22" s="308" t="s">
        <v>335</v>
      </c>
      <c r="ML22" s="310" t="str">
        <f t="shared" ref="ML22" si="291">IF(AND(MM22="",MO22="",MQ22="",MS22="",MU22=""),"",COUNTA(MM22:MV22)*50)</f>
        <v/>
      </c>
      <c r="MM22" s="327"/>
      <c r="MN22" s="328"/>
      <c r="MO22" s="327" t="str">
        <f t="shared" si="172"/>
        <v/>
      </c>
      <c r="MP22" s="328"/>
      <c r="MQ22" s="327" t="str">
        <f t="shared" si="173"/>
        <v/>
      </c>
      <c r="MR22" s="328"/>
      <c r="MS22" s="327" t="str">
        <f t="shared" si="58"/>
        <v/>
      </c>
      <c r="MT22" s="328"/>
      <c r="MU22" s="327" t="str">
        <f t="shared" si="59"/>
        <v/>
      </c>
      <c r="MV22" s="328"/>
      <c r="MW22" s="308" t="s">
        <v>335</v>
      </c>
      <c r="MX22" s="310" t="str">
        <f t="shared" ref="MX22" si="292">IF(AND(MY22="",NA22="",NC22="",NE22="",NG22=""),"",COUNTA(MY22:NH22)*50)</f>
        <v/>
      </c>
      <c r="MY22" s="327"/>
      <c r="MZ22" s="328"/>
      <c r="NA22" s="327" t="str">
        <f t="shared" si="174"/>
        <v/>
      </c>
      <c r="NB22" s="328"/>
      <c r="NC22" s="327" t="str">
        <f t="shared" si="175"/>
        <v/>
      </c>
      <c r="ND22" s="328"/>
      <c r="NE22" s="327" t="str">
        <f t="shared" si="60"/>
        <v/>
      </c>
      <c r="NF22" s="328"/>
      <c r="NG22" s="327" t="str">
        <f t="shared" si="61"/>
        <v/>
      </c>
      <c r="NH22" s="328"/>
      <c r="NI22" s="308" t="s">
        <v>335</v>
      </c>
      <c r="NJ22" s="310" t="str">
        <f t="shared" ref="NJ22" si="293">IF(AND(NK22="",NM22="",NO22="",NQ22="",NS22=""),"",COUNTA(NK22:NT22)*50)</f>
        <v/>
      </c>
      <c r="NK22" s="327"/>
      <c r="NL22" s="328"/>
      <c r="NM22" s="327" t="str">
        <f t="shared" si="176"/>
        <v/>
      </c>
      <c r="NN22" s="328"/>
      <c r="NO22" s="327" t="str">
        <f t="shared" si="177"/>
        <v/>
      </c>
      <c r="NP22" s="328"/>
      <c r="NQ22" s="327" t="str">
        <f t="shared" si="62"/>
        <v/>
      </c>
      <c r="NR22" s="328"/>
      <c r="NS22" s="327" t="str">
        <f t="shared" si="63"/>
        <v/>
      </c>
      <c r="NT22" s="328"/>
      <c r="NU22" s="308" t="s">
        <v>335</v>
      </c>
      <c r="NV22" s="310" t="str">
        <f t="shared" ref="NV22" si="294">IF(AND(NW22="",NY22="",OA22="",OC22="",OE22=""),"",COUNTA(NW22:OF22)*50)</f>
        <v/>
      </c>
      <c r="NW22" s="327"/>
      <c r="NX22" s="328"/>
      <c r="NY22" s="327" t="str">
        <f t="shared" si="178"/>
        <v/>
      </c>
      <c r="NZ22" s="328"/>
      <c r="OA22" s="327" t="str">
        <f t="shared" si="179"/>
        <v/>
      </c>
      <c r="OB22" s="328"/>
      <c r="OC22" s="327" t="str">
        <f t="shared" si="64"/>
        <v/>
      </c>
      <c r="OD22" s="328"/>
      <c r="OE22" s="327" t="str">
        <f t="shared" si="65"/>
        <v/>
      </c>
      <c r="OF22" s="328"/>
      <c r="OG22" s="308" t="s">
        <v>335</v>
      </c>
      <c r="OH22" s="310" t="str">
        <f t="shared" ref="OH22" si="295">IF(AND(OI22="",OK22="",OM22="",OO22="",OQ22=""),"",COUNTA(OI22:OR22)*50)</f>
        <v/>
      </c>
      <c r="OI22" s="327"/>
      <c r="OJ22" s="328"/>
      <c r="OK22" s="327" t="str">
        <f t="shared" si="180"/>
        <v/>
      </c>
      <c r="OL22" s="328"/>
      <c r="OM22" s="327" t="str">
        <f t="shared" si="181"/>
        <v/>
      </c>
      <c r="ON22" s="328"/>
      <c r="OO22" s="327" t="str">
        <f t="shared" si="66"/>
        <v/>
      </c>
      <c r="OP22" s="328"/>
      <c r="OQ22" s="327" t="str">
        <f t="shared" si="67"/>
        <v/>
      </c>
      <c r="OR22" s="328"/>
      <c r="OS22" s="308" t="s">
        <v>335</v>
      </c>
      <c r="OT22" s="310" t="str">
        <f t="shared" ref="OT22" si="296">IF(AND(OU22="",OW22="",OY22="",PA22="",PC22=""),"",COUNTA(OU22:PD22)*50)</f>
        <v/>
      </c>
      <c r="OU22" s="327"/>
      <c r="OV22" s="328"/>
      <c r="OW22" s="327" t="str">
        <f t="shared" si="182"/>
        <v/>
      </c>
      <c r="OX22" s="328"/>
      <c r="OY22" s="327" t="str">
        <f t="shared" si="183"/>
        <v/>
      </c>
      <c r="OZ22" s="328"/>
      <c r="PA22" s="327" t="str">
        <f t="shared" si="68"/>
        <v/>
      </c>
      <c r="PB22" s="328"/>
      <c r="PC22" s="327" t="str">
        <f t="shared" si="69"/>
        <v/>
      </c>
      <c r="PD22" s="328"/>
      <c r="PE22" s="308" t="s">
        <v>335</v>
      </c>
      <c r="PF22" s="310" t="str">
        <f t="shared" ref="PF22" si="297">IF(PG22="","",COUNTA(PG22:PP22)*50)</f>
        <v/>
      </c>
      <c r="PG22" s="327"/>
      <c r="PH22" s="328"/>
      <c r="PI22" s="327" t="str">
        <f t="shared" si="184"/>
        <v/>
      </c>
      <c r="PJ22" s="328"/>
      <c r="PK22" s="327" t="str">
        <f t="shared" si="185"/>
        <v/>
      </c>
      <c r="PL22" s="328"/>
      <c r="PM22" s="327" t="str">
        <f t="shared" si="70"/>
        <v/>
      </c>
      <c r="PN22" s="328"/>
      <c r="PO22" s="327" t="str">
        <f t="shared" si="71"/>
        <v/>
      </c>
      <c r="PP22" s="328"/>
    </row>
    <row r="23" spans="1:432">
      <c r="A23" s="309"/>
      <c r="B23" s="311"/>
      <c r="C23" s="305" t="s">
        <v>485</v>
      </c>
      <c r="D23" s="306"/>
      <c r="E23" s="305" t="str">
        <f t="shared" si="186"/>
        <v>12 STEM</v>
      </c>
      <c r="F23" s="306"/>
      <c r="G23" s="305" t="str">
        <f t="shared" si="72"/>
        <v>12 STEM</v>
      </c>
      <c r="H23" s="306"/>
      <c r="I23" s="305" t="str">
        <f t="shared" si="72"/>
        <v>12 STEM</v>
      </c>
      <c r="J23" s="306"/>
      <c r="K23" s="305" t="str">
        <f t="shared" si="73"/>
        <v>12 STEM</v>
      </c>
      <c r="L23" s="306"/>
      <c r="M23" s="309"/>
      <c r="N23" s="311"/>
      <c r="O23" s="327" t="s">
        <v>451</v>
      </c>
      <c r="P23" s="328"/>
      <c r="Q23" s="327" t="str">
        <f t="shared" si="74"/>
        <v>11 HumSS C</v>
      </c>
      <c r="R23" s="328"/>
      <c r="S23" s="327" t="str">
        <f t="shared" si="75"/>
        <v>11 HumSS C</v>
      </c>
      <c r="T23" s="328"/>
      <c r="U23" s="327" t="str">
        <f t="shared" si="76"/>
        <v>11 HumSS C</v>
      </c>
      <c r="V23" s="328"/>
      <c r="W23" s="327" t="str">
        <f t="shared" si="77"/>
        <v>11 HumSS C</v>
      </c>
      <c r="X23" s="328"/>
      <c r="Y23" s="309"/>
      <c r="Z23" s="311"/>
      <c r="AA23" s="327" t="s">
        <v>498</v>
      </c>
      <c r="AB23" s="328"/>
      <c r="AC23" s="327" t="str">
        <f t="shared" si="78"/>
        <v>11 Cookery</v>
      </c>
      <c r="AD23" s="328"/>
      <c r="AE23" s="327" t="str">
        <f t="shared" si="79"/>
        <v>11 Cookery</v>
      </c>
      <c r="AF23" s="328"/>
      <c r="AG23" s="327" t="str">
        <f t="shared" si="80"/>
        <v>11 Cookery</v>
      </c>
      <c r="AH23" s="328"/>
      <c r="AI23" s="327" t="str">
        <f t="shared" si="81"/>
        <v>11 Cookery</v>
      </c>
      <c r="AJ23" s="328"/>
      <c r="AK23" s="309"/>
      <c r="AL23" s="311"/>
      <c r="AM23" s="327" t="s">
        <v>452</v>
      </c>
      <c r="AN23" s="328"/>
      <c r="AO23" s="327" t="str">
        <f t="shared" si="82"/>
        <v>11 STEM</v>
      </c>
      <c r="AP23" s="328"/>
      <c r="AQ23" s="327" t="str">
        <f t="shared" si="83"/>
        <v>11 STEM</v>
      </c>
      <c r="AR23" s="328"/>
      <c r="AS23" s="327" t="str">
        <f t="shared" si="84"/>
        <v>11 STEM</v>
      </c>
      <c r="AT23" s="328"/>
      <c r="AU23" s="327" t="str">
        <f t="shared" si="85"/>
        <v>11 STEM</v>
      </c>
      <c r="AV23" s="328"/>
      <c r="AW23" s="309"/>
      <c r="AX23" s="311"/>
      <c r="AY23" s="327" t="s">
        <v>465</v>
      </c>
      <c r="AZ23" s="328"/>
      <c r="BA23" s="327" t="str">
        <f t="shared" si="86"/>
        <v>11 GAS</v>
      </c>
      <c r="BB23" s="328"/>
      <c r="BC23" s="327" t="str">
        <f t="shared" si="87"/>
        <v>11 GAS</v>
      </c>
      <c r="BD23" s="328"/>
      <c r="BE23" s="329"/>
      <c r="BF23" s="330"/>
      <c r="BG23" s="327" t="str">
        <f t="shared" si="89"/>
        <v>11 GAS</v>
      </c>
      <c r="BH23" s="328"/>
      <c r="BI23" s="309"/>
      <c r="BJ23" s="311"/>
      <c r="BK23" s="327" t="s">
        <v>499</v>
      </c>
      <c r="BL23" s="328"/>
      <c r="BM23" s="333"/>
      <c r="BN23" s="334"/>
      <c r="BO23" s="327" t="str">
        <f t="shared" si="91"/>
        <v>12 Cookery</v>
      </c>
      <c r="BP23" s="328"/>
      <c r="BQ23" s="327" t="str">
        <f t="shared" si="92"/>
        <v>12 Cookery</v>
      </c>
      <c r="BR23" s="328"/>
      <c r="BS23" s="327" t="str">
        <f t="shared" si="93"/>
        <v>12 Cookery</v>
      </c>
      <c r="BT23" s="328"/>
      <c r="BU23" s="309"/>
      <c r="BV23" s="311"/>
      <c r="BW23" s="327" t="s">
        <v>457</v>
      </c>
      <c r="BX23" s="328"/>
      <c r="BY23" s="327" t="str">
        <f t="shared" si="94"/>
        <v>11 HumSS E</v>
      </c>
      <c r="BZ23" s="328"/>
      <c r="CA23" s="327" t="str">
        <f t="shared" si="95"/>
        <v>11 HumSS E</v>
      </c>
      <c r="CB23" s="328"/>
      <c r="CC23" s="327" t="str">
        <f t="shared" si="96"/>
        <v>11 HumSS E</v>
      </c>
      <c r="CD23" s="328"/>
      <c r="CE23" s="327" t="str">
        <f t="shared" si="97"/>
        <v>11 HumSS E</v>
      </c>
      <c r="CF23" s="328"/>
      <c r="CG23" s="309"/>
      <c r="CH23" s="311"/>
      <c r="CI23" s="327" t="s">
        <v>459</v>
      </c>
      <c r="CJ23" s="328"/>
      <c r="CK23" s="327" t="str">
        <f t="shared" si="98"/>
        <v>11 AGRI</v>
      </c>
      <c r="CL23" s="328"/>
      <c r="CM23" s="327" t="str">
        <f t="shared" si="99"/>
        <v>11 AGRI</v>
      </c>
      <c r="CN23" s="328"/>
      <c r="CO23" s="327" t="str">
        <f t="shared" si="100"/>
        <v>11 AGRI</v>
      </c>
      <c r="CP23" s="328"/>
      <c r="CQ23" s="327" t="str">
        <f t="shared" si="101"/>
        <v>11 AGRI</v>
      </c>
      <c r="CR23" s="328"/>
      <c r="CS23" s="309"/>
      <c r="CT23" s="311"/>
      <c r="CU23" s="327"/>
      <c r="CV23" s="328"/>
      <c r="CW23" s="327" t="s">
        <v>459</v>
      </c>
      <c r="CX23" s="328"/>
      <c r="CY23" s="327" t="s">
        <v>497</v>
      </c>
      <c r="CZ23" s="328"/>
      <c r="DA23" s="327" t="s">
        <v>465</v>
      </c>
      <c r="DB23" s="328"/>
      <c r="DC23" s="327" t="s">
        <v>453</v>
      </c>
      <c r="DD23" s="328"/>
      <c r="DE23" s="309"/>
      <c r="DF23" s="311"/>
      <c r="DG23" s="327" t="s">
        <v>494</v>
      </c>
      <c r="DH23" s="328"/>
      <c r="DI23" s="327" t="str">
        <f t="shared" si="106"/>
        <v>12 ICT</v>
      </c>
      <c r="DJ23" s="328"/>
      <c r="DK23" s="327" t="str">
        <f t="shared" si="107"/>
        <v>12 ICT</v>
      </c>
      <c r="DL23" s="328"/>
      <c r="DM23" s="327" t="str">
        <f t="shared" si="108"/>
        <v>12 ICT</v>
      </c>
      <c r="DN23" s="328"/>
      <c r="DO23" s="327" t="str">
        <f t="shared" si="109"/>
        <v>12 ICT</v>
      </c>
      <c r="DP23" s="328"/>
      <c r="DQ23" s="309"/>
      <c r="DR23" s="311"/>
      <c r="DS23" s="327"/>
      <c r="DT23" s="328"/>
      <c r="DU23" s="331" t="s">
        <v>495</v>
      </c>
      <c r="DV23" s="332"/>
      <c r="DW23" s="327" t="str">
        <f t="shared" si="111"/>
        <v/>
      </c>
      <c r="DX23" s="328"/>
      <c r="DY23" s="327" t="str">
        <f t="shared" si="112"/>
        <v/>
      </c>
      <c r="DZ23" s="328"/>
      <c r="EA23" s="327" t="str">
        <f t="shared" si="113"/>
        <v/>
      </c>
      <c r="EB23" s="328"/>
      <c r="EC23" s="309"/>
      <c r="ED23" s="311"/>
      <c r="EE23" s="327" t="s">
        <v>487</v>
      </c>
      <c r="EF23" s="328"/>
      <c r="EG23" s="327" t="str">
        <f t="shared" si="114"/>
        <v>12 HumSS B</v>
      </c>
      <c r="EH23" s="328"/>
      <c r="EI23" s="327" t="str">
        <f t="shared" si="115"/>
        <v>12 HumSS B</v>
      </c>
      <c r="EJ23" s="328"/>
      <c r="EK23" s="327" t="str">
        <f t="shared" si="116"/>
        <v>12 HumSS B</v>
      </c>
      <c r="EL23" s="328"/>
      <c r="EM23" s="327" t="str">
        <f t="shared" si="117"/>
        <v>12 HumSS B</v>
      </c>
      <c r="EN23" s="328"/>
      <c r="EO23" s="309"/>
      <c r="EP23" s="311"/>
      <c r="EQ23" s="327" t="s">
        <v>492</v>
      </c>
      <c r="ER23" s="328"/>
      <c r="ES23" s="327" t="str">
        <f t="shared" si="118"/>
        <v>12 SMAW</v>
      </c>
      <c r="ET23" s="328"/>
      <c r="EU23" s="327" t="str">
        <f t="shared" si="119"/>
        <v>12 SMAW</v>
      </c>
      <c r="EV23" s="328"/>
      <c r="EW23" s="327" t="str">
        <f t="shared" si="120"/>
        <v>12 SMAW</v>
      </c>
      <c r="EX23" s="328"/>
      <c r="EY23" s="327" t="str">
        <f t="shared" si="121"/>
        <v>12 SMAW</v>
      </c>
      <c r="EZ23" s="328"/>
      <c r="FA23" s="309"/>
      <c r="FB23" s="311"/>
      <c r="FC23" s="327" t="s">
        <v>461</v>
      </c>
      <c r="FD23" s="328"/>
      <c r="FE23" s="327" t="str">
        <f t="shared" si="122"/>
        <v>11 SMAW</v>
      </c>
      <c r="FF23" s="328"/>
      <c r="FG23" s="327" t="str">
        <f t="shared" si="123"/>
        <v>11 SMAW</v>
      </c>
      <c r="FH23" s="328"/>
      <c r="FI23" s="327" t="str">
        <f t="shared" si="124"/>
        <v>11 SMAW</v>
      </c>
      <c r="FJ23" s="328"/>
      <c r="FK23" s="327" t="str">
        <f t="shared" si="125"/>
        <v>11 SMAW</v>
      </c>
      <c r="FL23" s="328"/>
      <c r="FM23" s="309"/>
      <c r="FN23" s="311"/>
      <c r="FO23" s="327" t="s">
        <v>489</v>
      </c>
      <c r="FP23" s="328"/>
      <c r="FQ23" s="327" t="str">
        <f t="shared" si="126"/>
        <v>12 HumSS D</v>
      </c>
      <c r="FR23" s="328"/>
      <c r="FS23" s="327" t="str">
        <f t="shared" si="127"/>
        <v>12 HumSS D</v>
      </c>
      <c r="FT23" s="328"/>
      <c r="FU23" s="327" t="str">
        <f t="shared" si="128"/>
        <v>12 HumSS D</v>
      </c>
      <c r="FV23" s="328"/>
      <c r="FW23" s="327" t="str">
        <f t="shared" si="129"/>
        <v>12 HumSS D</v>
      </c>
      <c r="FX23" s="328"/>
      <c r="FY23" s="309"/>
      <c r="FZ23" s="311"/>
      <c r="GA23" s="327"/>
      <c r="GB23" s="328"/>
      <c r="GC23" s="327" t="str">
        <f t="shared" si="130"/>
        <v/>
      </c>
      <c r="GD23" s="328"/>
      <c r="GE23" s="327" t="str">
        <f t="shared" si="131"/>
        <v/>
      </c>
      <c r="GF23" s="328"/>
      <c r="GG23" s="327" t="str">
        <f t="shared" si="132"/>
        <v/>
      </c>
      <c r="GH23" s="328"/>
      <c r="GI23" s="327" t="str">
        <f t="shared" si="133"/>
        <v/>
      </c>
      <c r="GJ23" s="328"/>
      <c r="GK23" s="309"/>
      <c r="GL23" s="311"/>
      <c r="GM23" s="327" t="s">
        <v>490</v>
      </c>
      <c r="GN23" s="328"/>
      <c r="GO23" s="327" t="str">
        <f t="shared" si="203"/>
        <v>12 AGRI</v>
      </c>
      <c r="GP23" s="328"/>
      <c r="GQ23" s="327" t="str">
        <f t="shared" si="204"/>
        <v>12 AGRI</v>
      </c>
      <c r="GR23" s="328"/>
      <c r="GS23" s="327" t="str">
        <f t="shared" si="205"/>
        <v>12 AGRI</v>
      </c>
      <c r="GT23" s="328"/>
      <c r="GU23" s="327" t="str">
        <f t="shared" si="206"/>
        <v>12 AGRI</v>
      </c>
      <c r="GV23" s="328"/>
      <c r="GW23" s="309"/>
      <c r="GX23" s="311"/>
      <c r="GY23" s="339" t="s">
        <v>459</v>
      </c>
      <c r="GZ23" s="340"/>
      <c r="HA23" s="327" t="s">
        <v>504</v>
      </c>
      <c r="HB23" s="328"/>
      <c r="HC23" s="339" t="str">
        <f t="shared" si="135"/>
        <v>11 AGRI</v>
      </c>
      <c r="HD23" s="340"/>
      <c r="HE23" s="339" t="str">
        <f t="shared" si="136"/>
        <v>11 AGRI</v>
      </c>
      <c r="HF23" s="340"/>
      <c r="HG23" s="339" t="str">
        <f t="shared" si="137"/>
        <v>11 AGRI</v>
      </c>
      <c r="HH23" s="340"/>
      <c r="HI23" s="309"/>
      <c r="HJ23" s="311"/>
      <c r="HK23" s="327" t="s">
        <v>463</v>
      </c>
      <c r="HL23" s="328"/>
      <c r="HM23" s="327" t="str">
        <f t="shared" si="138"/>
        <v>11 ICT</v>
      </c>
      <c r="HN23" s="328"/>
      <c r="HO23" s="327" t="str">
        <f t="shared" si="139"/>
        <v>11 ICT</v>
      </c>
      <c r="HP23" s="328"/>
      <c r="HQ23" s="327" t="str">
        <f t="shared" si="140"/>
        <v>11 ICT</v>
      </c>
      <c r="HR23" s="328"/>
      <c r="HS23" s="327" t="str">
        <f t="shared" si="141"/>
        <v>11 ICT</v>
      </c>
      <c r="HT23" s="328"/>
      <c r="HU23" s="309"/>
      <c r="HV23" s="311"/>
      <c r="HW23" s="327" t="s">
        <v>497</v>
      </c>
      <c r="HX23" s="328"/>
      <c r="HY23" s="327" t="str">
        <f t="shared" si="142"/>
        <v>11 HumSS D</v>
      </c>
      <c r="HZ23" s="328"/>
      <c r="IA23" s="329"/>
      <c r="IB23" s="330"/>
      <c r="IC23" s="327" t="str">
        <f t="shared" si="144"/>
        <v>11 HumSS D</v>
      </c>
      <c r="ID23" s="328"/>
      <c r="IE23" s="327" t="str">
        <f t="shared" si="145"/>
        <v>11 HumSS D</v>
      </c>
      <c r="IF23" s="328"/>
      <c r="IG23" s="309"/>
      <c r="IH23" s="311"/>
      <c r="II23" s="327" t="s">
        <v>495</v>
      </c>
      <c r="IJ23" s="328"/>
      <c r="IK23" s="327"/>
      <c r="IL23" s="328"/>
      <c r="IM23" s="327" t="str">
        <f t="shared" si="147"/>
        <v>12 GAS</v>
      </c>
      <c r="IN23" s="328"/>
      <c r="IO23" s="327" t="str">
        <f t="shared" si="148"/>
        <v>12 GAS</v>
      </c>
      <c r="IP23" s="328"/>
      <c r="IQ23" s="327" t="str">
        <f t="shared" si="149"/>
        <v>12 GAS</v>
      </c>
      <c r="IR23" s="328"/>
      <c r="IS23" s="309"/>
      <c r="IT23" s="311"/>
      <c r="IU23" s="327" t="s">
        <v>453</v>
      </c>
      <c r="IV23" s="328"/>
      <c r="IW23" s="327" t="str">
        <f t="shared" si="150"/>
        <v>11 HumSS A</v>
      </c>
      <c r="IX23" s="328"/>
      <c r="IY23" s="327" t="str">
        <f t="shared" si="151"/>
        <v>11 HumSS A</v>
      </c>
      <c r="IZ23" s="328"/>
      <c r="JA23" s="327" t="str">
        <f t="shared" si="152"/>
        <v>11 HumSS A</v>
      </c>
      <c r="JB23" s="328"/>
      <c r="JC23" s="327" t="str">
        <f t="shared" si="153"/>
        <v>11 HumSS A</v>
      </c>
      <c r="JD23" s="328"/>
      <c r="JE23" s="309"/>
      <c r="JF23" s="311"/>
      <c r="JG23" s="327" t="s">
        <v>488</v>
      </c>
      <c r="JH23" s="328"/>
      <c r="JI23" s="327" t="str">
        <f t="shared" si="249"/>
        <v>12 HumSS C</v>
      </c>
      <c r="JJ23" s="328"/>
      <c r="JK23" s="327" t="str">
        <f t="shared" si="213"/>
        <v>12 HumSS C</v>
      </c>
      <c r="JL23" s="328"/>
      <c r="JM23" s="327" t="str">
        <f t="shared" si="250"/>
        <v>12 HumSS C</v>
      </c>
      <c r="JN23" s="328"/>
      <c r="JO23" s="327" t="str">
        <f t="shared" si="214"/>
        <v>12 HumSS C</v>
      </c>
      <c r="JP23" s="328"/>
      <c r="JQ23" s="309"/>
      <c r="JR23" s="311"/>
      <c r="JS23" s="327" t="s">
        <v>486</v>
      </c>
      <c r="JT23" s="328"/>
      <c r="JU23" s="327" t="str">
        <f t="shared" si="154"/>
        <v>12 HumSS A</v>
      </c>
      <c r="JV23" s="328"/>
      <c r="JW23" s="327" t="str">
        <f t="shared" si="155"/>
        <v>12 HumSS A</v>
      </c>
      <c r="JX23" s="328"/>
      <c r="JY23" s="327" t="str">
        <f t="shared" si="156"/>
        <v>12 HumSS A</v>
      </c>
      <c r="JZ23" s="328"/>
      <c r="KA23" s="327" t="str">
        <f t="shared" si="157"/>
        <v>12 HumSS A</v>
      </c>
      <c r="KB23" s="328"/>
      <c r="KC23" s="309"/>
      <c r="KD23" s="311"/>
      <c r="KE23" s="327" t="s">
        <v>454</v>
      </c>
      <c r="KF23" s="328"/>
      <c r="KG23" s="327" t="str">
        <f t="shared" si="158"/>
        <v>11 HumSS B</v>
      </c>
      <c r="KH23" s="328"/>
      <c r="KI23" s="327" t="str">
        <f t="shared" si="159"/>
        <v>11 HumSS B</v>
      </c>
      <c r="KJ23" s="328"/>
      <c r="KK23" s="327" t="str">
        <f t="shared" si="160"/>
        <v>11 HumSS B</v>
      </c>
      <c r="KL23" s="328"/>
      <c r="KM23" s="327" t="str">
        <f t="shared" si="161"/>
        <v>11 HumSS B</v>
      </c>
      <c r="KN23" s="328"/>
      <c r="KO23" s="309"/>
      <c r="KP23" s="311"/>
      <c r="KQ23" s="327"/>
      <c r="KR23" s="328"/>
      <c r="KS23" s="327" t="str">
        <f t="shared" si="162"/>
        <v/>
      </c>
      <c r="KT23" s="328"/>
      <c r="KU23" s="327" t="str">
        <f t="shared" si="163"/>
        <v/>
      </c>
      <c r="KV23" s="328"/>
      <c r="KW23" s="327" t="str">
        <f t="shared" si="164"/>
        <v/>
      </c>
      <c r="KX23" s="328"/>
      <c r="KY23" s="327" t="str">
        <f t="shared" si="165"/>
        <v/>
      </c>
      <c r="KZ23" s="328"/>
      <c r="LA23" s="309"/>
      <c r="LB23" s="311"/>
      <c r="LC23" s="327"/>
      <c r="LD23" s="328"/>
      <c r="LE23" s="327" t="str">
        <f t="shared" si="166"/>
        <v/>
      </c>
      <c r="LF23" s="328"/>
      <c r="LG23" s="327" t="str">
        <f t="shared" si="167"/>
        <v/>
      </c>
      <c r="LH23" s="328"/>
      <c r="LI23" s="327" t="str">
        <f t="shared" si="52"/>
        <v/>
      </c>
      <c r="LJ23" s="328"/>
      <c r="LK23" s="327" t="str">
        <f t="shared" si="53"/>
        <v/>
      </c>
      <c r="LL23" s="328"/>
      <c r="LM23" s="309"/>
      <c r="LN23" s="311"/>
      <c r="LO23" s="327"/>
      <c r="LP23" s="328"/>
      <c r="LQ23" s="327" t="str">
        <f t="shared" si="168"/>
        <v/>
      </c>
      <c r="LR23" s="328"/>
      <c r="LS23" s="327" t="str">
        <f t="shared" si="169"/>
        <v/>
      </c>
      <c r="LT23" s="328"/>
      <c r="LU23" s="327" t="str">
        <f t="shared" si="54"/>
        <v/>
      </c>
      <c r="LV23" s="328"/>
      <c r="LW23" s="327" t="str">
        <f t="shared" si="55"/>
        <v/>
      </c>
      <c r="LX23" s="328"/>
      <c r="LY23" s="309"/>
      <c r="LZ23" s="311"/>
      <c r="MA23" s="327"/>
      <c r="MB23" s="328"/>
      <c r="MC23" s="327" t="str">
        <f t="shared" si="170"/>
        <v/>
      </c>
      <c r="MD23" s="328"/>
      <c r="ME23" s="327" t="str">
        <f t="shared" si="171"/>
        <v/>
      </c>
      <c r="MF23" s="328"/>
      <c r="MG23" s="327" t="str">
        <f t="shared" si="56"/>
        <v/>
      </c>
      <c r="MH23" s="328"/>
      <c r="MI23" s="327" t="str">
        <f t="shared" si="57"/>
        <v/>
      </c>
      <c r="MJ23" s="328"/>
      <c r="MK23" s="309"/>
      <c r="ML23" s="311"/>
      <c r="MM23" s="327"/>
      <c r="MN23" s="328"/>
      <c r="MO23" s="327" t="str">
        <f t="shared" si="172"/>
        <v/>
      </c>
      <c r="MP23" s="328"/>
      <c r="MQ23" s="327" t="str">
        <f t="shared" si="173"/>
        <v/>
      </c>
      <c r="MR23" s="328"/>
      <c r="MS23" s="327" t="str">
        <f t="shared" si="58"/>
        <v/>
      </c>
      <c r="MT23" s="328"/>
      <c r="MU23" s="327" t="str">
        <f t="shared" si="59"/>
        <v/>
      </c>
      <c r="MV23" s="328"/>
      <c r="MW23" s="309"/>
      <c r="MX23" s="311"/>
      <c r="MY23" s="327"/>
      <c r="MZ23" s="328"/>
      <c r="NA23" s="327" t="str">
        <f t="shared" si="174"/>
        <v/>
      </c>
      <c r="NB23" s="328"/>
      <c r="NC23" s="327" t="str">
        <f t="shared" si="175"/>
        <v/>
      </c>
      <c r="ND23" s="328"/>
      <c r="NE23" s="327" t="str">
        <f t="shared" si="60"/>
        <v/>
      </c>
      <c r="NF23" s="328"/>
      <c r="NG23" s="327" t="str">
        <f t="shared" si="61"/>
        <v/>
      </c>
      <c r="NH23" s="328"/>
      <c r="NI23" s="309"/>
      <c r="NJ23" s="311"/>
      <c r="NK23" s="327"/>
      <c r="NL23" s="328"/>
      <c r="NM23" s="327" t="str">
        <f t="shared" si="176"/>
        <v/>
      </c>
      <c r="NN23" s="328"/>
      <c r="NO23" s="327" t="str">
        <f t="shared" si="177"/>
        <v/>
      </c>
      <c r="NP23" s="328"/>
      <c r="NQ23" s="327" t="str">
        <f t="shared" si="62"/>
        <v/>
      </c>
      <c r="NR23" s="328"/>
      <c r="NS23" s="327" t="str">
        <f t="shared" si="63"/>
        <v/>
      </c>
      <c r="NT23" s="328"/>
      <c r="NU23" s="309"/>
      <c r="NV23" s="311"/>
      <c r="NW23" s="327"/>
      <c r="NX23" s="328"/>
      <c r="NY23" s="327" t="str">
        <f t="shared" si="178"/>
        <v/>
      </c>
      <c r="NZ23" s="328"/>
      <c r="OA23" s="327" t="str">
        <f t="shared" si="179"/>
        <v/>
      </c>
      <c r="OB23" s="328"/>
      <c r="OC23" s="327" t="str">
        <f t="shared" si="64"/>
        <v/>
      </c>
      <c r="OD23" s="328"/>
      <c r="OE23" s="327" t="str">
        <f t="shared" si="65"/>
        <v/>
      </c>
      <c r="OF23" s="328"/>
      <c r="OG23" s="309"/>
      <c r="OH23" s="311"/>
      <c r="OI23" s="327"/>
      <c r="OJ23" s="328"/>
      <c r="OK23" s="327" t="str">
        <f t="shared" si="180"/>
        <v/>
      </c>
      <c r="OL23" s="328"/>
      <c r="OM23" s="327" t="str">
        <f t="shared" si="181"/>
        <v/>
      </c>
      <c r="ON23" s="328"/>
      <c r="OO23" s="327" t="str">
        <f t="shared" si="66"/>
        <v/>
      </c>
      <c r="OP23" s="328"/>
      <c r="OQ23" s="327" t="str">
        <f t="shared" si="67"/>
        <v/>
      </c>
      <c r="OR23" s="328"/>
      <c r="OS23" s="309"/>
      <c r="OT23" s="311"/>
      <c r="OU23" s="327"/>
      <c r="OV23" s="328"/>
      <c r="OW23" s="327" t="str">
        <f t="shared" si="182"/>
        <v/>
      </c>
      <c r="OX23" s="328"/>
      <c r="OY23" s="327" t="str">
        <f t="shared" si="183"/>
        <v/>
      </c>
      <c r="OZ23" s="328"/>
      <c r="PA23" s="327" t="str">
        <f t="shared" si="68"/>
        <v/>
      </c>
      <c r="PB23" s="328"/>
      <c r="PC23" s="327" t="str">
        <f t="shared" si="69"/>
        <v/>
      </c>
      <c r="PD23" s="328"/>
      <c r="PE23" s="309"/>
      <c r="PF23" s="311"/>
      <c r="PG23" s="327"/>
      <c r="PH23" s="328"/>
      <c r="PI23" s="327" t="str">
        <f t="shared" si="184"/>
        <v/>
      </c>
      <c r="PJ23" s="328"/>
      <c r="PK23" s="327" t="str">
        <f t="shared" si="185"/>
        <v/>
      </c>
      <c r="PL23" s="328"/>
      <c r="PM23" s="327" t="str">
        <f t="shared" si="70"/>
        <v/>
      </c>
      <c r="PN23" s="328"/>
      <c r="PO23" s="327" t="str">
        <f t="shared" si="71"/>
        <v/>
      </c>
      <c r="PP23" s="328"/>
    </row>
    <row r="24" spans="1:432">
      <c r="A24" s="318" t="s">
        <v>338</v>
      </c>
      <c r="B24" s="310">
        <f t="shared" ref="B24" si="298">IF(AND(C24="",E24="",G24="",I24="",K24=""),"",COUNTA(C24:L24)*50)</f>
        <v>250</v>
      </c>
      <c r="C24" s="305" t="s">
        <v>125</v>
      </c>
      <c r="D24" s="306"/>
      <c r="E24" s="305" t="str">
        <f t="shared" si="186"/>
        <v>CPAR</v>
      </c>
      <c r="F24" s="306"/>
      <c r="G24" s="305" t="str">
        <f t="shared" si="72"/>
        <v>CPAR</v>
      </c>
      <c r="H24" s="306"/>
      <c r="I24" s="305" t="str">
        <f t="shared" si="72"/>
        <v>CPAR</v>
      </c>
      <c r="J24" s="306"/>
      <c r="K24" s="305" t="str">
        <f t="shared" si="73"/>
        <v>CPAR</v>
      </c>
      <c r="L24" s="306"/>
      <c r="M24" s="318" t="s">
        <v>338</v>
      </c>
      <c r="N24" s="310">
        <f t="shared" ref="N24" si="299">IF(AND(O24="",Q24="",S24="",U24="",W24=""),"",COUNTA(O24:X24)*50)</f>
        <v>200</v>
      </c>
      <c r="O24" s="327" t="str">
        <f>'Gen CP'!J24</f>
        <v>Oral Com</v>
      </c>
      <c r="P24" s="328"/>
      <c r="Q24" s="327" t="str">
        <f t="shared" si="74"/>
        <v>Oral Com</v>
      </c>
      <c r="R24" s="328"/>
      <c r="S24" s="327" t="str">
        <f t="shared" si="75"/>
        <v>Oral Com</v>
      </c>
      <c r="T24" s="328"/>
      <c r="U24" s="329"/>
      <c r="V24" s="330"/>
      <c r="W24" s="327" t="str">
        <f t="shared" si="77"/>
        <v>Oral Com</v>
      </c>
      <c r="X24" s="328"/>
      <c r="Y24" s="318" t="s">
        <v>338</v>
      </c>
      <c r="Z24" s="310">
        <f t="shared" ref="Z24" si="300">IF(AND(AA24="",AC24="",AE24="",AG24="",AI24=""),"",COUNTA(AA24:AJ24)*50)</f>
        <v>250</v>
      </c>
      <c r="AA24" s="327" t="s">
        <v>112</v>
      </c>
      <c r="AB24" s="328"/>
      <c r="AC24" s="327" t="str">
        <f t="shared" si="78"/>
        <v>Oral Com</v>
      </c>
      <c r="AD24" s="328"/>
      <c r="AE24" s="327" t="str">
        <f t="shared" si="79"/>
        <v>Oral Com</v>
      </c>
      <c r="AF24" s="328"/>
      <c r="AG24" s="327" t="str">
        <f t="shared" si="80"/>
        <v>Oral Com</v>
      </c>
      <c r="AH24" s="328"/>
      <c r="AI24" s="327" t="str">
        <f t="shared" si="81"/>
        <v>Oral Com</v>
      </c>
      <c r="AJ24" s="328"/>
      <c r="AK24" s="318" t="s">
        <v>338</v>
      </c>
      <c r="AL24" s="310">
        <f t="shared" ref="AL24" si="301">IF(AND(AM24="",AO24="",AQ24="",AS24="",AU24=""),"",COUNTA(AM24:AV24)*50)</f>
        <v>250</v>
      </c>
      <c r="AM24" s="327" t="s">
        <v>115</v>
      </c>
      <c r="AN24" s="328"/>
      <c r="AO24" s="327" t="str">
        <f t="shared" si="82"/>
        <v>UCSP</v>
      </c>
      <c r="AP24" s="328"/>
      <c r="AQ24" s="327" t="str">
        <f t="shared" si="83"/>
        <v>UCSP</v>
      </c>
      <c r="AR24" s="328"/>
      <c r="AS24" s="327" t="str">
        <f t="shared" si="84"/>
        <v>UCSP</v>
      </c>
      <c r="AT24" s="328"/>
      <c r="AU24" s="327" t="str">
        <f t="shared" si="85"/>
        <v>UCSP</v>
      </c>
      <c r="AV24" s="328"/>
      <c r="AW24" s="318" t="s">
        <v>338</v>
      </c>
      <c r="AX24" s="310" t="str">
        <f t="shared" ref="AX24" si="302">IF(AND(AY24="",BA24="",BC24="",BE24="",BG24=""),"",COUNTA(AY24:BH24)*50)</f>
        <v/>
      </c>
      <c r="AY24" s="327"/>
      <c r="AZ24" s="328"/>
      <c r="BA24" s="327" t="str">
        <f t="shared" si="86"/>
        <v/>
      </c>
      <c r="BB24" s="328"/>
      <c r="BC24" s="327" t="str">
        <f t="shared" si="87"/>
        <v/>
      </c>
      <c r="BD24" s="328"/>
      <c r="BE24" s="327" t="str">
        <f t="shared" si="88"/>
        <v/>
      </c>
      <c r="BF24" s="328"/>
      <c r="BG24" s="327" t="str">
        <f t="shared" si="89"/>
        <v/>
      </c>
      <c r="BH24" s="328"/>
      <c r="BI24" s="318" t="s">
        <v>338</v>
      </c>
      <c r="BJ24" s="310">
        <f t="shared" ref="BJ24" si="303">IF(AND(BK24="",BM24="",BO24="",BQ24="",BS24=""),"",COUNTA(BK24:BT24)*50)</f>
        <v>250</v>
      </c>
      <c r="BK24" s="327" t="str">
        <f>'Gen CP'!K67</f>
        <v>Philo</v>
      </c>
      <c r="BL24" s="328"/>
      <c r="BM24" s="327" t="str">
        <f t="shared" si="90"/>
        <v>Philo</v>
      </c>
      <c r="BN24" s="328"/>
      <c r="BO24" s="327" t="str">
        <f t="shared" si="91"/>
        <v>Philo</v>
      </c>
      <c r="BP24" s="328"/>
      <c r="BQ24" s="327" t="str">
        <f t="shared" si="92"/>
        <v>Philo</v>
      </c>
      <c r="BR24" s="328"/>
      <c r="BS24" s="327" t="str">
        <f t="shared" si="93"/>
        <v>Philo</v>
      </c>
      <c r="BT24" s="328"/>
      <c r="BU24" s="318" t="s">
        <v>338</v>
      </c>
      <c r="BV24" s="310">
        <f t="shared" ref="BV24" si="304">IF(AND(BW24="",BY24="",CA24="",CC24="",CE24=""),"",COUNTA(BW24:CF24)*50)</f>
        <v>250</v>
      </c>
      <c r="BW24" s="327" t="s">
        <v>311</v>
      </c>
      <c r="BX24" s="328"/>
      <c r="BY24" s="327" t="str">
        <f t="shared" si="94"/>
        <v>Emp Tech</v>
      </c>
      <c r="BZ24" s="328"/>
      <c r="CA24" s="327" t="str">
        <f t="shared" si="95"/>
        <v>Emp Tech</v>
      </c>
      <c r="CB24" s="328"/>
      <c r="CC24" s="327" t="str">
        <f t="shared" si="96"/>
        <v>Emp Tech</v>
      </c>
      <c r="CD24" s="328"/>
      <c r="CE24" s="327" t="str">
        <f t="shared" si="97"/>
        <v>Emp Tech</v>
      </c>
      <c r="CF24" s="328"/>
      <c r="CG24" s="318" t="s">
        <v>338</v>
      </c>
      <c r="CH24" s="310" t="str">
        <f t="shared" ref="CH24" si="305">IF(AND(CI24="",CK24="",CM24="",CO24="",CQ24=""),"",COUNTA(CI24:CR24)*50)</f>
        <v/>
      </c>
      <c r="CI24" s="327"/>
      <c r="CJ24" s="328"/>
      <c r="CK24" s="327" t="str">
        <f t="shared" si="98"/>
        <v/>
      </c>
      <c r="CL24" s="328"/>
      <c r="CM24" s="327" t="str">
        <f t="shared" si="99"/>
        <v/>
      </c>
      <c r="CN24" s="328"/>
      <c r="CO24" s="327" t="str">
        <f t="shared" si="100"/>
        <v/>
      </c>
      <c r="CP24" s="328"/>
      <c r="CQ24" s="327" t="str">
        <f t="shared" si="101"/>
        <v/>
      </c>
      <c r="CR24" s="328"/>
      <c r="CS24" s="318" t="s">
        <v>338</v>
      </c>
      <c r="CT24" s="310">
        <f t="shared" ref="CT24" si="306">IF(AND(CU24="",CW24="",CY24="",DA24="",DC24=""),"",COUNTA(CU24:DD24)*50)</f>
        <v>100</v>
      </c>
      <c r="CU24" s="327"/>
      <c r="CV24" s="328"/>
      <c r="CW24" s="327" t="s">
        <v>375</v>
      </c>
      <c r="CX24" s="328"/>
      <c r="CY24" s="327"/>
      <c r="CZ24" s="328"/>
      <c r="DA24" s="327" t="s">
        <v>375</v>
      </c>
      <c r="DB24" s="328"/>
      <c r="DC24" s="327"/>
      <c r="DD24" s="328"/>
      <c r="DE24" s="318" t="s">
        <v>338</v>
      </c>
      <c r="DF24" s="310">
        <f t="shared" ref="DF24" si="307">IF(AND(DG24="",DI24="",DK24="",DM24="",DO24=""),"",COUNTA(DG24:DP24)*50)</f>
        <v>250</v>
      </c>
      <c r="DG24" s="327" t="s">
        <v>312</v>
      </c>
      <c r="DH24" s="328"/>
      <c r="DI24" s="327" t="str">
        <f t="shared" si="106"/>
        <v>21st Cen Lit</v>
      </c>
      <c r="DJ24" s="328"/>
      <c r="DK24" s="327" t="str">
        <f t="shared" si="107"/>
        <v>21st Cen Lit</v>
      </c>
      <c r="DL24" s="328"/>
      <c r="DM24" s="327" t="str">
        <f t="shared" si="108"/>
        <v>21st Cen Lit</v>
      </c>
      <c r="DN24" s="328"/>
      <c r="DO24" s="327" t="str">
        <f t="shared" si="109"/>
        <v>21st Cen Lit</v>
      </c>
      <c r="DP24" s="328"/>
      <c r="DQ24" s="318" t="s">
        <v>338</v>
      </c>
      <c r="DR24" s="310">
        <f t="shared" ref="DR24:DR26" si="308">IF(AND(DS24="",DU24="",DW24="",DY24="",EA24=""),"",COUNTA(DS24:EB24)*50)</f>
        <v>250</v>
      </c>
      <c r="DS24" s="327" t="str">
        <f>'Gen CP'!G67</f>
        <v>21st Cen Lit</v>
      </c>
      <c r="DT24" s="328"/>
      <c r="DU24" s="331" t="s">
        <v>502</v>
      </c>
      <c r="DV24" s="332"/>
      <c r="DW24" s="327" t="str">
        <f t="shared" si="111"/>
        <v>21st Cen Lit</v>
      </c>
      <c r="DX24" s="328"/>
      <c r="DY24" s="327" t="str">
        <f t="shared" si="112"/>
        <v>21st Cen Lit</v>
      </c>
      <c r="DZ24" s="328"/>
      <c r="EA24" s="327" t="str">
        <f t="shared" si="113"/>
        <v>21st Cen Lit</v>
      </c>
      <c r="EB24" s="328"/>
      <c r="EC24" s="318" t="s">
        <v>338</v>
      </c>
      <c r="ED24" s="310">
        <f t="shared" ref="ED24" si="309">IF(AND(EE24="",EG24="",EI24="",EK24="",EM24=""),"",COUNTA(EE24:EN24)*50)</f>
        <v>250</v>
      </c>
      <c r="EE24" s="327" t="s">
        <v>503</v>
      </c>
      <c r="EF24" s="328"/>
      <c r="EG24" s="327" t="str">
        <f t="shared" si="114"/>
        <v>Research</v>
      </c>
      <c r="EH24" s="328"/>
      <c r="EI24" s="327" t="str">
        <f t="shared" si="115"/>
        <v>Research</v>
      </c>
      <c r="EJ24" s="328"/>
      <c r="EK24" s="327" t="str">
        <f t="shared" si="116"/>
        <v>Research</v>
      </c>
      <c r="EL24" s="328"/>
      <c r="EM24" s="327" t="str">
        <f t="shared" si="117"/>
        <v>Research</v>
      </c>
      <c r="EN24" s="328"/>
      <c r="EO24" s="318" t="s">
        <v>338</v>
      </c>
      <c r="EP24" s="310">
        <f t="shared" ref="EP24" si="310">IF(AND(EQ24="",ES24="",EU24="",EW24="",EY24=""),"",COUNTA(EQ24:EZ24)*50)</f>
        <v>250</v>
      </c>
      <c r="EQ24" s="327" t="str">
        <f>'Gen CP'!B24</f>
        <v>Chemistry 1</v>
      </c>
      <c r="ER24" s="328"/>
      <c r="ES24" s="327" t="str">
        <f t="shared" si="118"/>
        <v>Chemistry 1</v>
      </c>
      <c r="ET24" s="328"/>
      <c r="EU24" s="327" t="str">
        <f t="shared" si="119"/>
        <v>Chemistry 1</v>
      </c>
      <c r="EV24" s="328"/>
      <c r="EW24" s="327" t="str">
        <f t="shared" si="120"/>
        <v>Chemistry 1</v>
      </c>
      <c r="EX24" s="328"/>
      <c r="EY24" s="327" t="str">
        <f t="shared" si="121"/>
        <v>Chemistry 1</v>
      </c>
      <c r="EZ24" s="328"/>
      <c r="FA24" s="318" t="s">
        <v>338</v>
      </c>
      <c r="FB24" s="310">
        <f t="shared" ref="FB24" si="311">IF(AND(FC24="",FE24="",FG24="",FI24="",FK24=""),"",COUNTA(FC24:FL24)*50)</f>
        <v>250</v>
      </c>
      <c r="FC24" s="327" t="str">
        <f>'Gen CP'!K24</f>
        <v>Creative Writing</v>
      </c>
      <c r="FD24" s="328"/>
      <c r="FE24" s="327" t="str">
        <f t="shared" si="122"/>
        <v>Creative Writing</v>
      </c>
      <c r="FF24" s="328"/>
      <c r="FG24" s="327" t="str">
        <f t="shared" si="123"/>
        <v>Creative Writing</v>
      </c>
      <c r="FH24" s="328"/>
      <c r="FI24" s="327" t="str">
        <f t="shared" si="124"/>
        <v>Creative Writing</v>
      </c>
      <c r="FJ24" s="328"/>
      <c r="FK24" s="327" t="str">
        <f t="shared" si="125"/>
        <v>Creative Writing</v>
      </c>
      <c r="FL24" s="328"/>
      <c r="FM24" s="318" t="s">
        <v>338</v>
      </c>
      <c r="FN24" s="310">
        <f t="shared" ref="FN24" si="312">IF(AND(FO24="",FQ24="",FS24="",FU24="",FW24=""),"",COUNTA(FO24:FX24)*50)</f>
        <v>200</v>
      </c>
      <c r="FO24" s="327" t="s">
        <v>140</v>
      </c>
      <c r="FP24" s="328"/>
      <c r="FQ24" s="327"/>
      <c r="FR24" s="328"/>
      <c r="FS24" s="327" t="str">
        <f t="shared" si="127"/>
        <v>PPG</v>
      </c>
      <c r="FT24" s="328"/>
      <c r="FU24" s="327" t="str">
        <f t="shared" si="128"/>
        <v>PPG</v>
      </c>
      <c r="FV24" s="328"/>
      <c r="FW24" s="327" t="str">
        <f t="shared" si="129"/>
        <v>PPG</v>
      </c>
      <c r="FX24" s="328"/>
      <c r="FY24" s="318" t="s">
        <v>338</v>
      </c>
      <c r="FZ24" s="310">
        <f t="shared" ref="FZ24" si="313">IF(AND(GA24="",GC24="",GE24="",GG24="",GI24=""),"",COUNTA(GA24:GJ24)*50)</f>
        <v>250</v>
      </c>
      <c r="GA24" s="327" t="str">
        <f>'Gen CP'!I24</f>
        <v>Kom Pan</v>
      </c>
      <c r="GB24" s="328"/>
      <c r="GC24" s="327" t="str">
        <f t="shared" si="130"/>
        <v>Kom Pan</v>
      </c>
      <c r="GD24" s="328"/>
      <c r="GE24" s="327" t="str">
        <f t="shared" si="131"/>
        <v>Kom Pan</v>
      </c>
      <c r="GF24" s="328"/>
      <c r="GG24" s="327" t="str">
        <f t="shared" si="132"/>
        <v>Kom Pan</v>
      </c>
      <c r="GH24" s="328"/>
      <c r="GI24" s="327" t="str">
        <f t="shared" si="133"/>
        <v>Kom Pan</v>
      </c>
      <c r="GJ24" s="328"/>
      <c r="GK24" s="318" t="s">
        <v>338</v>
      </c>
      <c r="GL24" s="310">
        <f t="shared" ref="GL24" si="314">IF(AND(GM24="",GO24="",GQ24="",GS24="",GU24=""),"",COUNTA(GM24:GV24)*50)</f>
        <v>250</v>
      </c>
      <c r="GM24" s="327" t="str">
        <f>'Gen CP'!E67</f>
        <v>World Religions</v>
      </c>
      <c r="GN24" s="328"/>
      <c r="GO24" s="327" t="str">
        <f t="shared" si="203"/>
        <v>World Religions</v>
      </c>
      <c r="GP24" s="328"/>
      <c r="GQ24" s="327" t="str">
        <f t="shared" si="204"/>
        <v>World Religions</v>
      </c>
      <c r="GR24" s="328"/>
      <c r="GS24" s="327" t="str">
        <f t="shared" si="205"/>
        <v>World Religions</v>
      </c>
      <c r="GT24" s="328"/>
      <c r="GU24" s="327" t="str">
        <f t="shared" si="206"/>
        <v>World Religions</v>
      </c>
      <c r="GV24" s="328"/>
      <c r="GW24" s="318" t="s">
        <v>338</v>
      </c>
      <c r="GX24" s="310">
        <f t="shared" ref="GX24" si="315">IF(AND(GY24="",HA24="",HC24="",HE24="",HG24=""),"",COUNTA(GY24:HH24)*50)</f>
        <v>250</v>
      </c>
      <c r="GY24" s="327" t="s">
        <v>125</v>
      </c>
      <c r="GZ24" s="328"/>
      <c r="HA24" s="327" t="str">
        <f t="shared" si="134"/>
        <v>CPAR</v>
      </c>
      <c r="HB24" s="328"/>
      <c r="HC24" s="327" t="str">
        <f t="shared" si="135"/>
        <v>CPAR</v>
      </c>
      <c r="HD24" s="328"/>
      <c r="HE24" s="327" t="str">
        <f t="shared" si="136"/>
        <v>CPAR</v>
      </c>
      <c r="HF24" s="328"/>
      <c r="HG24" s="327" t="str">
        <f t="shared" si="137"/>
        <v>CPAR</v>
      </c>
      <c r="HH24" s="328"/>
      <c r="HI24" s="318" t="s">
        <v>338</v>
      </c>
      <c r="HJ24" s="310" t="str">
        <f t="shared" ref="HJ24" si="316">IF(AND(HK24="",HM24="",HO24="",HQ24="",HS24=""),"",COUNTA(HK24:HT24)*50)</f>
        <v/>
      </c>
      <c r="HK24" s="327"/>
      <c r="HL24" s="328"/>
      <c r="HM24" s="327" t="str">
        <f t="shared" si="138"/>
        <v/>
      </c>
      <c r="HN24" s="328"/>
      <c r="HO24" s="327" t="str">
        <f t="shared" si="139"/>
        <v/>
      </c>
      <c r="HP24" s="328"/>
      <c r="HQ24" s="327" t="str">
        <f t="shared" si="140"/>
        <v/>
      </c>
      <c r="HR24" s="328"/>
      <c r="HS24" s="327" t="str">
        <f t="shared" si="141"/>
        <v/>
      </c>
      <c r="HT24" s="328"/>
      <c r="HU24" s="318" t="s">
        <v>338</v>
      </c>
      <c r="HV24" s="310">
        <f t="shared" ref="HV24" si="317">IF(AND(HW24="",HY24="",IA24="",IC24="",IE24=""),"",COUNTA(HW24:IF24)*50)</f>
        <v>200</v>
      </c>
      <c r="HW24" s="327" t="s">
        <v>150</v>
      </c>
      <c r="HX24" s="328"/>
      <c r="HY24" s="327" t="str">
        <f t="shared" si="142"/>
        <v>Gen Math</v>
      </c>
      <c r="HZ24" s="328"/>
      <c r="IA24" s="329"/>
      <c r="IB24" s="330"/>
      <c r="IC24" s="327" t="str">
        <f t="shared" si="144"/>
        <v>Gen Math</v>
      </c>
      <c r="ID24" s="328"/>
      <c r="IE24" s="327" t="str">
        <f t="shared" si="145"/>
        <v>Gen Math</v>
      </c>
      <c r="IF24" s="328"/>
      <c r="IG24" s="318" t="s">
        <v>338</v>
      </c>
      <c r="IH24" s="310" t="str">
        <f t="shared" ref="IH24" si="318">IF(AND(II24="",IK24="",IM24="",IO24="",IQ24=""),"",COUNTA(II24:IR24)*50)</f>
        <v/>
      </c>
      <c r="II24" s="327"/>
      <c r="IJ24" s="328"/>
      <c r="IK24" s="327" t="str">
        <f t="shared" si="146"/>
        <v/>
      </c>
      <c r="IL24" s="328"/>
      <c r="IM24" s="327" t="str">
        <f t="shared" si="147"/>
        <v/>
      </c>
      <c r="IN24" s="328"/>
      <c r="IO24" s="327" t="str">
        <f t="shared" si="148"/>
        <v/>
      </c>
      <c r="IP24" s="328"/>
      <c r="IQ24" s="327" t="str">
        <f t="shared" si="149"/>
        <v/>
      </c>
      <c r="IR24" s="328"/>
      <c r="IS24" s="318" t="s">
        <v>338</v>
      </c>
      <c r="IT24" s="310">
        <f t="shared" ref="IT24" si="319">IF(AND(IU24="",IW24="",IY24="",JA24="",JC24=""),"",COUNTA(IU24:JD24)*50)</f>
        <v>250</v>
      </c>
      <c r="IU24" s="327" t="str">
        <f>'Gen CP'!L24</f>
        <v>Gen Math</v>
      </c>
      <c r="IV24" s="328"/>
      <c r="IW24" s="327" t="str">
        <f t="shared" si="150"/>
        <v>Gen Math</v>
      </c>
      <c r="IX24" s="328"/>
      <c r="IY24" s="327" t="str">
        <f t="shared" si="151"/>
        <v>Gen Math</v>
      </c>
      <c r="IZ24" s="328"/>
      <c r="JA24" s="327" t="str">
        <f t="shared" si="152"/>
        <v>Gen Math</v>
      </c>
      <c r="JB24" s="328"/>
      <c r="JC24" s="327" t="str">
        <f t="shared" si="153"/>
        <v>Gen Math</v>
      </c>
      <c r="JD24" s="328"/>
      <c r="JE24" s="318" t="s">
        <v>338</v>
      </c>
      <c r="JF24" s="310">
        <f t="shared" ref="JF24" si="320">IF(AND(JG24="",JI24="",JK24="",JM24="",JO24=""),"",COUNTA(JG24:JP24)*50)</f>
        <v>250</v>
      </c>
      <c r="JG24" s="327" t="s">
        <v>132</v>
      </c>
      <c r="JH24" s="328"/>
      <c r="JI24" s="327" t="str">
        <f t="shared" si="249"/>
        <v>Piling Larang</v>
      </c>
      <c r="JJ24" s="328"/>
      <c r="JK24" s="327" t="str">
        <f t="shared" si="213"/>
        <v>Piling Larang</v>
      </c>
      <c r="JL24" s="328"/>
      <c r="JM24" s="327" t="str">
        <f t="shared" si="250"/>
        <v>Piling Larang</v>
      </c>
      <c r="JN24" s="328"/>
      <c r="JO24" s="327" t="str">
        <f t="shared" si="214"/>
        <v>Piling Larang</v>
      </c>
      <c r="JP24" s="328"/>
      <c r="JQ24" s="318" t="s">
        <v>338</v>
      </c>
      <c r="JR24" s="310">
        <f t="shared" ref="JR24" si="321">IF(AND(JS24="",JU24="",JW24="",JY24="",KA24=""),"",COUNTA(JS24:KB24)*50)</f>
        <v>250</v>
      </c>
      <c r="JS24" s="327" t="str">
        <f>'Gen CP'!F24</f>
        <v>Earth &amp; Life</v>
      </c>
      <c r="JT24" s="328"/>
      <c r="JU24" s="327" t="str">
        <f t="shared" si="154"/>
        <v>Earth &amp; Life</v>
      </c>
      <c r="JV24" s="328"/>
      <c r="JW24" s="327" t="str">
        <f t="shared" si="155"/>
        <v>Earth &amp; Life</v>
      </c>
      <c r="JX24" s="328"/>
      <c r="JY24" s="327" t="str">
        <f t="shared" si="156"/>
        <v>Earth &amp; Life</v>
      </c>
      <c r="JZ24" s="328"/>
      <c r="KA24" s="327" t="str">
        <f t="shared" si="157"/>
        <v>Earth &amp; Life</v>
      </c>
      <c r="KB24" s="328"/>
      <c r="KC24" s="318" t="s">
        <v>338</v>
      </c>
      <c r="KD24" s="310">
        <f t="shared" ref="KD24" si="322">IF(AND(KE24="",KG24="",KI24="",KK24="",KM24=""),"",COUNTA(KE24:KN24)*50)</f>
        <v>250</v>
      </c>
      <c r="KE24" s="327" t="s">
        <v>312</v>
      </c>
      <c r="KF24" s="328"/>
      <c r="KG24" s="327" t="str">
        <f t="shared" si="158"/>
        <v>21st Cen Lit</v>
      </c>
      <c r="KH24" s="328"/>
      <c r="KI24" s="327" t="str">
        <f t="shared" si="159"/>
        <v>21st Cen Lit</v>
      </c>
      <c r="KJ24" s="328"/>
      <c r="KK24" s="327" t="str">
        <f t="shared" si="160"/>
        <v>21st Cen Lit</v>
      </c>
      <c r="KL24" s="328"/>
      <c r="KM24" s="327" t="str">
        <f t="shared" si="161"/>
        <v>21st Cen Lit</v>
      </c>
      <c r="KN24" s="328"/>
      <c r="KO24" s="318" t="s">
        <v>338</v>
      </c>
      <c r="KP24" s="310">
        <f t="shared" ref="KP24" si="323">IF(AND(KQ24="",KS24="",KU24="",KW24="",KY24=""),"",COUNTA(KQ24:KZ24)*50)</f>
        <v>250</v>
      </c>
      <c r="KQ24" s="335" t="str">
        <f>'Gen CP'!D67</f>
        <v>Creative Non-Fiction</v>
      </c>
      <c r="KR24" s="336"/>
      <c r="KS24" s="335" t="str">
        <f t="shared" si="162"/>
        <v>Creative Non-Fiction</v>
      </c>
      <c r="KT24" s="336"/>
      <c r="KU24" s="335" t="str">
        <f t="shared" si="163"/>
        <v>Creative Non-Fiction</v>
      </c>
      <c r="KV24" s="336"/>
      <c r="KW24" s="335" t="str">
        <f t="shared" si="164"/>
        <v>Creative Non-Fiction</v>
      </c>
      <c r="KX24" s="336"/>
      <c r="KY24" s="335" t="str">
        <f t="shared" si="165"/>
        <v>Creative Non-Fiction</v>
      </c>
      <c r="KZ24" s="336"/>
      <c r="LA24" s="318" t="s">
        <v>338</v>
      </c>
      <c r="LB24" s="310" t="str">
        <f t="shared" ref="LB24" si="324">IF(AND(LC24="",LE24="",LG24="",LI24="",LK24=""),"",COUNTA(LC24:LL24)*50)</f>
        <v/>
      </c>
      <c r="LC24" s="327"/>
      <c r="LD24" s="328"/>
      <c r="LE24" s="327" t="str">
        <f t="shared" si="166"/>
        <v/>
      </c>
      <c r="LF24" s="328"/>
      <c r="LG24" s="327" t="str">
        <f t="shared" si="167"/>
        <v/>
      </c>
      <c r="LH24" s="328"/>
      <c r="LI24" s="327" t="str">
        <f t="shared" si="52"/>
        <v/>
      </c>
      <c r="LJ24" s="328"/>
      <c r="LK24" s="327" t="str">
        <f t="shared" si="53"/>
        <v/>
      </c>
      <c r="LL24" s="328"/>
      <c r="LM24" s="318" t="s">
        <v>338</v>
      </c>
      <c r="LN24" s="310" t="str">
        <f t="shared" ref="LN24" si="325">IF(AND(LO24="",LQ24="",LS24="",LU24="",LW24=""),"",COUNTA(LO24:LX24)*50)</f>
        <v/>
      </c>
      <c r="LO24" s="327"/>
      <c r="LP24" s="328"/>
      <c r="LQ24" s="327" t="str">
        <f t="shared" si="168"/>
        <v/>
      </c>
      <c r="LR24" s="328"/>
      <c r="LS24" s="327" t="str">
        <f t="shared" si="169"/>
        <v/>
      </c>
      <c r="LT24" s="328"/>
      <c r="LU24" s="327" t="str">
        <f t="shared" si="54"/>
        <v/>
      </c>
      <c r="LV24" s="328"/>
      <c r="LW24" s="327" t="str">
        <f t="shared" si="55"/>
        <v/>
      </c>
      <c r="LX24" s="328"/>
      <c r="LY24" s="318" t="s">
        <v>338</v>
      </c>
      <c r="LZ24" s="310" t="str">
        <f t="shared" ref="LZ24" si="326">IF(AND(MA24="",MC24="",ME24="",MG24="",MI24=""),"",COUNTA(MA24:MJ24)*50)</f>
        <v/>
      </c>
      <c r="MA24" s="327"/>
      <c r="MB24" s="328"/>
      <c r="MC24" s="327" t="str">
        <f t="shared" si="170"/>
        <v/>
      </c>
      <c r="MD24" s="328"/>
      <c r="ME24" s="327" t="str">
        <f t="shared" si="171"/>
        <v/>
      </c>
      <c r="MF24" s="328"/>
      <c r="MG24" s="327" t="str">
        <f t="shared" si="56"/>
        <v/>
      </c>
      <c r="MH24" s="328"/>
      <c r="MI24" s="327" t="str">
        <f t="shared" si="57"/>
        <v/>
      </c>
      <c r="MJ24" s="328"/>
      <c r="MK24" s="318" t="s">
        <v>338</v>
      </c>
      <c r="ML24" s="310" t="str">
        <f t="shared" ref="ML24" si="327">IF(AND(MM24="",MO24="",MQ24="",MS24="",MU24=""),"",COUNTA(MM24:MV24)*50)</f>
        <v/>
      </c>
      <c r="MM24" s="327"/>
      <c r="MN24" s="328"/>
      <c r="MO24" s="327" t="str">
        <f t="shared" si="172"/>
        <v/>
      </c>
      <c r="MP24" s="328"/>
      <c r="MQ24" s="327" t="str">
        <f t="shared" si="173"/>
        <v/>
      </c>
      <c r="MR24" s="328"/>
      <c r="MS24" s="327" t="str">
        <f t="shared" si="58"/>
        <v/>
      </c>
      <c r="MT24" s="328"/>
      <c r="MU24" s="327" t="str">
        <f t="shared" si="59"/>
        <v/>
      </c>
      <c r="MV24" s="328"/>
      <c r="MW24" s="318" t="s">
        <v>338</v>
      </c>
      <c r="MX24" s="310" t="str">
        <f t="shared" ref="MX24" si="328">IF(AND(MY24="",NA24="",NC24="",NE24="",NG24=""),"",COUNTA(MY24:NH24)*50)</f>
        <v/>
      </c>
      <c r="MY24" s="327"/>
      <c r="MZ24" s="328"/>
      <c r="NA24" s="327" t="str">
        <f t="shared" si="174"/>
        <v/>
      </c>
      <c r="NB24" s="328"/>
      <c r="NC24" s="327" t="str">
        <f t="shared" si="175"/>
        <v/>
      </c>
      <c r="ND24" s="328"/>
      <c r="NE24" s="327" t="str">
        <f t="shared" si="60"/>
        <v/>
      </c>
      <c r="NF24" s="328"/>
      <c r="NG24" s="327" t="str">
        <f t="shared" si="61"/>
        <v/>
      </c>
      <c r="NH24" s="328"/>
      <c r="NI24" s="318" t="s">
        <v>338</v>
      </c>
      <c r="NJ24" s="310" t="str">
        <f t="shared" ref="NJ24" si="329">IF(AND(NK24="",NM24="",NO24="",NQ24="",NS24=""),"",COUNTA(NK24:NT24)*50)</f>
        <v/>
      </c>
      <c r="NK24" s="327"/>
      <c r="NL24" s="328"/>
      <c r="NM24" s="327" t="str">
        <f t="shared" si="176"/>
        <v/>
      </c>
      <c r="NN24" s="328"/>
      <c r="NO24" s="327" t="str">
        <f t="shared" si="177"/>
        <v/>
      </c>
      <c r="NP24" s="328"/>
      <c r="NQ24" s="327" t="str">
        <f t="shared" si="62"/>
        <v/>
      </c>
      <c r="NR24" s="328"/>
      <c r="NS24" s="327" t="str">
        <f t="shared" si="63"/>
        <v/>
      </c>
      <c r="NT24" s="328"/>
      <c r="NU24" s="318" t="s">
        <v>338</v>
      </c>
      <c r="NV24" s="310" t="str">
        <f t="shared" ref="NV24" si="330">IF(AND(NW24="",NY24="",OA24="",OC24="",OE24=""),"",COUNTA(NW24:OF24)*50)</f>
        <v/>
      </c>
      <c r="NW24" s="327"/>
      <c r="NX24" s="328"/>
      <c r="NY24" s="327" t="str">
        <f t="shared" si="178"/>
        <v/>
      </c>
      <c r="NZ24" s="328"/>
      <c r="OA24" s="327" t="str">
        <f t="shared" si="179"/>
        <v/>
      </c>
      <c r="OB24" s="328"/>
      <c r="OC24" s="327" t="str">
        <f t="shared" si="64"/>
        <v/>
      </c>
      <c r="OD24" s="328"/>
      <c r="OE24" s="327" t="str">
        <f t="shared" si="65"/>
        <v/>
      </c>
      <c r="OF24" s="328"/>
      <c r="OG24" s="318" t="s">
        <v>338</v>
      </c>
      <c r="OH24" s="310" t="str">
        <f t="shared" ref="OH24" si="331">IF(AND(OI24="",OK24="",OM24="",OO24="",OQ24=""),"",COUNTA(OI24:OR24)*50)</f>
        <v/>
      </c>
      <c r="OI24" s="327"/>
      <c r="OJ24" s="328"/>
      <c r="OK24" s="327" t="str">
        <f t="shared" si="180"/>
        <v/>
      </c>
      <c r="OL24" s="328"/>
      <c r="OM24" s="327" t="str">
        <f t="shared" si="181"/>
        <v/>
      </c>
      <c r="ON24" s="328"/>
      <c r="OO24" s="327" t="str">
        <f t="shared" si="66"/>
        <v/>
      </c>
      <c r="OP24" s="328"/>
      <c r="OQ24" s="327" t="str">
        <f t="shared" si="67"/>
        <v/>
      </c>
      <c r="OR24" s="328"/>
      <c r="OS24" s="318" t="s">
        <v>338</v>
      </c>
      <c r="OT24" s="310" t="str">
        <f t="shared" ref="OT24" si="332">IF(AND(OU24="",OW24="",OY24="",PA24="",PC24=""),"",COUNTA(OU24:PD24)*50)</f>
        <v/>
      </c>
      <c r="OU24" s="327"/>
      <c r="OV24" s="328"/>
      <c r="OW24" s="327" t="str">
        <f t="shared" si="182"/>
        <v/>
      </c>
      <c r="OX24" s="328"/>
      <c r="OY24" s="327" t="str">
        <f t="shared" si="183"/>
        <v/>
      </c>
      <c r="OZ24" s="328"/>
      <c r="PA24" s="327" t="str">
        <f t="shared" si="68"/>
        <v/>
      </c>
      <c r="PB24" s="328"/>
      <c r="PC24" s="327" t="str">
        <f t="shared" si="69"/>
        <v/>
      </c>
      <c r="PD24" s="328"/>
      <c r="PE24" s="318" t="s">
        <v>338</v>
      </c>
      <c r="PF24" s="310" t="str">
        <f t="shared" ref="PF24" si="333">IF(PG24="","",COUNTA(PG24:PP24)*50)</f>
        <v/>
      </c>
      <c r="PG24" s="327"/>
      <c r="PH24" s="328"/>
      <c r="PI24" s="327" t="str">
        <f t="shared" si="184"/>
        <v/>
      </c>
      <c r="PJ24" s="328"/>
      <c r="PK24" s="327" t="str">
        <f t="shared" si="185"/>
        <v/>
      </c>
      <c r="PL24" s="328"/>
      <c r="PM24" s="327" t="str">
        <f t="shared" si="70"/>
        <v/>
      </c>
      <c r="PN24" s="328"/>
      <c r="PO24" s="327" t="str">
        <f t="shared" si="71"/>
        <v/>
      </c>
      <c r="PP24" s="328"/>
    </row>
    <row r="25" spans="1:432">
      <c r="A25" s="319"/>
      <c r="B25" s="311"/>
      <c r="C25" s="305" t="s">
        <v>494</v>
      </c>
      <c r="D25" s="306"/>
      <c r="E25" s="305" t="str">
        <f t="shared" si="186"/>
        <v>12 ICT</v>
      </c>
      <c r="F25" s="306"/>
      <c r="G25" s="305" t="str">
        <f t="shared" si="72"/>
        <v>12 ICT</v>
      </c>
      <c r="H25" s="306"/>
      <c r="I25" s="305" t="str">
        <f t="shared" si="72"/>
        <v>12 ICT</v>
      </c>
      <c r="J25" s="306"/>
      <c r="K25" s="305" t="str">
        <f t="shared" si="73"/>
        <v>12 ICT</v>
      </c>
      <c r="L25" s="306"/>
      <c r="M25" s="319"/>
      <c r="N25" s="311"/>
      <c r="O25" s="327" t="s">
        <v>463</v>
      </c>
      <c r="P25" s="328"/>
      <c r="Q25" s="327" t="str">
        <f t="shared" si="74"/>
        <v>11 ICT</v>
      </c>
      <c r="R25" s="328"/>
      <c r="S25" s="327" t="str">
        <f t="shared" si="75"/>
        <v>11 ICT</v>
      </c>
      <c r="T25" s="328"/>
      <c r="U25" s="329"/>
      <c r="V25" s="330"/>
      <c r="W25" s="327" t="str">
        <f t="shared" si="77"/>
        <v>11 ICT</v>
      </c>
      <c r="X25" s="328"/>
      <c r="Y25" s="319"/>
      <c r="Z25" s="311"/>
      <c r="AA25" s="327" t="s">
        <v>457</v>
      </c>
      <c r="AB25" s="328"/>
      <c r="AC25" s="327" t="str">
        <f t="shared" si="78"/>
        <v>11 HumSS E</v>
      </c>
      <c r="AD25" s="328"/>
      <c r="AE25" s="327" t="str">
        <f t="shared" si="79"/>
        <v>11 HumSS E</v>
      </c>
      <c r="AF25" s="328"/>
      <c r="AG25" s="327" t="str">
        <f t="shared" si="80"/>
        <v>11 HumSS E</v>
      </c>
      <c r="AH25" s="328"/>
      <c r="AI25" s="327" t="str">
        <f t="shared" si="81"/>
        <v>11 HumSS E</v>
      </c>
      <c r="AJ25" s="328"/>
      <c r="AK25" s="319"/>
      <c r="AL25" s="311"/>
      <c r="AM25" s="327"/>
      <c r="AN25" s="328"/>
      <c r="AO25" s="327" t="str">
        <f t="shared" si="82"/>
        <v/>
      </c>
      <c r="AP25" s="328"/>
      <c r="AQ25" s="327" t="str">
        <f t="shared" si="83"/>
        <v/>
      </c>
      <c r="AR25" s="328"/>
      <c r="AS25" s="327" t="str">
        <f t="shared" si="84"/>
        <v/>
      </c>
      <c r="AT25" s="328"/>
      <c r="AU25" s="327" t="str">
        <f t="shared" si="85"/>
        <v/>
      </c>
      <c r="AV25" s="328"/>
      <c r="AW25" s="319"/>
      <c r="AX25" s="311"/>
      <c r="AY25" s="327"/>
      <c r="AZ25" s="328"/>
      <c r="BA25" s="327" t="str">
        <f t="shared" si="86"/>
        <v/>
      </c>
      <c r="BB25" s="328"/>
      <c r="BC25" s="327" t="str">
        <f t="shared" si="87"/>
        <v/>
      </c>
      <c r="BD25" s="328"/>
      <c r="BE25" s="327" t="str">
        <f t="shared" si="88"/>
        <v/>
      </c>
      <c r="BF25" s="328"/>
      <c r="BG25" s="327" t="str">
        <f t="shared" si="89"/>
        <v/>
      </c>
      <c r="BH25" s="328"/>
      <c r="BI25" s="319"/>
      <c r="BJ25" s="311"/>
      <c r="BK25" s="327" t="s">
        <v>499</v>
      </c>
      <c r="BL25" s="328"/>
      <c r="BM25" s="327" t="str">
        <f t="shared" si="90"/>
        <v>12 Cookery</v>
      </c>
      <c r="BN25" s="328"/>
      <c r="BO25" s="327" t="str">
        <f t="shared" si="91"/>
        <v>12 Cookery</v>
      </c>
      <c r="BP25" s="328"/>
      <c r="BQ25" s="327" t="str">
        <f t="shared" si="92"/>
        <v>12 Cookery</v>
      </c>
      <c r="BR25" s="328"/>
      <c r="BS25" s="327" t="str">
        <f t="shared" si="93"/>
        <v>12 Cookery</v>
      </c>
      <c r="BT25" s="328"/>
      <c r="BU25" s="319"/>
      <c r="BV25" s="311"/>
      <c r="BW25" s="327" t="s">
        <v>454</v>
      </c>
      <c r="BX25" s="328"/>
      <c r="BY25" s="327" t="str">
        <f t="shared" si="94"/>
        <v>11 HumSS B</v>
      </c>
      <c r="BZ25" s="328"/>
      <c r="CA25" s="327" t="str">
        <f t="shared" si="95"/>
        <v>11 HumSS B</v>
      </c>
      <c r="CB25" s="328"/>
      <c r="CC25" s="327" t="str">
        <f t="shared" si="96"/>
        <v>11 HumSS B</v>
      </c>
      <c r="CD25" s="328"/>
      <c r="CE25" s="327" t="str">
        <f t="shared" si="97"/>
        <v>11 HumSS B</v>
      </c>
      <c r="CF25" s="328"/>
      <c r="CG25" s="319"/>
      <c r="CH25" s="311"/>
      <c r="CI25" s="327"/>
      <c r="CJ25" s="328"/>
      <c r="CK25" s="327" t="str">
        <f t="shared" si="98"/>
        <v/>
      </c>
      <c r="CL25" s="328"/>
      <c r="CM25" s="327" t="str">
        <f t="shared" si="99"/>
        <v/>
      </c>
      <c r="CN25" s="328"/>
      <c r="CO25" s="327" t="str">
        <f t="shared" si="100"/>
        <v/>
      </c>
      <c r="CP25" s="328"/>
      <c r="CQ25" s="327" t="str">
        <f t="shared" si="101"/>
        <v/>
      </c>
      <c r="CR25" s="328"/>
      <c r="CS25" s="319"/>
      <c r="CT25" s="311"/>
      <c r="CU25" s="327"/>
      <c r="CV25" s="328"/>
      <c r="CW25" s="327" t="s">
        <v>457</v>
      </c>
      <c r="CX25" s="328"/>
      <c r="CY25" s="327"/>
      <c r="CZ25" s="328"/>
      <c r="DA25" s="327" t="s">
        <v>463</v>
      </c>
      <c r="DB25" s="328"/>
      <c r="DC25" s="327"/>
      <c r="DD25" s="328"/>
      <c r="DE25" s="319"/>
      <c r="DF25" s="311"/>
      <c r="DG25" s="327" t="s">
        <v>492</v>
      </c>
      <c r="DH25" s="328"/>
      <c r="DI25" s="327" t="str">
        <f t="shared" si="106"/>
        <v>12 SMAW</v>
      </c>
      <c r="DJ25" s="328"/>
      <c r="DK25" s="327" t="str">
        <f t="shared" si="107"/>
        <v>12 SMAW</v>
      </c>
      <c r="DL25" s="328"/>
      <c r="DM25" s="327" t="str">
        <f t="shared" si="108"/>
        <v>12 SMAW</v>
      </c>
      <c r="DN25" s="328"/>
      <c r="DO25" s="327" t="str">
        <f t="shared" si="109"/>
        <v>12 SMAW</v>
      </c>
      <c r="DP25" s="328"/>
      <c r="DQ25" s="319"/>
      <c r="DR25" s="311"/>
      <c r="DS25" s="327" t="s">
        <v>490</v>
      </c>
      <c r="DT25" s="328"/>
      <c r="DU25" s="331" t="s">
        <v>495</v>
      </c>
      <c r="DV25" s="332"/>
      <c r="DW25" s="327" t="str">
        <f t="shared" si="111"/>
        <v>12 AGRI</v>
      </c>
      <c r="DX25" s="328"/>
      <c r="DY25" s="327" t="str">
        <f t="shared" si="112"/>
        <v>12 AGRI</v>
      </c>
      <c r="DZ25" s="328"/>
      <c r="EA25" s="327" t="str">
        <f t="shared" si="113"/>
        <v>12 AGRI</v>
      </c>
      <c r="EB25" s="328"/>
      <c r="EC25" s="319"/>
      <c r="ED25" s="311"/>
      <c r="EE25" s="327" t="s">
        <v>489</v>
      </c>
      <c r="EF25" s="328"/>
      <c r="EG25" s="327" t="str">
        <f t="shared" si="114"/>
        <v>12 HumSS D</v>
      </c>
      <c r="EH25" s="328"/>
      <c r="EI25" s="327" t="str">
        <f t="shared" si="115"/>
        <v>12 HumSS D</v>
      </c>
      <c r="EJ25" s="328"/>
      <c r="EK25" s="327" t="str">
        <f t="shared" si="116"/>
        <v>12 HumSS D</v>
      </c>
      <c r="EL25" s="328"/>
      <c r="EM25" s="327" t="str">
        <f t="shared" si="117"/>
        <v>12 HumSS D</v>
      </c>
      <c r="EN25" s="328"/>
      <c r="EO25" s="319"/>
      <c r="EP25" s="311"/>
      <c r="EQ25" s="327" t="s">
        <v>452</v>
      </c>
      <c r="ER25" s="328"/>
      <c r="ES25" s="327" t="str">
        <f t="shared" si="118"/>
        <v>11 STEM</v>
      </c>
      <c r="ET25" s="328"/>
      <c r="EU25" s="327" t="str">
        <f t="shared" si="119"/>
        <v>11 STEM</v>
      </c>
      <c r="EV25" s="328"/>
      <c r="EW25" s="327" t="str">
        <f t="shared" si="120"/>
        <v>11 STEM</v>
      </c>
      <c r="EX25" s="328"/>
      <c r="EY25" s="327" t="str">
        <f t="shared" si="121"/>
        <v>11 STEM</v>
      </c>
      <c r="EZ25" s="328"/>
      <c r="FA25" s="319"/>
      <c r="FB25" s="311"/>
      <c r="FC25" s="327" t="s">
        <v>465</v>
      </c>
      <c r="FD25" s="328"/>
      <c r="FE25" s="327" t="str">
        <f t="shared" si="122"/>
        <v>11 GAS</v>
      </c>
      <c r="FF25" s="328"/>
      <c r="FG25" s="327" t="str">
        <f t="shared" si="123"/>
        <v>11 GAS</v>
      </c>
      <c r="FH25" s="328"/>
      <c r="FI25" s="327" t="str">
        <f t="shared" si="124"/>
        <v>11 GAS</v>
      </c>
      <c r="FJ25" s="328"/>
      <c r="FK25" s="327" t="str">
        <f t="shared" si="125"/>
        <v>11 GAS</v>
      </c>
      <c r="FL25" s="328"/>
      <c r="FM25" s="319"/>
      <c r="FN25" s="311"/>
      <c r="FO25" s="327" t="s">
        <v>495</v>
      </c>
      <c r="FP25" s="328"/>
      <c r="FQ25" s="327"/>
      <c r="FR25" s="328"/>
      <c r="FS25" s="327" t="str">
        <f t="shared" si="127"/>
        <v>12 GAS</v>
      </c>
      <c r="FT25" s="328"/>
      <c r="FU25" s="327" t="str">
        <f t="shared" si="128"/>
        <v>12 GAS</v>
      </c>
      <c r="FV25" s="328"/>
      <c r="FW25" s="327" t="str">
        <f t="shared" si="129"/>
        <v>12 GAS</v>
      </c>
      <c r="FX25" s="328"/>
      <c r="FY25" s="319"/>
      <c r="FZ25" s="311"/>
      <c r="GA25" s="327" t="s">
        <v>461</v>
      </c>
      <c r="GB25" s="328"/>
      <c r="GC25" s="327" t="str">
        <f t="shared" si="130"/>
        <v>11 SMAW</v>
      </c>
      <c r="GD25" s="328"/>
      <c r="GE25" s="327" t="str">
        <f t="shared" si="131"/>
        <v>11 SMAW</v>
      </c>
      <c r="GF25" s="328"/>
      <c r="GG25" s="327" t="str">
        <f t="shared" si="132"/>
        <v>11 SMAW</v>
      </c>
      <c r="GH25" s="328"/>
      <c r="GI25" s="327" t="str">
        <f t="shared" si="133"/>
        <v>11 SMAW</v>
      </c>
      <c r="GJ25" s="328"/>
      <c r="GK25" s="319"/>
      <c r="GL25" s="311"/>
      <c r="GM25" s="327" t="s">
        <v>488</v>
      </c>
      <c r="GN25" s="328"/>
      <c r="GO25" s="327" t="str">
        <f t="shared" si="203"/>
        <v>12 HumSS C</v>
      </c>
      <c r="GP25" s="328"/>
      <c r="GQ25" s="327" t="str">
        <f t="shared" si="204"/>
        <v>12 HumSS C</v>
      </c>
      <c r="GR25" s="328"/>
      <c r="GS25" s="327" t="str">
        <f t="shared" si="205"/>
        <v>12 HumSS C</v>
      </c>
      <c r="GT25" s="328"/>
      <c r="GU25" s="327" t="str">
        <f t="shared" si="206"/>
        <v>12 HumSS C</v>
      </c>
      <c r="GV25" s="328"/>
      <c r="GW25" s="319"/>
      <c r="GX25" s="311"/>
      <c r="GY25" s="327" t="s">
        <v>486</v>
      </c>
      <c r="GZ25" s="328"/>
      <c r="HA25" s="327" t="str">
        <f t="shared" si="134"/>
        <v>12 HumSS A</v>
      </c>
      <c r="HB25" s="328"/>
      <c r="HC25" s="327" t="str">
        <f t="shared" si="135"/>
        <v>12 HumSS A</v>
      </c>
      <c r="HD25" s="328"/>
      <c r="HE25" s="327" t="str">
        <f t="shared" si="136"/>
        <v>12 HumSS A</v>
      </c>
      <c r="HF25" s="328"/>
      <c r="HG25" s="327" t="str">
        <f t="shared" si="137"/>
        <v>12 HumSS A</v>
      </c>
      <c r="HH25" s="328"/>
      <c r="HI25" s="319"/>
      <c r="HJ25" s="311"/>
      <c r="HK25" s="327"/>
      <c r="HL25" s="328"/>
      <c r="HM25" s="327" t="str">
        <f t="shared" si="138"/>
        <v/>
      </c>
      <c r="HN25" s="328"/>
      <c r="HO25" s="327" t="str">
        <f t="shared" si="139"/>
        <v/>
      </c>
      <c r="HP25" s="328"/>
      <c r="HQ25" s="327" t="str">
        <f t="shared" si="140"/>
        <v/>
      </c>
      <c r="HR25" s="328"/>
      <c r="HS25" s="327" t="str">
        <f t="shared" si="141"/>
        <v/>
      </c>
      <c r="HT25" s="328"/>
      <c r="HU25" s="319"/>
      <c r="HV25" s="311"/>
      <c r="HW25" s="327" t="s">
        <v>459</v>
      </c>
      <c r="HX25" s="328"/>
      <c r="HY25" s="327" t="str">
        <f t="shared" si="142"/>
        <v>11 AGRI</v>
      </c>
      <c r="HZ25" s="328"/>
      <c r="IA25" s="327" t="str">
        <f t="shared" si="143"/>
        <v>11 AGRI</v>
      </c>
      <c r="IB25" s="328"/>
      <c r="IC25" s="327" t="str">
        <f t="shared" si="144"/>
        <v>11 AGRI</v>
      </c>
      <c r="ID25" s="328"/>
      <c r="IE25" s="327" t="str">
        <f t="shared" si="145"/>
        <v>11 AGRI</v>
      </c>
      <c r="IF25" s="328"/>
      <c r="IG25" s="319"/>
      <c r="IH25" s="311"/>
      <c r="II25" s="327"/>
      <c r="IJ25" s="328"/>
      <c r="IK25" s="327" t="str">
        <f t="shared" si="146"/>
        <v/>
      </c>
      <c r="IL25" s="328"/>
      <c r="IM25" s="327" t="str">
        <f t="shared" si="147"/>
        <v/>
      </c>
      <c r="IN25" s="328"/>
      <c r="IO25" s="327" t="str">
        <f t="shared" si="148"/>
        <v/>
      </c>
      <c r="IP25" s="328"/>
      <c r="IQ25" s="327" t="str">
        <f t="shared" si="149"/>
        <v/>
      </c>
      <c r="IR25" s="328"/>
      <c r="IS25" s="319"/>
      <c r="IT25" s="311"/>
      <c r="IU25" s="327" t="s">
        <v>507</v>
      </c>
      <c r="IV25" s="328"/>
      <c r="IW25" s="327" t="str">
        <f t="shared" si="150"/>
        <v>11 H.E.</v>
      </c>
      <c r="IX25" s="328"/>
      <c r="IY25" s="327" t="str">
        <f t="shared" si="151"/>
        <v>11 H.E.</v>
      </c>
      <c r="IZ25" s="328"/>
      <c r="JA25" s="327" t="str">
        <f t="shared" si="152"/>
        <v>11 H.E.</v>
      </c>
      <c r="JB25" s="328"/>
      <c r="JC25" s="327" t="str">
        <f t="shared" si="153"/>
        <v>11 H.E.</v>
      </c>
      <c r="JD25" s="328"/>
      <c r="JE25" s="319"/>
      <c r="JF25" s="311"/>
      <c r="JG25" s="327" t="s">
        <v>485</v>
      </c>
      <c r="JH25" s="328"/>
      <c r="JI25" s="327" t="str">
        <f t="shared" si="249"/>
        <v>12 STEM</v>
      </c>
      <c r="JJ25" s="328"/>
      <c r="JK25" s="327" t="str">
        <f t="shared" si="213"/>
        <v>12 STEM</v>
      </c>
      <c r="JL25" s="328"/>
      <c r="JM25" s="327" t="str">
        <f t="shared" si="250"/>
        <v>12 STEM</v>
      </c>
      <c r="JN25" s="328"/>
      <c r="JO25" s="327" t="str">
        <f t="shared" si="214"/>
        <v>12 STEM</v>
      </c>
      <c r="JP25" s="328"/>
      <c r="JQ25" s="319"/>
      <c r="JR25" s="311"/>
      <c r="JS25" s="327" t="s">
        <v>497</v>
      </c>
      <c r="JT25" s="328"/>
      <c r="JU25" s="327" t="str">
        <f t="shared" si="154"/>
        <v>11 HumSS D</v>
      </c>
      <c r="JV25" s="328"/>
      <c r="JW25" s="327" t="str">
        <f t="shared" si="155"/>
        <v>11 HumSS D</v>
      </c>
      <c r="JX25" s="328"/>
      <c r="JY25" s="327" t="str">
        <f t="shared" si="156"/>
        <v>11 HumSS D</v>
      </c>
      <c r="JZ25" s="328"/>
      <c r="KA25" s="327" t="str">
        <f t="shared" si="157"/>
        <v>11 HumSS D</v>
      </c>
      <c r="KB25" s="328"/>
      <c r="KC25" s="319"/>
      <c r="KD25" s="311"/>
      <c r="KE25" s="327" t="s">
        <v>513</v>
      </c>
      <c r="KF25" s="328"/>
      <c r="KG25" s="327" t="str">
        <f t="shared" si="158"/>
        <v>11 humSS C</v>
      </c>
      <c r="KH25" s="328"/>
      <c r="KI25" s="327" t="str">
        <f t="shared" si="159"/>
        <v>11 humSS C</v>
      </c>
      <c r="KJ25" s="328"/>
      <c r="KK25" s="327" t="str">
        <f t="shared" si="160"/>
        <v>11 humSS C</v>
      </c>
      <c r="KL25" s="328"/>
      <c r="KM25" s="327" t="str">
        <f t="shared" si="161"/>
        <v>11 humSS C</v>
      </c>
      <c r="KN25" s="328"/>
      <c r="KO25" s="319"/>
      <c r="KP25" s="311"/>
      <c r="KQ25" s="327" t="s">
        <v>487</v>
      </c>
      <c r="KR25" s="328"/>
      <c r="KS25" s="327" t="str">
        <f t="shared" si="162"/>
        <v>12 HumSS B</v>
      </c>
      <c r="KT25" s="328"/>
      <c r="KU25" s="327" t="str">
        <f t="shared" si="163"/>
        <v>12 HumSS B</v>
      </c>
      <c r="KV25" s="328"/>
      <c r="KW25" s="327" t="str">
        <f t="shared" si="164"/>
        <v>12 HumSS B</v>
      </c>
      <c r="KX25" s="328"/>
      <c r="KY25" s="327" t="str">
        <f t="shared" si="165"/>
        <v>12 HumSS B</v>
      </c>
      <c r="KZ25" s="328"/>
      <c r="LA25" s="319"/>
      <c r="LB25" s="311"/>
      <c r="LC25" s="327"/>
      <c r="LD25" s="328"/>
      <c r="LE25" s="327" t="str">
        <f t="shared" si="166"/>
        <v/>
      </c>
      <c r="LF25" s="328"/>
      <c r="LG25" s="327" t="str">
        <f t="shared" si="167"/>
        <v/>
      </c>
      <c r="LH25" s="328"/>
      <c r="LI25" s="327" t="str">
        <f t="shared" si="52"/>
        <v/>
      </c>
      <c r="LJ25" s="328"/>
      <c r="LK25" s="327" t="str">
        <f t="shared" si="53"/>
        <v/>
      </c>
      <c r="LL25" s="328"/>
      <c r="LM25" s="319"/>
      <c r="LN25" s="311"/>
      <c r="LO25" s="327"/>
      <c r="LP25" s="328"/>
      <c r="LQ25" s="327" t="str">
        <f t="shared" si="168"/>
        <v/>
      </c>
      <c r="LR25" s="328"/>
      <c r="LS25" s="327" t="str">
        <f t="shared" si="169"/>
        <v/>
      </c>
      <c r="LT25" s="328"/>
      <c r="LU25" s="327" t="str">
        <f t="shared" si="54"/>
        <v/>
      </c>
      <c r="LV25" s="328"/>
      <c r="LW25" s="327" t="str">
        <f t="shared" si="55"/>
        <v/>
      </c>
      <c r="LX25" s="328"/>
      <c r="LY25" s="319"/>
      <c r="LZ25" s="311"/>
      <c r="MA25" s="327"/>
      <c r="MB25" s="328"/>
      <c r="MC25" s="327" t="str">
        <f t="shared" si="170"/>
        <v/>
      </c>
      <c r="MD25" s="328"/>
      <c r="ME25" s="327" t="str">
        <f t="shared" si="171"/>
        <v/>
      </c>
      <c r="MF25" s="328"/>
      <c r="MG25" s="327" t="str">
        <f t="shared" si="56"/>
        <v/>
      </c>
      <c r="MH25" s="328"/>
      <c r="MI25" s="327" t="str">
        <f t="shared" si="57"/>
        <v/>
      </c>
      <c r="MJ25" s="328"/>
      <c r="MK25" s="319"/>
      <c r="ML25" s="311"/>
      <c r="MM25" s="327"/>
      <c r="MN25" s="328"/>
      <c r="MO25" s="327" t="str">
        <f t="shared" si="172"/>
        <v/>
      </c>
      <c r="MP25" s="328"/>
      <c r="MQ25" s="327" t="str">
        <f t="shared" si="173"/>
        <v/>
      </c>
      <c r="MR25" s="328"/>
      <c r="MS25" s="327" t="str">
        <f t="shared" si="58"/>
        <v/>
      </c>
      <c r="MT25" s="328"/>
      <c r="MU25" s="327" t="str">
        <f t="shared" si="59"/>
        <v/>
      </c>
      <c r="MV25" s="328"/>
      <c r="MW25" s="319"/>
      <c r="MX25" s="311"/>
      <c r="MY25" s="327"/>
      <c r="MZ25" s="328"/>
      <c r="NA25" s="327" t="str">
        <f t="shared" si="174"/>
        <v/>
      </c>
      <c r="NB25" s="328"/>
      <c r="NC25" s="327" t="str">
        <f t="shared" si="175"/>
        <v/>
      </c>
      <c r="ND25" s="328"/>
      <c r="NE25" s="327" t="str">
        <f t="shared" si="60"/>
        <v/>
      </c>
      <c r="NF25" s="328"/>
      <c r="NG25" s="327" t="str">
        <f t="shared" si="61"/>
        <v/>
      </c>
      <c r="NH25" s="328"/>
      <c r="NI25" s="319"/>
      <c r="NJ25" s="311"/>
      <c r="NK25" s="327"/>
      <c r="NL25" s="328"/>
      <c r="NM25" s="327" t="str">
        <f t="shared" si="176"/>
        <v/>
      </c>
      <c r="NN25" s="328"/>
      <c r="NO25" s="327" t="str">
        <f t="shared" si="177"/>
        <v/>
      </c>
      <c r="NP25" s="328"/>
      <c r="NQ25" s="327" t="str">
        <f t="shared" si="62"/>
        <v/>
      </c>
      <c r="NR25" s="328"/>
      <c r="NS25" s="327" t="str">
        <f t="shared" si="63"/>
        <v/>
      </c>
      <c r="NT25" s="328"/>
      <c r="NU25" s="319"/>
      <c r="NV25" s="311"/>
      <c r="NW25" s="327"/>
      <c r="NX25" s="328"/>
      <c r="NY25" s="327" t="str">
        <f t="shared" si="178"/>
        <v/>
      </c>
      <c r="NZ25" s="328"/>
      <c r="OA25" s="327" t="str">
        <f t="shared" si="179"/>
        <v/>
      </c>
      <c r="OB25" s="328"/>
      <c r="OC25" s="327" t="str">
        <f t="shared" si="64"/>
        <v/>
      </c>
      <c r="OD25" s="328"/>
      <c r="OE25" s="327" t="str">
        <f t="shared" si="65"/>
        <v/>
      </c>
      <c r="OF25" s="328"/>
      <c r="OG25" s="319"/>
      <c r="OH25" s="311"/>
      <c r="OI25" s="327"/>
      <c r="OJ25" s="328"/>
      <c r="OK25" s="327" t="str">
        <f t="shared" si="180"/>
        <v/>
      </c>
      <c r="OL25" s="328"/>
      <c r="OM25" s="327" t="str">
        <f t="shared" si="181"/>
        <v/>
      </c>
      <c r="ON25" s="328"/>
      <c r="OO25" s="327" t="str">
        <f t="shared" si="66"/>
        <v/>
      </c>
      <c r="OP25" s="328"/>
      <c r="OQ25" s="327" t="str">
        <f t="shared" si="67"/>
        <v/>
      </c>
      <c r="OR25" s="328"/>
      <c r="OS25" s="319"/>
      <c r="OT25" s="311"/>
      <c r="OU25" s="327"/>
      <c r="OV25" s="328"/>
      <c r="OW25" s="327" t="str">
        <f t="shared" si="182"/>
        <v/>
      </c>
      <c r="OX25" s="328"/>
      <c r="OY25" s="327" t="str">
        <f t="shared" si="183"/>
        <v/>
      </c>
      <c r="OZ25" s="328"/>
      <c r="PA25" s="327" t="str">
        <f t="shared" si="68"/>
        <v/>
      </c>
      <c r="PB25" s="328"/>
      <c r="PC25" s="327" t="str">
        <f t="shared" si="69"/>
        <v/>
      </c>
      <c r="PD25" s="328"/>
      <c r="PE25" s="319"/>
      <c r="PF25" s="311"/>
      <c r="PG25" s="327"/>
      <c r="PH25" s="328"/>
      <c r="PI25" s="327" t="str">
        <f t="shared" si="184"/>
        <v/>
      </c>
      <c r="PJ25" s="328"/>
      <c r="PK25" s="327" t="str">
        <f t="shared" si="185"/>
        <v/>
      </c>
      <c r="PL25" s="328"/>
      <c r="PM25" s="327" t="str">
        <f t="shared" si="70"/>
        <v/>
      </c>
      <c r="PN25" s="328"/>
      <c r="PO25" s="327" t="str">
        <f t="shared" si="71"/>
        <v/>
      </c>
      <c r="PP25" s="328"/>
    </row>
    <row r="26" spans="1:432">
      <c r="A26" s="320" t="s">
        <v>342</v>
      </c>
      <c r="B26" s="310" t="str">
        <f t="shared" ref="B26" si="334">IF(AND(C26="",E26="",G26="",I26="",K26=""),"",COUNTA(C26:L26)*50)</f>
        <v/>
      </c>
      <c r="C26" s="305"/>
      <c r="D26" s="306"/>
      <c r="E26" s="305" t="str">
        <f t="shared" si="186"/>
        <v/>
      </c>
      <c r="F26" s="306"/>
      <c r="G26" s="305" t="str">
        <f t="shared" si="72"/>
        <v/>
      </c>
      <c r="H26" s="306"/>
      <c r="I26" s="305" t="str">
        <f t="shared" si="72"/>
        <v/>
      </c>
      <c r="J26" s="306"/>
      <c r="K26" s="305" t="str">
        <f t="shared" si="73"/>
        <v/>
      </c>
      <c r="L26" s="306"/>
      <c r="M26" s="320" t="s">
        <v>342</v>
      </c>
      <c r="N26" s="310">
        <f t="shared" ref="N26" si="335">IF(AND(O26="",Q26="",S26="",U26="",W26=""),"",COUNTA(O26:X26)*50)</f>
        <v>250</v>
      </c>
      <c r="O26" s="327" t="str">
        <f>'Gen CP'!D27</f>
        <v>MIL</v>
      </c>
      <c r="P26" s="328"/>
      <c r="Q26" s="327" t="str">
        <f t="shared" si="74"/>
        <v>MIL</v>
      </c>
      <c r="R26" s="328"/>
      <c r="S26" s="327" t="str">
        <f t="shared" si="75"/>
        <v>MIL</v>
      </c>
      <c r="T26" s="328"/>
      <c r="U26" s="327" t="str">
        <f t="shared" si="76"/>
        <v>MIL</v>
      </c>
      <c r="V26" s="328"/>
      <c r="W26" s="327" t="str">
        <f t="shared" si="77"/>
        <v>MIL</v>
      </c>
      <c r="X26" s="328"/>
      <c r="Y26" s="320" t="s">
        <v>342</v>
      </c>
      <c r="Z26" s="310">
        <f t="shared" ref="Z26" si="336">IF(AND(AA26="",AC26="",AE26="",AG26="",AI26=""),"",COUNTA(AA26:AJ26)*50)</f>
        <v>250</v>
      </c>
      <c r="AA26" s="327" t="str">
        <f>'Gen CP'!H27</f>
        <v>Oral Com</v>
      </c>
      <c r="AB26" s="328"/>
      <c r="AC26" s="327" t="str">
        <f t="shared" si="78"/>
        <v>Oral Com</v>
      </c>
      <c r="AD26" s="328"/>
      <c r="AE26" s="327" t="str">
        <f t="shared" si="79"/>
        <v>Oral Com</v>
      </c>
      <c r="AF26" s="328"/>
      <c r="AG26" s="327" t="str">
        <f t="shared" si="80"/>
        <v>Oral Com</v>
      </c>
      <c r="AH26" s="328"/>
      <c r="AI26" s="327" t="str">
        <f t="shared" si="81"/>
        <v>Oral Com</v>
      </c>
      <c r="AJ26" s="328"/>
      <c r="AK26" s="320" t="s">
        <v>342</v>
      </c>
      <c r="AL26" s="310" t="str">
        <f t="shared" ref="AL26" si="337">IF(AND(AM26="",AO26="",AQ26="",AS26="",AU26=""),"",COUNTA(AM26:AV26)*50)</f>
        <v/>
      </c>
      <c r="AM26" s="327"/>
      <c r="AN26" s="328"/>
      <c r="AO26" s="327" t="str">
        <f t="shared" si="82"/>
        <v/>
      </c>
      <c r="AP26" s="328"/>
      <c r="AQ26" s="327" t="str">
        <f t="shared" si="83"/>
        <v/>
      </c>
      <c r="AR26" s="328"/>
      <c r="AS26" s="327" t="str">
        <f t="shared" si="84"/>
        <v/>
      </c>
      <c r="AT26" s="328"/>
      <c r="AU26" s="327" t="str">
        <f t="shared" si="85"/>
        <v/>
      </c>
      <c r="AV26" s="328"/>
      <c r="AW26" s="320" t="s">
        <v>342</v>
      </c>
      <c r="AX26" s="310">
        <f t="shared" ref="AX26" si="338">IF(AND(AY26="",BA26="",BC26="",BE26="",BG26=""),"",COUNTA(AY26:BH26)*50)</f>
        <v>250</v>
      </c>
      <c r="AY26" s="327" t="s">
        <v>113</v>
      </c>
      <c r="AZ26" s="328"/>
      <c r="BA26" s="327" t="str">
        <f t="shared" si="86"/>
        <v>Kom Pan</v>
      </c>
      <c r="BB26" s="328"/>
      <c r="BC26" s="327" t="str">
        <f t="shared" si="87"/>
        <v>Kom Pan</v>
      </c>
      <c r="BD26" s="328"/>
      <c r="BE26" s="327" t="str">
        <f t="shared" si="88"/>
        <v>Kom Pan</v>
      </c>
      <c r="BF26" s="328"/>
      <c r="BG26" s="327" t="str">
        <f t="shared" si="89"/>
        <v>Kom Pan</v>
      </c>
      <c r="BH26" s="328"/>
      <c r="BI26" s="320" t="s">
        <v>342</v>
      </c>
      <c r="BJ26" s="310">
        <f t="shared" ref="BJ26" si="339">IF(AND(BK26="",BM26="",BO26="",BQ26="",BS26=""),"",COUNTA(BK26:BT26)*50)</f>
        <v>250</v>
      </c>
      <c r="BK26" s="327" t="s">
        <v>314</v>
      </c>
      <c r="BL26" s="328"/>
      <c r="BM26" s="327" t="str">
        <f t="shared" si="90"/>
        <v>Philo</v>
      </c>
      <c r="BN26" s="328"/>
      <c r="BO26" s="327" t="str">
        <f t="shared" si="91"/>
        <v>Philo</v>
      </c>
      <c r="BP26" s="328"/>
      <c r="BQ26" s="327" t="str">
        <f t="shared" si="92"/>
        <v>Philo</v>
      </c>
      <c r="BR26" s="328"/>
      <c r="BS26" s="327" t="str">
        <f t="shared" si="93"/>
        <v>Philo</v>
      </c>
      <c r="BT26" s="328"/>
      <c r="BU26" s="320" t="s">
        <v>342</v>
      </c>
      <c r="BV26" s="310">
        <f t="shared" ref="BV26" si="340">IF(AND(BW26="",BY26="",CA26="",CC26="",CE26=""),"",COUNTA(BW26:CF26)*50)</f>
        <v>250</v>
      </c>
      <c r="BW26" s="327" t="s">
        <v>311</v>
      </c>
      <c r="BX26" s="328"/>
      <c r="BY26" s="327" t="str">
        <f t="shared" si="94"/>
        <v>Emp Tech</v>
      </c>
      <c r="BZ26" s="328"/>
      <c r="CA26" s="327" t="str">
        <f t="shared" si="95"/>
        <v>Emp Tech</v>
      </c>
      <c r="CB26" s="328"/>
      <c r="CC26" s="327" t="str">
        <f t="shared" si="96"/>
        <v>Emp Tech</v>
      </c>
      <c r="CD26" s="328"/>
      <c r="CE26" s="327" t="str">
        <f t="shared" si="97"/>
        <v>Emp Tech</v>
      </c>
      <c r="CF26" s="328"/>
      <c r="CG26" s="320" t="s">
        <v>342</v>
      </c>
      <c r="CH26" s="310">
        <f t="shared" ref="CH26" si="341">IF(AND(CI26="",CK26="",CM26="",CO26="",CQ26=""),"",COUNTA(CI26:CR26)*50)</f>
        <v>250</v>
      </c>
      <c r="CI26" s="327" t="s">
        <v>119</v>
      </c>
      <c r="CJ26" s="328"/>
      <c r="CK26" s="327" t="str">
        <f t="shared" si="98"/>
        <v>Earth &amp; Life</v>
      </c>
      <c r="CL26" s="328"/>
      <c r="CM26" s="327" t="str">
        <f t="shared" si="99"/>
        <v>Earth &amp; Life</v>
      </c>
      <c r="CN26" s="328"/>
      <c r="CO26" s="327" t="str">
        <f t="shared" si="100"/>
        <v>Earth &amp; Life</v>
      </c>
      <c r="CP26" s="328"/>
      <c r="CQ26" s="327" t="str">
        <f t="shared" si="101"/>
        <v>Earth &amp; Life</v>
      </c>
      <c r="CR26" s="328"/>
      <c r="CS26" s="320" t="s">
        <v>342</v>
      </c>
      <c r="CT26" s="310">
        <f t="shared" ref="CT26" si="342">IF(AND(CU26="",CW26="",CY26="",DA26="",DC26=""),"",COUNTA(CU26:DD26)*50)</f>
        <v>250</v>
      </c>
      <c r="CU26" s="327" t="s">
        <v>500</v>
      </c>
      <c r="CV26" s="328"/>
      <c r="CW26" s="327" t="str">
        <f t="shared" si="102"/>
        <v xml:space="preserve">Emp Tech </v>
      </c>
      <c r="CX26" s="328"/>
      <c r="CY26" s="327" t="str">
        <f t="shared" si="103"/>
        <v xml:space="preserve">Emp Tech </v>
      </c>
      <c r="CZ26" s="328"/>
      <c r="DA26" s="327" t="str">
        <f t="shared" si="104"/>
        <v xml:space="preserve">Emp Tech </v>
      </c>
      <c r="DB26" s="328"/>
      <c r="DC26" s="327" t="str">
        <f t="shared" si="105"/>
        <v xml:space="preserve">Emp Tech </v>
      </c>
      <c r="DD26" s="328"/>
      <c r="DE26" s="320" t="s">
        <v>342</v>
      </c>
      <c r="DF26" s="310">
        <f t="shared" ref="DF26" si="343">IF(AND(DG26="",DI26="",DK26="",DM26="",DO26=""),"",COUNTA(DG26:DP26)*50)</f>
        <v>250</v>
      </c>
      <c r="DG26" s="327" t="s">
        <v>312</v>
      </c>
      <c r="DH26" s="328"/>
      <c r="DI26" s="327" t="str">
        <f t="shared" si="106"/>
        <v>21st Cen Lit</v>
      </c>
      <c r="DJ26" s="328"/>
      <c r="DK26" s="327" t="str">
        <f t="shared" si="107"/>
        <v>21st Cen Lit</v>
      </c>
      <c r="DL26" s="328"/>
      <c r="DM26" s="327" t="str">
        <f t="shared" si="108"/>
        <v>21st Cen Lit</v>
      </c>
      <c r="DN26" s="328"/>
      <c r="DO26" s="327" t="str">
        <f t="shared" si="109"/>
        <v>21st Cen Lit</v>
      </c>
      <c r="DP26" s="328"/>
      <c r="DQ26" s="320" t="s">
        <v>342</v>
      </c>
      <c r="DR26" s="310">
        <f t="shared" si="308"/>
        <v>250</v>
      </c>
      <c r="DS26" s="327" t="s">
        <v>103</v>
      </c>
      <c r="DT26" s="328"/>
      <c r="DU26" s="327" t="str">
        <f t="shared" si="110"/>
        <v>Cookery</v>
      </c>
      <c r="DV26" s="328"/>
      <c r="DW26" s="327" t="str">
        <f t="shared" si="111"/>
        <v>Cookery</v>
      </c>
      <c r="DX26" s="328"/>
      <c r="DY26" s="327" t="str">
        <f t="shared" si="112"/>
        <v>Cookery</v>
      </c>
      <c r="DZ26" s="328"/>
      <c r="EA26" s="327" t="str">
        <f t="shared" si="113"/>
        <v>Cookery</v>
      </c>
      <c r="EB26" s="328"/>
      <c r="EC26" s="320" t="s">
        <v>342</v>
      </c>
      <c r="ED26" s="310">
        <f t="shared" ref="ED26" si="344">IF(AND(EE26="",EG26="",EI26="",EK26="",EM26=""),"",COUNTA(EE26:EN26)*50)</f>
        <v>250</v>
      </c>
      <c r="EE26" s="327" t="s">
        <v>503</v>
      </c>
      <c r="EF26" s="328"/>
      <c r="EG26" s="327" t="str">
        <f t="shared" si="114"/>
        <v>Research</v>
      </c>
      <c r="EH26" s="328"/>
      <c r="EI26" s="327" t="str">
        <f t="shared" si="115"/>
        <v>Research</v>
      </c>
      <c r="EJ26" s="328"/>
      <c r="EK26" s="327" t="str">
        <f t="shared" si="116"/>
        <v>Research</v>
      </c>
      <c r="EL26" s="328"/>
      <c r="EM26" s="327" t="str">
        <f t="shared" si="117"/>
        <v>Research</v>
      </c>
      <c r="EN26" s="328"/>
      <c r="EO26" s="320" t="s">
        <v>342</v>
      </c>
      <c r="EP26" s="310">
        <f t="shared" ref="EP26" si="345">IF(AND(EQ26="",ES26="",EU26="",EW26="",EY26=""),"",COUNTA(EQ26:EZ26)*50)</f>
        <v>250</v>
      </c>
      <c r="EQ26" s="339" t="str">
        <f>'Gen CP'!J27</f>
        <v>Earth &amp; Life</v>
      </c>
      <c r="ER26" s="340"/>
      <c r="ES26" s="339" t="str">
        <f t="shared" si="118"/>
        <v>Earth &amp; Life</v>
      </c>
      <c r="ET26" s="340"/>
      <c r="EU26" s="339" t="str">
        <f t="shared" si="119"/>
        <v>Earth &amp; Life</v>
      </c>
      <c r="EV26" s="340"/>
      <c r="EW26" s="339" t="str">
        <f t="shared" si="120"/>
        <v>Earth &amp; Life</v>
      </c>
      <c r="EX26" s="340"/>
      <c r="EY26" s="339" t="str">
        <f t="shared" si="121"/>
        <v>Earth &amp; Life</v>
      </c>
      <c r="EZ26" s="340"/>
      <c r="FA26" s="320" t="s">
        <v>342</v>
      </c>
      <c r="FB26" s="310">
        <f t="shared" ref="FB26" si="346">IF(AND(FC26="",FE26="",FG26="",FI26="",FK26=""),"",COUNTA(FC26:FL26)*50)</f>
        <v>250</v>
      </c>
      <c r="FC26" s="327" t="s">
        <v>313</v>
      </c>
      <c r="FD26" s="328"/>
      <c r="FE26" s="327" t="str">
        <f t="shared" si="122"/>
        <v>MIL</v>
      </c>
      <c r="FF26" s="328"/>
      <c r="FG26" s="327" t="str">
        <f t="shared" si="123"/>
        <v>MIL</v>
      </c>
      <c r="FH26" s="328"/>
      <c r="FI26" s="327" t="str">
        <f t="shared" si="124"/>
        <v>MIL</v>
      </c>
      <c r="FJ26" s="328"/>
      <c r="FK26" s="327" t="str">
        <f t="shared" si="125"/>
        <v>MIL</v>
      </c>
      <c r="FL26" s="328"/>
      <c r="FM26" s="320" t="s">
        <v>342</v>
      </c>
      <c r="FN26" s="310">
        <f t="shared" ref="FN26" si="347">IF(AND(FO26="",FQ26="",FS26="",FU26="",FW26=""),"",COUNTA(FO26:FX26)*50)</f>
        <v>250</v>
      </c>
      <c r="FO26" s="327" t="str">
        <f>'Gen CP'!K27</f>
        <v>Organ Man</v>
      </c>
      <c r="FP26" s="328"/>
      <c r="FQ26" s="327" t="str">
        <f t="shared" si="126"/>
        <v>Organ Man</v>
      </c>
      <c r="FR26" s="328"/>
      <c r="FS26" s="327" t="str">
        <f t="shared" si="127"/>
        <v>Organ Man</v>
      </c>
      <c r="FT26" s="328"/>
      <c r="FU26" s="327" t="str">
        <f t="shared" si="128"/>
        <v>Organ Man</v>
      </c>
      <c r="FV26" s="328"/>
      <c r="FW26" s="327" t="str">
        <f t="shared" si="129"/>
        <v>Organ Man</v>
      </c>
      <c r="FX26" s="328"/>
      <c r="FY26" s="320" t="s">
        <v>342</v>
      </c>
      <c r="FZ26" s="310">
        <f t="shared" ref="FZ26" si="348">IF(AND(GA26="",GC26="",GE26="",GG26="",GI26=""),"",COUNTA(GA26:GJ26)*50)</f>
        <v>250</v>
      </c>
      <c r="GA26" s="327" t="str">
        <f>'Gen CP'!L27</f>
        <v>Kom Pan</v>
      </c>
      <c r="GB26" s="328"/>
      <c r="GC26" s="327" t="str">
        <f t="shared" si="130"/>
        <v>Kom Pan</v>
      </c>
      <c r="GD26" s="328"/>
      <c r="GE26" s="327" t="str">
        <f t="shared" si="131"/>
        <v>Kom Pan</v>
      </c>
      <c r="GF26" s="328"/>
      <c r="GG26" s="327" t="str">
        <f t="shared" si="132"/>
        <v>Kom Pan</v>
      </c>
      <c r="GH26" s="328"/>
      <c r="GI26" s="327" t="str">
        <f t="shared" si="133"/>
        <v>Kom Pan</v>
      </c>
      <c r="GJ26" s="328"/>
      <c r="GK26" s="320" t="s">
        <v>342</v>
      </c>
      <c r="GL26" s="310">
        <f t="shared" ref="GL26" si="349">IF(AND(GM26="",GO26="",GQ26="",GS26="",GU26=""),"",COUNTA(GM26:GV26)*50)</f>
        <v>250</v>
      </c>
      <c r="GM26" s="327" t="s">
        <v>199</v>
      </c>
      <c r="GN26" s="328"/>
      <c r="GO26" s="327" t="str">
        <f t="shared" si="203"/>
        <v>World Religions</v>
      </c>
      <c r="GP26" s="328"/>
      <c r="GQ26" s="327" t="str">
        <f t="shared" si="204"/>
        <v>World Religions</v>
      </c>
      <c r="GR26" s="328"/>
      <c r="GS26" s="327" t="str">
        <f t="shared" si="205"/>
        <v>World Religions</v>
      </c>
      <c r="GT26" s="328"/>
      <c r="GU26" s="327" t="str">
        <f t="shared" si="206"/>
        <v>World Religions</v>
      </c>
      <c r="GV26" s="328"/>
      <c r="GW26" s="320" t="s">
        <v>342</v>
      </c>
      <c r="GX26" s="310">
        <f t="shared" ref="GX26" si="350">IF(AND(GY26="",HA26="",HC26="",HE26="",HG26=""),"",COUNTA(GY26:HH26)*50)</f>
        <v>250</v>
      </c>
      <c r="GY26" s="327" t="s">
        <v>313</v>
      </c>
      <c r="GZ26" s="328"/>
      <c r="HA26" s="327" t="str">
        <f t="shared" si="134"/>
        <v>MIL</v>
      </c>
      <c r="HB26" s="328"/>
      <c r="HC26" s="327" t="str">
        <f t="shared" si="135"/>
        <v>MIL</v>
      </c>
      <c r="HD26" s="328"/>
      <c r="HE26" s="327" t="str">
        <f t="shared" si="136"/>
        <v>MIL</v>
      </c>
      <c r="HF26" s="328"/>
      <c r="HG26" s="327" t="str">
        <f t="shared" si="137"/>
        <v>MIL</v>
      </c>
      <c r="HH26" s="328"/>
      <c r="HI26" s="320" t="s">
        <v>342</v>
      </c>
      <c r="HJ26" s="310">
        <f t="shared" ref="HJ26" si="351">IF(AND(HK26="",HM26="",HO26="",HQ26="",HS26=""),"",COUNTA(HK26:HT26)*50)</f>
        <v>250</v>
      </c>
      <c r="HK26" s="327" t="s">
        <v>311</v>
      </c>
      <c r="HL26" s="328"/>
      <c r="HM26" s="327" t="str">
        <f t="shared" si="138"/>
        <v>Emp Tech</v>
      </c>
      <c r="HN26" s="328"/>
      <c r="HO26" s="327" t="str">
        <f t="shared" si="139"/>
        <v>Emp Tech</v>
      </c>
      <c r="HP26" s="328"/>
      <c r="HQ26" s="327" t="str">
        <f t="shared" si="140"/>
        <v>Emp Tech</v>
      </c>
      <c r="HR26" s="328"/>
      <c r="HS26" s="327" t="str">
        <f t="shared" si="141"/>
        <v>Emp Tech</v>
      </c>
      <c r="HT26" s="328"/>
      <c r="HU26" s="320" t="s">
        <v>342</v>
      </c>
      <c r="HV26" s="310">
        <f t="shared" ref="HV26" si="352">IF(AND(HW26="",HY26="",IA26="",IC26="",IE26=""),"",COUNTA(HW26:IF26)*50)</f>
        <v>250</v>
      </c>
      <c r="HW26" s="327" t="s">
        <v>150</v>
      </c>
      <c r="HX26" s="328"/>
      <c r="HY26" s="327" t="str">
        <f t="shared" si="142"/>
        <v>Gen Math</v>
      </c>
      <c r="HZ26" s="328"/>
      <c r="IA26" s="327" t="str">
        <f t="shared" si="143"/>
        <v>Gen Math</v>
      </c>
      <c r="IB26" s="328"/>
      <c r="IC26" s="327" t="str">
        <f t="shared" si="144"/>
        <v>Gen Math</v>
      </c>
      <c r="ID26" s="328"/>
      <c r="IE26" s="327" t="str">
        <f t="shared" si="145"/>
        <v>Gen Math</v>
      </c>
      <c r="IF26" s="328"/>
      <c r="IG26" s="320" t="s">
        <v>342</v>
      </c>
      <c r="IH26" s="310">
        <f t="shared" ref="IH26" si="353">IF(AND(II26="",IK26="",IM26="",IO26="",IQ26=""),"",COUNTA(II26:IR26)*50)</f>
        <v>250</v>
      </c>
      <c r="II26" s="327" t="s">
        <v>141</v>
      </c>
      <c r="IJ26" s="328"/>
      <c r="IK26" s="327" t="str">
        <f t="shared" si="146"/>
        <v>DIASS</v>
      </c>
      <c r="IL26" s="328"/>
      <c r="IM26" s="327" t="str">
        <f t="shared" si="147"/>
        <v>DIASS</v>
      </c>
      <c r="IN26" s="328"/>
      <c r="IO26" s="327" t="str">
        <f t="shared" si="148"/>
        <v>DIASS</v>
      </c>
      <c r="IP26" s="328"/>
      <c r="IQ26" s="327" t="str">
        <f t="shared" si="149"/>
        <v>DIASS</v>
      </c>
      <c r="IR26" s="328"/>
      <c r="IS26" s="320" t="s">
        <v>342</v>
      </c>
      <c r="IT26" s="310" t="str">
        <f t="shared" ref="IT26" si="354">IF(AND(IU26="",IW26="",IY26="",JA26="",JC26=""),"",COUNTA(IU26:JD26)*50)</f>
        <v/>
      </c>
      <c r="IU26" s="327"/>
      <c r="IV26" s="328"/>
      <c r="IW26" s="327" t="str">
        <f t="shared" si="150"/>
        <v/>
      </c>
      <c r="IX26" s="328"/>
      <c r="IY26" s="327" t="str">
        <f t="shared" si="151"/>
        <v/>
      </c>
      <c r="IZ26" s="328"/>
      <c r="JA26" s="327" t="str">
        <f t="shared" si="152"/>
        <v/>
      </c>
      <c r="JB26" s="328"/>
      <c r="JC26" s="327" t="str">
        <f t="shared" si="153"/>
        <v/>
      </c>
      <c r="JD26" s="328"/>
      <c r="JE26" s="320" t="s">
        <v>342</v>
      </c>
      <c r="JF26" s="310">
        <f t="shared" ref="JF26" si="355">IF(AND(JG26="",JI26="",JK26="",JM26="",JO26=""),"",COUNTA(JG26:JP26)*50)</f>
        <v>250</v>
      </c>
      <c r="JG26" s="327" t="s">
        <v>132</v>
      </c>
      <c r="JH26" s="328"/>
      <c r="JI26" s="327" t="str">
        <f t="shared" si="249"/>
        <v>Piling Larang</v>
      </c>
      <c r="JJ26" s="328"/>
      <c r="JK26" s="327" t="str">
        <f t="shared" si="213"/>
        <v>Piling Larang</v>
      </c>
      <c r="JL26" s="328"/>
      <c r="JM26" s="327" t="str">
        <f t="shared" si="250"/>
        <v>Piling Larang</v>
      </c>
      <c r="JN26" s="328"/>
      <c r="JO26" s="327" t="str">
        <f t="shared" si="214"/>
        <v>Piling Larang</v>
      </c>
      <c r="JP26" s="328"/>
      <c r="JQ26" s="320" t="s">
        <v>342</v>
      </c>
      <c r="JR26" s="310">
        <f t="shared" ref="JR26" si="356">IF(AND(JS26="",JU26="",JW26="",JY26="",KA26=""),"",COUNTA(JS26:KB26)*50)</f>
        <v>250</v>
      </c>
      <c r="JS26" s="327" t="str">
        <f>'Gen CP'!C27</f>
        <v>Earth &amp; Life</v>
      </c>
      <c r="JT26" s="328"/>
      <c r="JU26" s="327" t="str">
        <f t="shared" si="154"/>
        <v>Earth &amp; Life</v>
      </c>
      <c r="JV26" s="328"/>
      <c r="JW26" s="327" t="str">
        <f t="shared" si="155"/>
        <v>Earth &amp; Life</v>
      </c>
      <c r="JX26" s="328"/>
      <c r="JY26" s="327" t="str">
        <f t="shared" si="156"/>
        <v>Earth &amp; Life</v>
      </c>
      <c r="JZ26" s="328"/>
      <c r="KA26" s="327" t="str">
        <f t="shared" si="157"/>
        <v>Earth &amp; Life</v>
      </c>
      <c r="KB26" s="328"/>
      <c r="KC26" s="320" t="s">
        <v>342</v>
      </c>
      <c r="KD26" s="310" t="str">
        <f t="shared" ref="KD26" si="357">IF(AND(KE26="",KG26="",KI26="",KK26="",KM26=""),"",COUNTA(KE26:KN26)*50)</f>
        <v/>
      </c>
      <c r="KE26" s="327"/>
      <c r="KF26" s="328"/>
      <c r="KG26" s="327" t="str">
        <f t="shared" si="158"/>
        <v/>
      </c>
      <c r="KH26" s="328"/>
      <c r="KI26" s="327" t="str">
        <f t="shared" si="159"/>
        <v/>
      </c>
      <c r="KJ26" s="328"/>
      <c r="KK26" s="327" t="str">
        <f t="shared" si="160"/>
        <v/>
      </c>
      <c r="KL26" s="328"/>
      <c r="KM26" s="327" t="str">
        <f t="shared" si="161"/>
        <v/>
      </c>
      <c r="KN26" s="328"/>
      <c r="KO26" s="320" t="s">
        <v>342</v>
      </c>
      <c r="KP26" s="310">
        <f t="shared" ref="KP26" si="358">IF(AND(KQ26="",KS26="",KU26="",KW26="",KY26=""),"",COUNTA(KQ26:KZ26)*50)</f>
        <v>250</v>
      </c>
      <c r="KQ26" s="335" t="str">
        <f>'Gen CP'!E70</f>
        <v>Creative Non-Fiction</v>
      </c>
      <c r="KR26" s="336"/>
      <c r="KS26" s="335" t="str">
        <f t="shared" si="162"/>
        <v>Creative Non-Fiction</v>
      </c>
      <c r="KT26" s="336"/>
      <c r="KU26" s="335" t="str">
        <f t="shared" si="163"/>
        <v>Creative Non-Fiction</v>
      </c>
      <c r="KV26" s="336"/>
      <c r="KW26" s="335" t="str">
        <f t="shared" si="164"/>
        <v>Creative Non-Fiction</v>
      </c>
      <c r="KX26" s="336"/>
      <c r="KY26" s="335" t="str">
        <f t="shared" si="165"/>
        <v>Creative Non-Fiction</v>
      </c>
      <c r="KZ26" s="336"/>
      <c r="LA26" s="320" t="s">
        <v>342</v>
      </c>
      <c r="LB26" s="310" t="str">
        <f t="shared" ref="LB26" si="359">IF(AND(LC26="",LE26="",LG26="",LI26="",LK26=""),"",COUNTA(LC26:LL26)*50)</f>
        <v/>
      </c>
      <c r="LC26" s="327"/>
      <c r="LD26" s="328"/>
      <c r="LE26" s="327" t="str">
        <f t="shared" si="166"/>
        <v/>
      </c>
      <c r="LF26" s="328"/>
      <c r="LG26" s="327" t="str">
        <f t="shared" si="167"/>
        <v/>
      </c>
      <c r="LH26" s="328"/>
      <c r="LI26" s="327" t="str">
        <f t="shared" si="52"/>
        <v/>
      </c>
      <c r="LJ26" s="328"/>
      <c r="LK26" s="327" t="str">
        <f t="shared" si="53"/>
        <v/>
      </c>
      <c r="LL26" s="328"/>
      <c r="LM26" s="320" t="s">
        <v>342</v>
      </c>
      <c r="LN26" s="310" t="str">
        <f t="shared" ref="LN26" si="360">IF(AND(LO26="",LQ26="",LS26="",LU26="",LW26=""),"",COUNTA(LO26:LX26)*50)</f>
        <v/>
      </c>
      <c r="LO26" s="327"/>
      <c r="LP26" s="328"/>
      <c r="LQ26" s="327" t="str">
        <f t="shared" si="168"/>
        <v/>
      </c>
      <c r="LR26" s="328"/>
      <c r="LS26" s="327" t="str">
        <f t="shared" si="169"/>
        <v/>
      </c>
      <c r="LT26" s="328"/>
      <c r="LU26" s="327" t="str">
        <f t="shared" si="54"/>
        <v/>
      </c>
      <c r="LV26" s="328"/>
      <c r="LW26" s="327" t="str">
        <f t="shared" si="55"/>
        <v/>
      </c>
      <c r="LX26" s="328"/>
      <c r="LY26" s="320" t="s">
        <v>342</v>
      </c>
      <c r="LZ26" s="310" t="str">
        <f t="shared" ref="LZ26" si="361">IF(AND(MA26="",MC26="",ME26="",MG26="",MI26=""),"",COUNTA(MA26:MJ26)*50)</f>
        <v/>
      </c>
      <c r="MA26" s="327"/>
      <c r="MB26" s="328"/>
      <c r="MC26" s="327" t="str">
        <f t="shared" si="170"/>
        <v/>
      </c>
      <c r="MD26" s="328"/>
      <c r="ME26" s="327" t="str">
        <f t="shared" si="171"/>
        <v/>
      </c>
      <c r="MF26" s="328"/>
      <c r="MG26" s="327" t="str">
        <f t="shared" si="56"/>
        <v/>
      </c>
      <c r="MH26" s="328"/>
      <c r="MI26" s="327" t="str">
        <f t="shared" si="57"/>
        <v/>
      </c>
      <c r="MJ26" s="328"/>
      <c r="MK26" s="320" t="s">
        <v>342</v>
      </c>
      <c r="ML26" s="310" t="str">
        <f t="shared" ref="ML26" si="362">IF(AND(MM26="",MO26="",MQ26="",MS26="",MU26=""),"",COUNTA(MM26:MV26)*50)</f>
        <v/>
      </c>
      <c r="MM26" s="327"/>
      <c r="MN26" s="328"/>
      <c r="MO26" s="327" t="str">
        <f t="shared" si="172"/>
        <v/>
      </c>
      <c r="MP26" s="328"/>
      <c r="MQ26" s="327" t="str">
        <f t="shared" si="173"/>
        <v/>
      </c>
      <c r="MR26" s="328"/>
      <c r="MS26" s="327" t="str">
        <f t="shared" si="58"/>
        <v/>
      </c>
      <c r="MT26" s="328"/>
      <c r="MU26" s="327" t="str">
        <f t="shared" si="59"/>
        <v/>
      </c>
      <c r="MV26" s="328"/>
      <c r="MW26" s="320" t="s">
        <v>342</v>
      </c>
      <c r="MX26" s="310" t="str">
        <f t="shared" ref="MX26" si="363">IF(AND(MY26="",NA26="",NC26="",NE26="",NG26=""),"",COUNTA(MY26:NH26)*50)</f>
        <v/>
      </c>
      <c r="MY26" s="327"/>
      <c r="MZ26" s="328"/>
      <c r="NA26" s="327" t="str">
        <f t="shared" si="174"/>
        <v/>
      </c>
      <c r="NB26" s="328"/>
      <c r="NC26" s="327" t="str">
        <f t="shared" si="175"/>
        <v/>
      </c>
      <c r="ND26" s="328"/>
      <c r="NE26" s="327" t="str">
        <f t="shared" si="60"/>
        <v/>
      </c>
      <c r="NF26" s="328"/>
      <c r="NG26" s="327" t="str">
        <f t="shared" si="61"/>
        <v/>
      </c>
      <c r="NH26" s="328"/>
      <c r="NI26" s="320" t="s">
        <v>342</v>
      </c>
      <c r="NJ26" s="310" t="str">
        <f t="shared" ref="NJ26" si="364">IF(AND(NK26="",NM26="",NO26="",NQ26="",NS26=""),"",COUNTA(NK26:NT26)*50)</f>
        <v/>
      </c>
      <c r="NK26" s="327"/>
      <c r="NL26" s="328"/>
      <c r="NM26" s="327" t="str">
        <f t="shared" si="176"/>
        <v/>
      </c>
      <c r="NN26" s="328"/>
      <c r="NO26" s="327" t="str">
        <f t="shared" si="177"/>
        <v/>
      </c>
      <c r="NP26" s="328"/>
      <c r="NQ26" s="327" t="str">
        <f t="shared" si="62"/>
        <v/>
      </c>
      <c r="NR26" s="328"/>
      <c r="NS26" s="327" t="str">
        <f t="shared" si="63"/>
        <v/>
      </c>
      <c r="NT26" s="328"/>
      <c r="NU26" s="320" t="s">
        <v>342</v>
      </c>
      <c r="NV26" s="310" t="str">
        <f t="shared" ref="NV26" si="365">IF(AND(NW26="",NY26="",OA26="",OC26="",OE26=""),"",COUNTA(NW26:OF26)*50)</f>
        <v/>
      </c>
      <c r="NW26" s="327"/>
      <c r="NX26" s="328"/>
      <c r="NY26" s="327" t="str">
        <f t="shared" si="178"/>
        <v/>
      </c>
      <c r="NZ26" s="328"/>
      <c r="OA26" s="327" t="str">
        <f t="shared" si="179"/>
        <v/>
      </c>
      <c r="OB26" s="328"/>
      <c r="OC26" s="327" t="str">
        <f t="shared" si="64"/>
        <v/>
      </c>
      <c r="OD26" s="328"/>
      <c r="OE26" s="327" t="str">
        <f t="shared" si="65"/>
        <v/>
      </c>
      <c r="OF26" s="328"/>
      <c r="OG26" s="320" t="s">
        <v>342</v>
      </c>
      <c r="OH26" s="310" t="str">
        <f t="shared" ref="OH26" si="366">IF(AND(OI26="",OK26="",OM26="",OO26="",OQ26=""),"",COUNTA(OI26:OR26)*50)</f>
        <v/>
      </c>
      <c r="OI26" s="327"/>
      <c r="OJ26" s="328"/>
      <c r="OK26" s="327" t="str">
        <f t="shared" si="180"/>
        <v/>
      </c>
      <c r="OL26" s="328"/>
      <c r="OM26" s="327" t="str">
        <f t="shared" si="181"/>
        <v/>
      </c>
      <c r="ON26" s="328"/>
      <c r="OO26" s="327" t="str">
        <f t="shared" si="66"/>
        <v/>
      </c>
      <c r="OP26" s="328"/>
      <c r="OQ26" s="327" t="str">
        <f t="shared" si="67"/>
        <v/>
      </c>
      <c r="OR26" s="328"/>
      <c r="OS26" s="320" t="s">
        <v>342</v>
      </c>
      <c r="OT26" s="310" t="str">
        <f t="shared" ref="OT26" si="367">IF(AND(OU26="",OW26="",OY26="",PA26="",PC26=""),"",COUNTA(OU26:PD26)*50)</f>
        <v/>
      </c>
      <c r="OU26" s="327"/>
      <c r="OV26" s="328"/>
      <c r="OW26" s="327" t="str">
        <f t="shared" si="182"/>
        <v/>
      </c>
      <c r="OX26" s="328"/>
      <c r="OY26" s="327" t="str">
        <f t="shared" si="183"/>
        <v/>
      </c>
      <c r="OZ26" s="328"/>
      <c r="PA26" s="327" t="str">
        <f t="shared" si="68"/>
        <v/>
      </c>
      <c r="PB26" s="328"/>
      <c r="PC26" s="327" t="str">
        <f t="shared" si="69"/>
        <v/>
      </c>
      <c r="PD26" s="328"/>
      <c r="PE26" s="320" t="s">
        <v>342</v>
      </c>
      <c r="PF26" s="310" t="str">
        <f t="shared" ref="PF26" si="368">IF(PG26="","",COUNTA(PG26:PP26)*50)</f>
        <v/>
      </c>
      <c r="PG26" s="327"/>
      <c r="PH26" s="328"/>
      <c r="PI26" s="327" t="str">
        <f t="shared" si="184"/>
        <v/>
      </c>
      <c r="PJ26" s="328"/>
      <c r="PK26" s="327" t="str">
        <f t="shared" si="185"/>
        <v/>
      </c>
      <c r="PL26" s="328"/>
      <c r="PM26" s="327" t="str">
        <f t="shared" si="70"/>
        <v/>
      </c>
      <c r="PN26" s="328"/>
      <c r="PO26" s="327" t="str">
        <f t="shared" si="71"/>
        <v/>
      </c>
      <c r="PP26" s="328"/>
    </row>
    <row r="27" spans="1:432">
      <c r="A27" s="321"/>
      <c r="B27" s="311"/>
      <c r="C27" s="305"/>
      <c r="D27" s="306"/>
      <c r="E27" s="305" t="str">
        <f t="shared" si="186"/>
        <v/>
      </c>
      <c r="F27" s="306"/>
      <c r="G27" s="305" t="str">
        <f t="shared" si="72"/>
        <v/>
      </c>
      <c r="H27" s="306"/>
      <c r="I27" s="305" t="str">
        <f t="shared" si="72"/>
        <v/>
      </c>
      <c r="J27" s="306"/>
      <c r="K27" s="305" t="str">
        <f t="shared" si="73"/>
        <v/>
      </c>
      <c r="L27" s="306"/>
      <c r="M27" s="321"/>
      <c r="N27" s="311"/>
      <c r="O27" s="327" t="s">
        <v>454</v>
      </c>
      <c r="P27" s="328"/>
      <c r="Q27" s="327" t="str">
        <f t="shared" si="74"/>
        <v>11 HumSS B</v>
      </c>
      <c r="R27" s="328"/>
      <c r="S27" s="327" t="str">
        <f t="shared" si="75"/>
        <v>11 HumSS B</v>
      </c>
      <c r="T27" s="328"/>
      <c r="U27" s="327" t="str">
        <f t="shared" si="76"/>
        <v>11 HumSS B</v>
      </c>
      <c r="V27" s="328"/>
      <c r="W27" s="327" t="str">
        <f t="shared" si="77"/>
        <v>11 HumSS B</v>
      </c>
      <c r="X27" s="328"/>
      <c r="Y27" s="321"/>
      <c r="Z27" s="311"/>
      <c r="AA27" s="327" t="s">
        <v>459</v>
      </c>
      <c r="AB27" s="328"/>
      <c r="AC27" s="327" t="str">
        <f t="shared" si="78"/>
        <v>11 AGRI</v>
      </c>
      <c r="AD27" s="328"/>
      <c r="AE27" s="327" t="str">
        <f t="shared" si="79"/>
        <v>11 AGRI</v>
      </c>
      <c r="AF27" s="328"/>
      <c r="AG27" s="327" t="str">
        <f t="shared" si="80"/>
        <v>11 AGRI</v>
      </c>
      <c r="AH27" s="328"/>
      <c r="AI27" s="327" t="str">
        <f t="shared" si="81"/>
        <v>11 AGRI</v>
      </c>
      <c r="AJ27" s="328"/>
      <c r="AK27" s="321"/>
      <c r="AL27" s="311"/>
      <c r="AM27" s="327" t="s">
        <v>463</v>
      </c>
      <c r="AN27" s="328"/>
      <c r="AO27" s="327" t="str">
        <f t="shared" si="82"/>
        <v>11 ICT</v>
      </c>
      <c r="AP27" s="328"/>
      <c r="AQ27" s="327" t="str">
        <f t="shared" si="83"/>
        <v>11 ICT</v>
      </c>
      <c r="AR27" s="328"/>
      <c r="AS27" s="327" t="str">
        <f t="shared" si="84"/>
        <v>11 ICT</v>
      </c>
      <c r="AT27" s="328"/>
      <c r="AU27" s="327" t="str">
        <f t="shared" si="85"/>
        <v>11 ICT</v>
      </c>
      <c r="AV27" s="328"/>
      <c r="AW27" s="321"/>
      <c r="AX27" s="311"/>
      <c r="AY27" s="327" t="s">
        <v>452</v>
      </c>
      <c r="AZ27" s="328"/>
      <c r="BA27" s="327" t="str">
        <f t="shared" si="86"/>
        <v>11 STEM</v>
      </c>
      <c r="BB27" s="328"/>
      <c r="BC27" s="327" t="str">
        <f t="shared" si="87"/>
        <v>11 STEM</v>
      </c>
      <c r="BD27" s="328"/>
      <c r="BE27" s="327" t="str">
        <f t="shared" si="88"/>
        <v>11 STEM</v>
      </c>
      <c r="BF27" s="328"/>
      <c r="BG27" s="327" t="str">
        <f t="shared" si="89"/>
        <v>11 STEM</v>
      </c>
      <c r="BH27" s="328"/>
      <c r="BI27" s="321"/>
      <c r="BJ27" s="311"/>
      <c r="BK27" s="327" t="s">
        <v>489</v>
      </c>
      <c r="BL27" s="328"/>
      <c r="BM27" s="327" t="str">
        <f t="shared" si="90"/>
        <v>12 HumSS D</v>
      </c>
      <c r="BN27" s="328"/>
      <c r="BO27" s="327" t="str">
        <f t="shared" si="91"/>
        <v>12 HumSS D</v>
      </c>
      <c r="BP27" s="328"/>
      <c r="BQ27" s="327" t="str">
        <f t="shared" si="92"/>
        <v>12 HumSS D</v>
      </c>
      <c r="BR27" s="328"/>
      <c r="BS27" s="327" t="str">
        <f t="shared" si="93"/>
        <v>12 HumSS D</v>
      </c>
      <c r="BT27" s="328"/>
      <c r="BU27" s="321"/>
      <c r="BV27" s="311"/>
      <c r="BW27" s="327" t="s">
        <v>451</v>
      </c>
      <c r="BX27" s="328"/>
      <c r="BY27" s="327" t="str">
        <f t="shared" si="94"/>
        <v>11 HumSS C</v>
      </c>
      <c r="BZ27" s="328"/>
      <c r="CA27" s="327" t="str">
        <f t="shared" si="95"/>
        <v>11 HumSS C</v>
      </c>
      <c r="CB27" s="328"/>
      <c r="CC27" s="327" t="str">
        <f t="shared" si="96"/>
        <v>11 HumSS C</v>
      </c>
      <c r="CD27" s="328"/>
      <c r="CE27" s="327" t="str">
        <f t="shared" si="97"/>
        <v>11 HumSS C</v>
      </c>
      <c r="CF27" s="328"/>
      <c r="CG27" s="321"/>
      <c r="CH27" s="311"/>
      <c r="CI27" s="327" t="s">
        <v>463</v>
      </c>
      <c r="CJ27" s="328"/>
      <c r="CK27" s="327" t="str">
        <f t="shared" si="98"/>
        <v>11 ICT</v>
      </c>
      <c r="CL27" s="328"/>
      <c r="CM27" s="327" t="str">
        <f t="shared" si="99"/>
        <v>11 ICT</v>
      </c>
      <c r="CN27" s="328"/>
      <c r="CO27" s="327" t="str">
        <f t="shared" si="100"/>
        <v>11 ICT</v>
      </c>
      <c r="CP27" s="328"/>
      <c r="CQ27" s="327" t="str">
        <f t="shared" si="101"/>
        <v>11 ICT</v>
      </c>
      <c r="CR27" s="328"/>
      <c r="CS27" s="321"/>
      <c r="CT27" s="311"/>
      <c r="CU27" s="327" t="s">
        <v>461</v>
      </c>
      <c r="CV27" s="328"/>
      <c r="CW27" s="327" t="str">
        <f t="shared" si="102"/>
        <v>11 SMAW</v>
      </c>
      <c r="CX27" s="328"/>
      <c r="CY27" s="327" t="str">
        <f t="shared" si="103"/>
        <v>11 SMAW</v>
      </c>
      <c r="CZ27" s="328"/>
      <c r="DA27" s="327" t="str">
        <f t="shared" si="104"/>
        <v>11 SMAW</v>
      </c>
      <c r="DB27" s="328"/>
      <c r="DC27" s="327" t="str">
        <f t="shared" si="105"/>
        <v>11 SMAW</v>
      </c>
      <c r="DD27" s="328"/>
      <c r="DE27" s="321"/>
      <c r="DF27" s="311"/>
      <c r="DG27" s="327" t="s">
        <v>495</v>
      </c>
      <c r="DH27" s="328"/>
      <c r="DI27" s="327" t="str">
        <f t="shared" si="106"/>
        <v>12 GAS</v>
      </c>
      <c r="DJ27" s="328"/>
      <c r="DK27" s="327" t="str">
        <f t="shared" si="107"/>
        <v>12 GAS</v>
      </c>
      <c r="DL27" s="328"/>
      <c r="DM27" s="327" t="str">
        <f t="shared" si="108"/>
        <v>12 GAS</v>
      </c>
      <c r="DN27" s="328"/>
      <c r="DO27" s="327" t="str">
        <f t="shared" si="109"/>
        <v>12 GAS</v>
      </c>
      <c r="DP27" s="328"/>
      <c r="DQ27" s="321"/>
      <c r="DR27" s="311"/>
      <c r="DS27" s="327" t="s">
        <v>499</v>
      </c>
      <c r="DT27" s="328"/>
      <c r="DU27" s="327" t="str">
        <f t="shared" si="110"/>
        <v>12 Cookery</v>
      </c>
      <c r="DV27" s="328"/>
      <c r="DW27" s="327" t="str">
        <f t="shared" si="111"/>
        <v>12 Cookery</v>
      </c>
      <c r="DX27" s="328"/>
      <c r="DY27" s="327" t="str">
        <f t="shared" si="112"/>
        <v>12 Cookery</v>
      </c>
      <c r="DZ27" s="328"/>
      <c r="EA27" s="327" t="str">
        <f t="shared" si="113"/>
        <v>12 Cookery</v>
      </c>
      <c r="EB27" s="328"/>
      <c r="EC27" s="321"/>
      <c r="ED27" s="311"/>
      <c r="EE27" s="327" t="s">
        <v>492</v>
      </c>
      <c r="EF27" s="328"/>
      <c r="EG27" s="327" t="str">
        <f t="shared" si="114"/>
        <v>12 SMAW</v>
      </c>
      <c r="EH27" s="328"/>
      <c r="EI27" s="327" t="str">
        <f t="shared" si="115"/>
        <v>12 SMAW</v>
      </c>
      <c r="EJ27" s="328"/>
      <c r="EK27" s="327" t="str">
        <f t="shared" si="116"/>
        <v>12 SMAW</v>
      </c>
      <c r="EL27" s="328"/>
      <c r="EM27" s="327" t="str">
        <f t="shared" si="117"/>
        <v>12 SMAW</v>
      </c>
      <c r="EN27" s="328"/>
      <c r="EO27" s="321"/>
      <c r="EP27" s="311"/>
      <c r="EQ27" s="339" t="s">
        <v>463</v>
      </c>
      <c r="ER27" s="340"/>
      <c r="ES27" s="339" t="str">
        <f t="shared" si="118"/>
        <v>11 ICT</v>
      </c>
      <c r="ET27" s="340"/>
      <c r="EU27" s="339" t="str">
        <f t="shared" si="119"/>
        <v>11 ICT</v>
      </c>
      <c r="EV27" s="340"/>
      <c r="EW27" s="339" t="str">
        <f t="shared" si="120"/>
        <v>11 ICT</v>
      </c>
      <c r="EX27" s="340"/>
      <c r="EY27" s="339" t="str">
        <f t="shared" si="121"/>
        <v>11 ICT</v>
      </c>
      <c r="EZ27" s="340"/>
      <c r="FA27" s="321"/>
      <c r="FB27" s="311"/>
      <c r="FC27" s="327" t="s">
        <v>485</v>
      </c>
      <c r="FD27" s="328"/>
      <c r="FE27" s="327" t="str">
        <f t="shared" si="122"/>
        <v>12 STEM</v>
      </c>
      <c r="FF27" s="328"/>
      <c r="FG27" s="327" t="str">
        <f t="shared" si="123"/>
        <v>12 STEM</v>
      </c>
      <c r="FH27" s="328"/>
      <c r="FI27" s="327" t="str">
        <f t="shared" si="124"/>
        <v>12 STEM</v>
      </c>
      <c r="FJ27" s="328"/>
      <c r="FK27" s="327" t="str">
        <f t="shared" si="125"/>
        <v>12 STEM</v>
      </c>
      <c r="FL27" s="328"/>
      <c r="FM27" s="321"/>
      <c r="FN27" s="311"/>
      <c r="FO27" s="327" t="s">
        <v>465</v>
      </c>
      <c r="FP27" s="328"/>
      <c r="FQ27" s="327" t="str">
        <f t="shared" si="126"/>
        <v>11 GAS</v>
      </c>
      <c r="FR27" s="328"/>
      <c r="FS27" s="327" t="str">
        <f t="shared" si="127"/>
        <v>11 GAS</v>
      </c>
      <c r="FT27" s="328"/>
      <c r="FU27" s="327" t="str">
        <f t="shared" si="128"/>
        <v>11 GAS</v>
      </c>
      <c r="FV27" s="328"/>
      <c r="FW27" s="327" t="str">
        <f t="shared" si="129"/>
        <v>11 GAS</v>
      </c>
      <c r="FX27" s="328"/>
      <c r="FY27" s="321"/>
      <c r="FZ27" s="311"/>
      <c r="GA27" s="327" t="s">
        <v>498</v>
      </c>
      <c r="GB27" s="328"/>
      <c r="GC27" s="327" t="str">
        <f t="shared" si="130"/>
        <v>11 Cookery</v>
      </c>
      <c r="GD27" s="328"/>
      <c r="GE27" s="327" t="str">
        <f t="shared" si="131"/>
        <v>11 Cookery</v>
      </c>
      <c r="GF27" s="328"/>
      <c r="GG27" s="327" t="str">
        <f t="shared" si="132"/>
        <v>11 Cookery</v>
      </c>
      <c r="GH27" s="328"/>
      <c r="GI27" s="327" t="str">
        <f t="shared" si="133"/>
        <v>11 Cookery</v>
      </c>
      <c r="GJ27" s="328"/>
      <c r="GK27" s="321"/>
      <c r="GL27" s="311"/>
      <c r="GM27" s="327" t="s">
        <v>487</v>
      </c>
      <c r="GN27" s="328"/>
      <c r="GO27" s="327" t="str">
        <f t="shared" si="203"/>
        <v>12 HumSS B</v>
      </c>
      <c r="GP27" s="328"/>
      <c r="GQ27" s="327" t="str">
        <f t="shared" si="204"/>
        <v>12 HumSS B</v>
      </c>
      <c r="GR27" s="328"/>
      <c r="GS27" s="327" t="str">
        <f t="shared" si="205"/>
        <v>12 HumSS B</v>
      </c>
      <c r="GT27" s="328"/>
      <c r="GU27" s="327" t="str">
        <f t="shared" si="206"/>
        <v>12 HumSS B</v>
      </c>
      <c r="GV27" s="328"/>
      <c r="GW27" s="321"/>
      <c r="GX27" s="311"/>
      <c r="GY27" s="327" t="s">
        <v>494</v>
      </c>
      <c r="GZ27" s="328"/>
      <c r="HA27" s="327" t="str">
        <f t="shared" si="134"/>
        <v>12 ICT</v>
      </c>
      <c r="HB27" s="328"/>
      <c r="HC27" s="327" t="str">
        <f t="shared" si="135"/>
        <v>12 ICT</v>
      </c>
      <c r="HD27" s="328"/>
      <c r="HE27" s="327" t="str">
        <f t="shared" si="136"/>
        <v>12 ICT</v>
      </c>
      <c r="HF27" s="328"/>
      <c r="HG27" s="327" t="str">
        <f t="shared" si="137"/>
        <v>12 ICT</v>
      </c>
      <c r="HH27" s="328"/>
      <c r="HI27" s="321"/>
      <c r="HJ27" s="311"/>
      <c r="HK27" s="327" t="s">
        <v>497</v>
      </c>
      <c r="HL27" s="328"/>
      <c r="HM27" s="327" t="str">
        <f t="shared" si="138"/>
        <v>11 HumSS D</v>
      </c>
      <c r="HN27" s="328"/>
      <c r="HO27" s="327" t="str">
        <f t="shared" si="139"/>
        <v>11 HumSS D</v>
      </c>
      <c r="HP27" s="328"/>
      <c r="HQ27" s="327" t="str">
        <f t="shared" si="140"/>
        <v>11 HumSS D</v>
      </c>
      <c r="HR27" s="328"/>
      <c r="HS27" s="327" t="str">
        <f t="shared" si="141"/>
        <v>11 HumSS D</v>
      </c>
      <c r="HT27" s="328"/>
      <c r="HU27" s="321"/>
      <c r="HV27" s="311"/>
      <c r="HW27" s="327" t="s">
        <v>457</v>
      </c>
      <c r="HX27" s="328"/>
      <c r="HY27" s="327" t="str">
        <f t="shared" si="142"/>
        <v>11 HumSS E</v>
      </c>
      <c r="HZ27" s="328"/>
      <c r="IA27" s="327" t="str">
        <f t="shared" si="143"/>
        <v>11 HumSS E</v>
      </c>
      <c r="IB27" s="328"/>
      <c r="IC27" s="327" t="str">
        <f t="shared" si="144"/>
        <v>11 HumSS E</v>
      </c>
      <c r="ID27" s="328"/>
      <c r="IE27" s="327" t="str">
        <f t="shared" si="145"/>
        <v>11 HumSS E</v>
      </c>
      <c r="IF27" s="328"/>
      <c r="IG27" s="321"/>
      <c r="IH27" s="311"/>
      <c r="II27" s="327" t="s">
        <v>486</v>
      </c>
      <c r="IJ27" s="328"/>
      <c r="IK27" s="327" t="str">
        <f t="shared" si="146"/>
        <v>12 HumSS A</v>
      </c>
      <c r="IL27" s="328"/>
      <c r="IM27" s="327" t="str">
        <f t="shared" si="147"/>
        <v>12 HumSS A</v>
      </c>
      <c r="IN27" s="328"/>
      <c r="IO27" s="327" t="str">
        <f t="shared" si="148"/>
        <v>12 HumSS A</v>
      </c>
      <c r="IP27" s="328"/>
      <c r="IQ27" s="327" t="str">
        <f t="shared" si="149"/>
        <v>12 HumSS A</v>
      </c>
      <c r="IR27" s="328"/>
      <c r="IS27" s="321"/>
      <c r="IT27" s="311"/>
      <c r="IU27" s="327"/>
      <c r="IV27" s="328"/>
      <c r="IW27" s="327" t="str">
        <f t="shared" si="150"/>
        <v/>
      </c>
      <c r="IX27" s="328"/>
      <c r="IY27" s="327" t="str">
        <f t="shared" si="151"/>
        <v/>
      </c>
      <c r="IZ27" s="328"/>
      <c r="JA27" s="327" t="str">
        <f t="shared" si="152"/>
        <v/>
      </c>
      <c r="JB27" s="328"/>
      <c r="JC27" s="327" t="str">
        <f t="shared" si="153"/>
        <v/>
      </c>
      <c r="JD27" s="328"/>
      <c r="JE27" s="321"/>
      <c r="JF27" s="311"/>
      <c r="JG27" s="327" t="s">
        <v>490</v>
      </c>
      <c r="JH27" s="328"/>
      <c r="JI27" s="327" t="str">
        <f t="shared" si="249"/>
        <v>12 AGRI</v>
      </c>
      <c r="JJ27" s="328"/>
      <c r="JK27" s="327" t="str">
        <f t="shared" si="213"/>
        <v>12 AGRI</v>
      </c>
      <c r="JL27" s="328"/>
      <c r="JM27" s="327" t="str">
        <f t="shared" si="250"/>
        <v>12 AGRI</v>
      </c>
      <c r="JN27" s="328"/>
      <c r="JO27" s="327" t="str">
        <f t="shared" si="214"/>
        <v>12 AGRI</v>
      </c>
      <c r="JP27" s="328"/>
      <c r="JQ27" s="321"/>
      <c r="JR27" s="311"/>
      <c r="JS27" s="327" t="s">
        <v>453</v>
      </c>
      <c r="JT27" s="328"/>
      <c r="JU27" s="327" t="str">
        <f t="shared" si="154"/>
        <v>11 HumSS A</v>
      </c>
      <c r="JV27" s="328"/>
      <c r="JW27" s="327" t="str">
        <f t="shared" si="155"/>
        <v>11 HumSS A</v>
      </c>
      <c r="JX27" s="328"/>
      <c r="JY27" s="327" t="str">
        <f t="shared" si="156"/>
        <v>11 HumSS A</v>
      </c>
      <c r="JZ27" s="328"/>
      <c r="KA27" s="327" t="str">
        <f t="shared" si="157"/>
        <v>11 HumSS A</v>
      </c>
      <c r="KB27" s="328"/>
      <c r="KC27" s="321"/>
      <c r="KD27" s="311"/>
      <c r="KE27" s="327"/>
      <c r="KF27" s="328"/>
      <c r="KG27" s="327" t="str">
        <f t="shared" si="158"/>
        <v/>
      </c>
      <c r="KH27" s="328"/>
      <c r="KI27" s="327" t="str">
        <f t="shared" si="159"/>
        <v/>
      </c>
      <c r="KJ27" s="328"/>
      <c r="KK27" s="327" t="str">
        <f t="shared" si="160"/>
        <v/>
      </c>
      <c r="KL27" s="328"/>
      <c r="KM27" s="327" t="str">
        <f t="shared" si="161"/>
        <v/>
      </c>
      <c r="KN27" s="328"/>
      <c r="KO27" s="321"/>
      <c r="KP27" s="311"/>
      <c r="KQ27" s="327" t="s">
        <v>488</v>
      </c>
      <c r="KR27" s="328"/>
      <c r="KS27" s="327" t="str">
        <f t="shared" si="162"/>
        <v>12 HumSS C</v>
      </c>
      <c r="KT27" s="328"/>
      <c r="KU27" s="327" t="str">
        <f t="shared" si="163"/>
        <v>12 HumSS C</v>
      </c>
      <c r="KV27" s="328"/>
      <c r="KW27" s="327" t="str">
        <f t="shared" si="164"/>
        <v>12 HumSS C</v>
      </c>
      <c r="KX27" s="328"/>
      <c r="KY27" s="327" t="str">
        <f t="shared" si="165"/>
        <v>12 HumSS C</v>
      </c>
      <c r="KZ27" s="328"/>
      <c r="LA27" s="321"/>
      <c r="LB27" s="311"/>
      <c r="LC27" s="327"/>
      <c r="LD27" s="328"/>
      <c r="LE27" s="327" t="str">
        <f t="shared" si="166"/>
        <v/>
      </c>
      <c r="LF27" s="328"/>
      <c r="LG27" s="327" t="str">
        <f t="shared" si="167"/>
        <v/>
      </c>
      <c r="LH27" s="328"/>
      <c r="LI27" s="327" t="str">
        <f t="shared" si="52"/>
        <v/>
      </c>
      <c r="LJ27" s="328"/>
      <c r="LK27" s="327" t="str">
        <f t="shared" si="53"/>
        <v/>
      </c>
      <c r="LL27" s="328"/>
      <c r="LM27" s="321"/>
      <c r="LN27" s="311"/>
      <c r="LO27" s="327"/>
      <c r="LP27" s="328"/>
      <c r="LQ27" s="327" t="str">
        <f t="shared" si="168"/>
        <v/>
      </c>
      <c r="LR27" s="328"/>
      <c r="LS27" s="327" t="str">
        <f t="shared" si="169"/>
        <v/>
      </c>
      <c r="LT27" s="328"/>
      <c r="LU27" s="327" t="str">
        <f t="shared" si="54"/>
        <v/>
      </c>
      <c r="LV27" s="328"/>
      <c r="LW27" s="327" t="str">
        <f t="shared" si="55"/>
        <v/>
      </c>
      <c r="LX27" s="328"/>
      <c r="LY27" s="321"/>
      <c r="LZ27" s="311"/>
      <c r="MA27" s="327"/>
      <c r="MB27" s="328"/>
      <c r="MC27" s="327" t="str">
        <f t="shared" si="170"/>
        <v/>
      </c>
      <c r="MD27" s="328"/>
      <c r="ME27" s="327" t="str">
        <f t="shared" si="171"/>
        <v/>
      </c>
      <c r="MF27" s="328"/>
      <c r="MG27" s="327" t="str">
        <f t="shared" si="56"/>
        <v/>
      </c>
      <c r="MH27" s="328"/>
      <c r="MI27" s="327" t="str">
        <f t="shared" si="57"/>
        <v/>
      </c>
      <c r="MJ27" s="328"/>
      <c r="MK27" s="321"/>
      <c r="ML27" s="311"/>
      <c r="MM27" s="327"/>
      <c r="MN27" s="328"/>
      <c r="MO27" s="327" t="str">
        <f t="shared" si="172"/>
        <v/>
      </c>
      <c r="MP27" s="328"/>
      <c r="MQ27" s="327" t="str">
        <f t="shared" si="173"/>
        <v/>
      </c>
      <c r="MR27" s="328"/>
      <c r="MS27" s="327" t="str">
        <f t="shared" si="58"/>
        <v/>
      </c>
      <c r="MT27" s="328"/>
      <c r="MU27" s="327" t="str">
        <f t="shared" si="59"/>
        <v/>
      </c>
      <c r="MV27" s="328"/>
      <c r="MW27" s="321"/>
      <c r="MX27" s="311"/>
      <c r="MY27" s="327"/>
      <c r="MZ27" s="328"/>
      <c r="NA27" s="327" t="str">
        <f t="shared" si="174"/>
        <v/>
      </c>
      <c r="NB27" s="328"/>
      <c r="NC27" s="327" t="str">
        <f t="shared" si="175"/>
        <v/>
      </c>
      <c r="ND27" s="328"/>
      <c r="NE27" s="327" t="str">
        <f t="shared" si="60"/>
        <v/>
      </c>
      <c r="NF27" s="328"/>
      <c r="NG27" s="327" t="str">
        <f t="shared" si="61"/>
        <v/>
      </c>
      <c r="NH27" s="328"/>
      <c r="NI27" s="321"/>
      <c r="NJ27" s="311"/>
      <c r="NK27" s="327"/>
      <c r="NL27" s="328"/>
      <c r="NM27" s="327" t="str">
        <f t="shared" si="176"/>
        <v/>
      </c>
      <c r="NN27" s="328"/>
      <c r="NO27" s="327" t="str">
        <f t="shared" si="177"/>
        <v/>
      </c>
      <c r="NP27" s="328"/>
      <c r="NQ27" s="327" t="str">
        <f t="shared" si="62"/>
        <v/>
      </c>
      <c r="NR27" s="328"/>
      <c r="NS27" s="327" t="str">
        <f t="shared" si="63"/>
        <v/>
      </c>
      <c r="NT27" s="328"/>
      <c r="NU27" s="321"/>
      <c r="NV27" s="311"/>
      <c r="NW27" s="327"/>
      <c r="NX27" s="328"/>
      <c r="NY27" s="327" t="str">
        <f t="shared" si="178"/>
        <v/>
      </c>
      <c r="NZ27" s="328"/>
      <c r="OA27" s="327" t="str">
        <f t="shared" si="179"/>
        <v/>
      </c>
      <c r="OB27" s="328"/>
      <c r="OC27" s="327" t="str">
        <f t="shared" si="64"/>
        <v/>
      </c>
      <c r="OD27" s="328"/>
      <c r="OE27" s="327" t="str">
        <f t="shared" si="65"/>
        <v/>
      </c>
      <c r="OF27" s="328"/>
      <c r="OG27" s="321"/>
      <c r="OH27" s="311"/>
      <c r="OI27" s="327"/>
      <c r="OJ27" s="328"/>
      <c r="OK27" s="327" t="str">
        <f t="shared" si="180"/>
        <v/>
      </c>
      <c r="OL27" s="328"/>
      <c r="OM27" s="327" t="str">
        <f t="shared" si="181"/>
        <v/>
      </c>
      <c r="ON27" s="328"/>
      <c r="OO27" s="327" t="str">
        <f t="shared" si="66"/>
        <v/>
      </c>
      <c r="OP27" s="328"/>
      <c r="OQ27" s="327" t="str">
        <f t="shared" si="67"/>
        <v/>
      </c>
      <c r="OR27" s="328"/>
      <c r="OS27" s="321"/>
      <c r="OT27" s="311"/>
      <c r="OU27" s="327"/>
      <c r="OV27" s="328"/>
      <c r="OW27" s="327" t="str">
        <f t="shared" si="182"/>
        <v/>
      </c>
      <c r="OX27" s="328"/>
      <c r="OY27" s="327" t="str">
        <f t="shared" si="183"/>
        <v/>
      </c>
      <c r="OZ27" s="328"/>
      <c r="PA27" s="327" t="str">
        <f t="shared" si="68"/>
        <v/>
      </c>
      <c r="PB27" s="328"/>
      <c r="PC27" s="327" t="str">
        <f t="shared" si="69"/>
        <v/>
      </c>
      <c r="PD27" s="328"/>
      <c r="PE27" s="321"/>
      <c r="PF27" s="311"/>
      <c r="PG27" s="327"/>
      <c r="PH27" s="328"/>
      <c r="PI27" s="327" t="str">
        <f t="shared" si="184"/>
        <v/>
      </c>
      <c r="PJ27" s="328"/>
      <c r="PK27" s="327" t="str">
        <f t="shared" si="185"/>
        <v/>
      </c>
      <c r="PL27" s="328"/>
      <c r="PM27" s="327" t="str">
        <f t="shared" si="70"/>
        <v/>
      </c>
      <c r="PN27" s="328"/>
      <c r="PO27" s="327" t="str">
        <f t="shared" si="71"/>
        <v/>
      </c>
      <c r="PP27" s="328"/>
    </row>
    <row r="28" spans="1:432">
      <c r="A28" s="308" t="s">
        <v>518</v>
      </c>
      <c r="B28" s="310">
        <f t="shared" ref="B28" si="369">IF(AND(C28="",E28="",G28="",I28="",K28=""),"",COUNTA(C28:L28)*50)</f>
        <v>250</v>
      </c>
      <c r="C28" s="312" t="str">
        <f>'Gen CP'!D29</f>
        <v>Earth &amp; Life</v>
      </c>
      <c r="D28" s="313"/>
      <c r="E28" s="312" t="str">
        <f t="shared" si="186"/>
        <v>Earth &amp; Life</v>
      </c>
      <c r="F28" s="313"/>
      <c r="G28" s="312" t="str">
        <f t="shared" si="72"/>
        <v>Earth &amp; Life</v>
      </c>
      <c r="H28" s="313"/>
      <c r="I28" s="312" t="str">
        <f t="shared" si="72"/>
        <v>Earth &amp; Life</v>
      </c>
      <c r="J28" s="313"/>
      <c r="K28" s="312" t="str">
        <f t="shared" si="73"/>
        <v>Earth &amp; Life</v>
      </c>
      <c r="L28" s="313"/>
      <c r="M28" s="308" t="s">
        <v>518</v>
      </c>
      <c r="N28" s="310">
        <f t="shared" ref="N28" si="370">IF(AND(O28="",Q28="",S28="",U28="",W28=""),"",COUNTA(O28:X28)*50)</f>
        <v>250</v>
      </c>
      <c r="O28" s="327" t="str">
        <f>'Gen CP'!F29</f>
        <v>MIL</v>
      </c>
      <c r="P28" s="328"/>
      <c r="Q28" s="327" t="str">
        <f t="shared" si="74"/>
        <v>MIL</v>
      </c>
      <c r="R28" s="328"/>
      <c r="S28" s="327" t="str">
        <f t="shared" si="75"/>
        <v>MIL</v>
      </c>
      <c r="T28" s="328"/>
      <c r="U28" s="327" t="str">
        <f t="shared" si="76"/>
        <v>MIL</v>
      </c>
      <c r="V28" s="328"/>
      <c r="W28" s="327" t="str">
        <f t="shared" si="77"/>
        <v>MIL</v>
      </c>
      <c r="X28" s="328"/>
      <c r="Y28" s="308" t="s">
        <v>518</v>
      </c>
      <c r="Z28" s="310" t="str">
        <f t="shared" ref="Z28" si="371">IF(AND(AA28="",AC28="",AE28="",AG28="",AI28=""),"",COUNTA(AA28:AJ28)*50)</f>
        <v/>
      </c>
      <c r="AA28" s="327"/>
      <c r="AB28" s="328"/>
      <c r="AC28" s="327" t="str">
        <f t="shared" si="78"/>
        <v/>
      </c>
      <c r="AD28" s="328"/>
      <c r="AE28" s="327" t="str">
        <f t="shared" si="79"/>
        <v/>
      </c>
      <c r="AF28" s="328"/>
      <c r="AG28" s="327" t="str">
        <f t="shared" si="80"/>
        <v/>
      </c>
      <c r="AH28" s="328"/>
      <c r="AI28" s="327" t="str">
        <f t="shared" si="81"/>
        <v/>
      </c>
      <c r="AJ28" s="328"/>
      <c r="AK28" s="308" t="s">
        <v>518</v>
      </c>
      <c r="AL28" s="310">
        <f t="shared" ref="AL28" si="372">IF(AND(AM28="",AO28="",AQ28="",AS28="",AU28=""),"",COUNTA(AM28:AV28)*50)</f>
        <v>250</v>
      </c>
      <c r="AM28" s="327" t="s">
        <v>115</v>
      </c>
      <c r="AN28" s="328"/>
      <c r="AO28" s="327" t="str">
        <f t="shared" si="82"/>
        <v>UCSP</v>
      </c>
      <c r="AP28" s="328"/>
      <c r="AQ28" s="327" t="str">
        <f t="shared" si="83"/>
        <v>UCSP</v>
      </c>
      <c r="AR28" s="328"/>
      <c r="AS28" s="327" t="str">
        <f t="shared" si="84"/>
        <v>UCSP</v>
      </c>
      <c r="AT28" s="328"/>
      <c r="AU28" s="327" t="str">
        <f t="shared" si="85"/>
        <v>UCSP</v>
      </c>
      <c r="AV28" s="328"/>
      <c r="AW28" s="308" t="s">
        <v>518</v>
      </c>
      <c r="AX28" s="310">
        <f t="shared" ref="AX28" si="373">IF(AND(AY28="",BA28="",BC28="",BE28="",BG28=""),"",COUNTA(AY28:BH28)*50)</f>
        <v>250</v>
      </c>
      <c r="AY28" s="327" t="s">
        <v>113</v>
      </c>
      <c r="AZ28" s="328"/>
      <c r="BA28" s="327" t="str">
        <f t="shared" si="86"/>
        <v>Kom Pan</v>
      </c>
      <c r="BB28" s="328"/>
      <c r="BC28" s="327" t="str">
        <f t="shared" si="87"/>
        <v>Kom Pan</v>
      </c>
      <c r="BD28" s="328"/>
      <c r="BE28" s="327" t="str">
        <f t="shared" si="88"/>
        <v>Kom Pan</v>
      </c>
      <c r="BF28" s="328"/>
      <c r="BG28" s="327" t="str">
        <f t="shared" si="89"/>
        <v>Kom Pan</v>
      </c>
      <c r="BH28" s="328"/>
      <c r="BI28" s="308" t="s">
        <v>518</v>
      </c>
      <c r="BJ28" s="310">
        <f t="shared" ref="BJ28" si="374">IF(AND(BK28="",BM28="",BO28="",BQ28="",BS28=""),"",COUNTA(BK28:BT28)*50)</f>
        <v>250</v>
      </c>
      <c r="BK28" s="327" t="s">
        <v>115</v>
      </c>
      <c r="BL28" s="328"/>
      <c r="BM28" s="327" t="str">
        <f t="shared" si="90"/>
        <v>UCSP</v>
      </c>
      <c r="BN28" s="328"/>
      <c r="BO28" s="327" t="str">
        <f t="shared" si="91"/>
        <v>UCSP</v>
      </c>
      <c r="BP28" s="328"/>
      <c r="BQ28" s="327" t="str">
        <f t="shared" si="92"/>
        <v>UCSP</v>
      </c>
      <c r="BR28" s="328"/>
      <c r="BS28" s="327" t="str">
        <f t="shared" si="93"/>
        <v>UCSP</v>
      </c>
      <c r="BT28" s="328"/>
      <c r="BU28" s="308" t="s">
        <v>518</v>
      </c>
      <c r="BV28" s="310">
        <f t="shared" ref="BV28" si="375">IF(AND(BW28="",BY28="",CA28="",CC28="",CE28=""),"",COUNTA(BW28:CF28)*50)</f>
        <v>250</v>
      </c>
      <c r="BW28" s="327" t="s">
        <v>311</v>
      </c>
      <c r="BX28" s="328"/>
      <c r="BY28" s="327" t="str">
        <f t="shared" si="94"/>
        <v>Emp Tech</v>
      </c>
      <c r="BZ28" s="328"/>
      <c r="CA28" s="327" t="str">
        <f t="shared" si="95"/>
        <v>Emp Tech</v>
      </c>
      <c r="CB28" s="328"/>
      <c r="CC28" s="327" t="str">
        <f t="shared" si="96"/>
        <v>Emp Tech</v>
      </c>
      <c r="CD28" s="328"/>
      <c r="CE28" s="327" t="str">
        <f t="shared" si="97"/>
        <v>Emp Tech</v>
      </c>
      <c r="CF28" s="328"/>
      <c r="CG28" s="308" t="s">
        <v>518</v>
      </c>
      <c r="CH28" s="310">
        <f t="shared" ref="CH28" si="376">IF(AND(CI28="",CK28="",CM28="",CO28="",CQ28=""),"",COUNTA(CI28:CR28)*50)</f>
        <v>250</v>
      </c>
      <c r="CI28" s="327" t="s">
        <v>119</v>
      </c>
      <c r="CJ28" s="328"/>
      <c r="CK28" s="327" t="str">
        <f t="shared" si="98"/>
        <v>Earth &amp; Life</v>
      </c>
      <c r="CL28" s="328"/>
      <c r="CM28" s="327" t="str">
        <f t="shared" si="99"/>
        <v>Earth &amp; Life</v>
      </c>
      <c r="CN28" s="328"/>
      <c r="CO28" s="327" t="str">
        <f t="shared" si="100"/>
        <v>Earth &amp; Life</v>
      </c>
      <c r="CP28" s="328"/>
      <c r="CQ28" s="327" t="str">
        <f t="shared" si="101"/>
        <v>Earth &amp; Life</v>
      </c>
      <c r="CR28" s="328"/>
      <c r="CS28" s="308" t="s">
        <v>518</v>
      </c>
      <c r="CT28" s="310">
        <f t="shared" ref="CT28" si="377">IF(AND(CU28="",CW28="",CY28="",DA28="",DC28=""),"",COUNTA(CU28:DD28)*50)</f>
        <v>250</v>
      </c>
      <c r="CU28" s="327" t="s">
        <v>500</v>
      </c>
      <c r="CV28" s="328"/>
      <c r="CW28" s="327" t="str">
        <f t="shared" si="102"/>
        <v xml:space="preserve">Emp Tech </v>
      </c>
      <c r="CX28" s="328"/>
      <c r="CY28" s="327" t="str">
        <f t="shared" si="103"/>
        <v xml:space="preserve">Emp Tech </v>
      </c>
      <c r="CZ28" s="328"/>
      <c r="DA28" s="327" t="str">
        <f t="shared" si="104"/>
        <v xml:space="preserve">Emp Tech </v>
      </c>
      <c r="DB28" s="328"/>
      <c r="DC28" s="327" t="str">
        <f t="shared" si="105"/>
        <v xml:space="preserve">Emp Tech </v>
      </c>
      <c r="DD28" s="328"/>
      <c r="DE28" s="308" t="s">
        <v>518</v>
      </c>
      <c r="DF28" s="310">
        <f t="shared" ref="DF28" si="378">IF(AND(DG28="",DI28="",DK28="",DM28="",DO28=""),"",COUNTA(DG28:DP28)*50)</f>
        <v>200</v>
      </c>
      <c r="DG28" s="327" t="s">
        <v>313</v>
      </c>
      <c r="DH28" s="328"/>
      <c r="DI28" s="327" t="str">
        <f t="shared" si="106"/>
        <v>MIL</v>
      </c>
      <c r="DJ28" s="328"/>
      <c r="DK28" s="333"/>
      <c r="DL28" s="334"/>
      <c r="DM28" s="327" t="str">
        <f t="shared" si="108"/>
        <v>MIL</v>
      </c>
      <c r="DN28" s="328"/>
      <c r="DO28" s="327" t="str">
        <f t="shared" si="109"/>
        <v>MIL</v>
      </c>
      <c r="DP28" s="328"/>
      <c r="DQ28" s="308" t="s">
        <v>518</v>
      </c>
      <c r="DR28" s="310">
        <f t="shared" ref="DR28" si="379">IF(AND(DS28="",DU28="",DW28="",DY28="",EA28=""),"",COUNTA(DS28:EB28)*50)</f>
        <v>250</v>
      </c>
      <c r="DS28" s="327" t="s">
        <v>103</v>
      </c>
      <c r="DT28" s="328"/>
      <c r="DU28" s="327" t="str">
        <f t="shared" si="110"/>
        <v>Cookery</v>
      </c>
      <c r="DV28" s="328"/>
      <c r="DW28" s="327" t="str">
        <f t="shared" si="111"/>
        <v>Cookery</v>
      </c>
      <c r="DX28" s="328"/>
      <c r="DY28" s="327" t="str">
        <f t="shared" si="112"/>
        <v>Cookery</v>
      </c>
      <c r="DZ28" s="328"/>
      <c r="EA28" s="327" t="str">
        <f t="shared" si="113"/>
        <v>Cookery</v>
      </c>
      <c r="EB28" s="328"/>
      <c r="EC28" s="308" t="s">
        <v>518</v>
      </c>
      <c r="ED28" s="310" t="str">
        <f t="shared" ref="ED28" si="380">IF(AND(EE28="",EG28="",EI28="",EK28="",EM28=""),"",COUNTA(EE28:EN28)*50)</f>
        <v/>
      </c>
      <c r="EE28" s="327"/>
      <c r="EF28" s="328"/>
      <c r="EG28" s="327" t="str">
        <f t="shared" si="114"/>
        <v/>
      </c>
      <c r="EH28" s="328"/>
      <c r="EI28" s="327" t="str">
        <f t="shared" si="115"/>
        <v/>
      </c>
      <c r="EJ28" s="328"/>
      <c r="EK28" s="327" t="str">
        <f t="shared" si="116"/>
        <v/>
      </c>
      <c r="EL28" s="328"/>
      <c r="EM28" s="327" t="str">
        <f t="shared" si="117"/>
        <v/>
      </c>
      <c r="EN28" s="328"/>
      <c r="EO28" s="308" t="s">
        <v>518</v>
      </c>
      <c r="EP28" s="310" t="str">
        <f t="shared" ref="EP28" si="381">IF(AND(EQ28="",ES28="",EU28="",EW28="",EY28=""),"",COUNTA(EQ28:EZ28)*50)</f>
        <v/>
      </c>
      <c r="EQ28" s="327"/>
      <c r="ER28" s="328"/>
      <c r="ES28" s="327" t="str">
        <f t="shared" si="118"/>
        <v/>
      </c>
      <c r="ET28" s="328"/>
      <c r="EU28" s="327" t="str">
        <f t="shared" si="119"/>
        <v/>
      </c>
      <c r="EV28" s="328"/>
      <c r="EW28" s="327" t="str">
        <f t="shared" si="120"/>
        <v/>
      </c>
      <c r="EX28" s="328"/>
      <c r="EY28" s="327" t="str">
        <f t="shared" si="121"/>
        <v/>
      </c>
      <c r="EZ28" s="328"/>
      <c r="FA28" s="341" t="s">
        <v>391</v>
      </c>
      <c r="FB28" s="310">
        <f>IF(AND(FC28="",FE28="",FG28="",FI28="",FK28=""),"",COUNTA(FC28:FL28)*60)</f>
        <v>240</v>
      </c>
      <c r="FC28" s="327" t="str">
        <f>'Gen CP'!H72</f>
        <v>SMAW NC II</v>
      </c>
      <c r="FD28" s="328"/>
      <c r="FE28" s="327" t="str">
        <f t="shared" si="122"/>
        <v>SMAW NC II</v>
      </c>
      <c r="FF28" s="328"/>
      <c r="FG28" s="327" t="str">
        <f t="shared" si="123"/>
        <v>SMAW NC II</v>
      </c>
      <c r="FH28" s="328"/>
      <c r="FI28" s="327" t="str">
        <f t="shared" si="124"/>
        <v>SMAW NC II</v>
      </c>
      <c r="FJ28" s="328"/>
      <c r="FK28" s="333"/>
      <c r="FL28" s="334"/>
      <c r="FM28" s="308" t="s">
        <v>518</v>
      </c>
      <c r="FN28" s="310">
        <f t="shared" ref="FN28" si="382">IF(AND(FO28="",FQ28="",FS28="",FU28="",FW28=""),"",COUNTA(FO28:FX28)*50)</f>
        <v>250</v>
      </c>
      <c r="FO28" s="327" t="s">
        <v>140</v>
      </c>
      <c r="FP28" s="328"/>
      <c r="FQ28" s="327" t="str">
        <f t="shared" si="126"/>
        <v>PPG</v>
      </c>
      <c r="FR28" s="328"/>
      <c r="FS28" s="327" t="str">
        <f t="shared" si="127"/>
        <v>PPG</v>
      </c>
      <c r="FT28" s="328"/>
      <c r="FU28" s="327" t="str">
        <f t="shared" si="128"/>
        <v>PPG</v>
      </c>
      <c r="FV28" s="328"/>
      <c r="FW28" s="327" t="str">
        <f t="shared" si="129"/>
        <v>PPG</v>
      </c>
      <c r="FX28" s="328"/>
      <c r="FY28" s="308" t="s">
        <v>518</v>
      </c>
      <c r="FZ28" s="310">
        <f t="shared" ref="FZ28" si="383">IF(AND(GA28="",GC28="",GE28="",GG28="",GI28=""),"",COUNTA(GA28:GJ28)*50)</f>
        <v>250</v>
      </c>
      <c r="GA28" s="327" t="s">
        <v>113</v>
      </c>
      <c r="GB28" s="328"/>
      <c r="GC28" s="327" t="str">
        <f t="shared" si="130"/>
        <v>Kom Pan</v>
      </c>
      <c r="GD28" s="328"/>
      <c r="GE28" s="327" t="str">
        <f t="shared" si="131"/>
        <v>Kom Pan</v>
      </c>
      <c r="GF28" s="328"/>
      <c r="GG28" s="327" t="str">
        <f t="shared" si="132"/>
        <v>Kom Pan</v>
      </c>
      <c r="GH28" s="328"/>
      <c r="GI28" s="327" t="str">
        <f t="shared" si="133"/>
        <v>Kom Pan</v>
      </c>
      <c r="GJ28" s="328"/>
      <c r="GK28" s="308" t="s">
        <v>518</v>
      </c>
      <c r="GL28" s="310">
        <f t="shared" ref="GL28" si="384">IF(AND(GM28="",GO28="",GQ28="",GS28="",GU28=""),"",COUNTA(GM28:GV28)*50)</f>
        <v>200</v>
      </c>
      <c r="GM28" s="327" t="s">
        <v>199</v>
      </c>
      <c r="GN28" s="328"/>
      <c r="GO28" s="333"/>
      <c r="GP28" s="334"/>
      <c r="GQ28" s="327" t="str">
        <f t="shared" si="204"/>
        <v>World Religions</v>
      </c>
      <c r="GR28" s="328"/>
      <c r="GS28" s="327" t="str">
        <f t="shared" si="205"/>
        <v>World Religions</v>
      </c>
      <c r="GT28" s="328"/>
      <c r="GU28" s="327" t="str">
        <f t="shared" si="206"/>
        <v>World Religions</v>
      </c>
      <c r="GV28" s="328"/>
      <c r="GW28" s="308" t="s">
        <v>518</v>
      </c>
      <c r="GX28" s="310">
        <f t="shared" ref="GX28" si="385">IF(AND(GY28="",HA28="",HC28="",HE28="",HG28=""),"",COUNTA(GY28:HH28)*50)</f>
        <v>150</v>
      </c>
      <c r="GY28" s="327"/>
      <c r="GZ28" s="328"/>
      <c r="HA28" s="327" t="s">
        <v>375</v>
      </c>
      <c r="HB28" s="328"/>
      <c r="HC28" s="327" t="s">
        <v>375</v>
      </c>
      <c r="HD28" s="328"/>
      <c r="HE28" s="327"/>
      <c r="HF28" s="328"/>
      <c r="HG28" s="327" t="s">
        <v>375</v>
      </c>
      <c r="HH28" s="328"/>
      <c r="HI28" s="308" t="s">
        <v>518</v>
      </c>
      <c r="HJ28" s="310">
        <f t="shared" ref="HJ28" si="386">IF(AND(HK28="",HM28="",HO28="",HQ28="",HS28=""),"",COUNTA(HK28:HT28)*50)</f>
        <v>250</v>
      </c>
      <c r="HK28" s="327" t="s">
        <v>311</v>
      </c>
      <c r="HL28" s="328"/>
      <c r="HM28" s="327" t="str">
        <f t="shared" si="138"/>
        <v>Emp Tech</v>
      </c>
      <c r="HN28" s="328"/>
      <c r="HO28" s="327" t="str">
        <f t="shared" si="139"/>
        <v>Emp Tech</v>
      </c>
      <c r="HP28" s="328"/>
      <c r="HQ28" s="327" t="str">
        <f t="shared" si="140"/>
        <v>Emp Tech</v>
      </c>
      <c r="HR28" s="328"/>
      <c r="HS28" s="327" t="str">
        <f t="shared" si="141"/>
        <v>Emp Tech</v>
      </c>
      <c r="HT28" s="328"/>
      <c r="HU28" s="308" t="s">
        <v>518</v>
      </c>
      <c r="HV28" s="310">
        <f t="shared" ref="HV28" si="387">IF(AND(HW28="",HY28="",IA28="",IC28="",IE28=""),"",COUNTA(HW28:IF28)*50)</f>
        <v>250</v>
      </c>
      <c r="HW28" s="327" t="s">
        <v>314</v>
      </c>
      <c r="HX28" s="328"/>
      <c r="HY28" s="327" t="str">
        <f t="shared" si="142"/>
        <v>Philo</v>
      </c>
      <c r="HZ28" s="328"/>
      <c r="IA28" s="327" t="str">
        <f t="shared" si="143"/>
        <v>Philo</v>
      </c>
      <c r="IB28" s="328"/>
      <c r="IC28" s="327" t="str">
        <f t="shared" si="144"/>
        <v>Philo</v>
      </c>
      <c r="ID28" s="328"/>
      <c r="IE28" s="327" t="str">
        <f t="shared" si="145"/>
        <v>Philo</v>
      </c>
      <c r="IF28" s="328"/>
      <c r="IG28" s="308" t="s">
        <v>518</v>
      </c>
      <c r="IH28" s="310">
        <f t="shared" ref="IH28" si="388">IF(AND(II28="",IK28="",IM28="",IO28="",IQ28=""),"",COUNTA(II28:IR28)*50)</f>
        <v>250</v>
      </c>
      <c r="II28" s="327" t="s">
        <v>141</v>
      </c>
      <c r="IJ28" s="328"/>
      <c r="IK28" s="327" t="str">
        <f t="shared" si="146"/>
        <v>DIASS</v>
      </c>
      <c r="IL28" s="328"/>
      <c r="IM28" s="327" t="str">
        <f t="shared" si="147"/>
        <v>DIASS</v>
      </c>
      <c r="IN28" s="328"/>
      <c r="IO28" s="327" t="str">
        <f t="shared" si="148"/>
        <v>DIASS</v>
      </c>
      <c r="IP28" s="328"/>
      <c r="IQ28" s="327" t="str">
        <f t="shared" si="149"/>
        <v>DIASS</v>
      </c>
      <c r="IR28" s="328"/>
      <c r="IS28" s="308" t="s">
        <v>518</v>
      </c>
      <c r="IT28" s="310">
        <f t="shared" ref="IT28" si="389">IF(AND(IU28="",IW28="",IY28="",JA28="",JC28=""),"",COUNTA(IU28:JD28)*50)</f>
        <v>250</v>
      </c>
      <c r="IU28" s="327" t="str">
        <f>'Gen CP'!E29</f>
        <v>Gen Math</v>
      </c>
      <c r="IV28" s="328"/>
      <c r="IW28" s="327" t="str">
        <f t="shared" si="150"/>
        <v>Gen Math</v>
      </c>
      <c r="IX28" s="328"/>
      <c r="IY28" s="327" t="str">
        <f t="shared" si="151"/>
        <v>Gen Math</v>
      </c>
      <c r="IZ28" s="328"/>
      <c r="JA28" s="327" t="str">
        <f t="shared" si="152"/>
        <v>Gen Math</v>
      </c>
      <c r="JB28" s="328"/>
      <c r="JC28" s="327" t="str">
        <f t="shared" si="153"/>
        <v>Gen Math</v>
      </c>
      <c r="JD28" s="328"/>
      <c r="JE28" s="308" t="s">
        <v>518</v>
      </c>
      <c r="JF28" s="310">
        <f t="shared" ref="JF28" si="390">IF(AND(JG28="",JI28="",JK28="",JM28="",JO28=""),"",COUNTA(JG28:JP28)*50)</f>
        <v>250</v>
      </c>
      <c r="JG28" s="327" t="s">
        <v>132</v>
      </c>
      <c r="JH28" s="328"/>
      <c r="JI28" s="327" t="str">
        <f t="shared" si="249"/>
        <v>Piling Larang</v>
      </c>
      <c r="JJ28" s="328"/>
      <c r="JK28" s="327" t="str">
        <f t="shared" si="213"/>
        <v>Piling Larang</v>
      </c>
      <c r="JL28" s="328"/>
      <c r="JM28" s="327" t="str">
        <f t="shared" si="250"/>
        <v>Piling Larang</v>
      </c>
      <c r="JN28" s="328"/>
      <c r="JO28" s="327" t="str">
        <f t="shared" si="214"/>
        <v>Piling Larang</v>
      </c>
      <c r="JP28" s="328"/>
      <c r="JQ28" s="308" t="s">
        <v>518</v>
      </c>
      <c r="JR28" s="310">
        <f t="shared" ref="JR28" si="391">IF(AND(JS28="",JU28="",JW28="",JY28="",KA28=""),"",COUNTA(JS28:KB28)*50)</f>
        <v>250</v>
      </c>
      <c r="JS28" s="327" t="str">
        <f>'Gen CP'!E72</f>
        <v>Research 2</v>
      </c>
      <c r="JT28" s="328"/>
      <c r="JU28" s="327" t="str">
        <f t="shared" si="154"/>
        <v>Research 2</v>
      </c>
      <c r="JV28" s="328"/>
      <c r="JW28" s="327" t="str">
        <f t="shared" si="155"/>
        <v>Research 2</v>
      </c>
      <c r="JX28" s="328"/>
      <c r="JY28" s="327" t="str">
        <f t="shared" si="156"/>
        <v>Research 2</v>
      </c>
      <c r="JZ28" s="328"/>
      <c r="KA28" s="327" t="str">
        <f t="shared" si="157"/>
        <v>Research 2</v>
      </c>
      <c r="KB28" s="328"/>
      <c r="KC28" s="308" t="s">
        <v>518</v>
      </c>
      <c r="KD28" s="310">
        <f t="shared" ref="KD28" si="392">IF(AND(KE28="",KG28="",KI28="",KK28="",KM28=""),"",COUNTA(KE28:KN28)*50)</f>
        <v>250</v>
      </c>
      <c r="KE28" s="327" t="s">
        <v>312</v>
      </c>
      <c r="KF28" s="328"/>
      <c r="KG28" s="327" t="str">
        <f t="shared" si="158"/>
        <v>21st Cen Lit</v>
      </c>
      <c r="KH28" s="328"/>
      <c r="KI28" s="327" t="str">
        <f t="shared" si="159"/>
        <v>21st Cen Lit</v>
      </c>
      <c r="KJ28" s="328"/>
      <c r="KK28" s="327" t="str">
        <f t="shared" si="160"/>
        <v>21st Cen Lit</v>
      </c>
      <c r="KL28" s="328"/>
      <c r="KM28" s="327" t="str">
        <f t="shared" si="161"/>
        <v>21st Cen Lit</v>
      </c>
      <c r="KN28" s="328"/>
      <c r="KO28" s="308" t="s">
        <v>518</v>
      </c>
      <c r="KP28" s="310">
        <f t="shared" ref="KP28" si="393">IF(AND(KQ28="",KS28="",KU28="",KW28="",KY28=""),"",COUNTA(KQ28:KZ28)*50)</f>
        <v>250</v>
      </c>
      <c r="KQ28" s="327" t="str">
        <f>'Gen CP'!K29</f>
        <v>Oral Com</v>
      </c>
      <c r="KR28" s="328"/>
      <c r="KS28" s="327" t="str">
        <f t="shared" si="162"/>
        <v>Oral Com</v>
      </c>
      <c r="KT28" s="328"/>
      <c r="KU28" s="327" t="str">
        <f t="shared" si="163"/>
        <v>Oral Com</v>
      </c>
      <c r="KV28" s="328"/>
      <c r="KW28" s="327" t="str">
        <f t="shared" si="164"/>
        <v>Oral Com</v>
      </c>
      <c r="KX28" s="328"/>
      <c r="KY28" s="327" t="str">
        <f t="shared" si="165"/>
        <v>Oral Com</v>
      </c>
      <c r="KZ28" s="328"/>
      <c r="LA28" s="308" t="s">
        <v>518</v>
      </c>
      <c r="LB28" s="310" t="str">
        <f t="shared" ref="LB28" si="394">IF(AND(LC28="",LE28="",LG28="",LI28="",LK28=""),"",COUNTA(LC28:LL28)*50)</f>
        <v/>
      </c>
      <c r="LC28" s="327"/>
      <c r="LD28" s="328"/>
      <c r="LE28" s="327" t="str">
        <f t="shared" si="166"/>
        <v/>
      </c>
      <c r="LF28" s="328"/>
      <c r="LG28" s="327" t="str">
        <f t="shared" si="167"/>
        <v/>
      </c>
      <c r="LH28" s="328"/>
      <c r="LI28" s="327" t="str">
        <f t="shared" si="52"/>
        <v/>
      </c>
      <c r="LJ28" s="328"/>
      <c r="LK28" s="327" t="str">
        <f t="shared" si="53"/>
        <v/>
      </c>
      <c r="LL28" s="328"/>
      <c r="LM28" s="308" t="s">
        <v>518</v>
      </c>
      <c r="LN28" s="310" t="str">
        <f t="shared" ref="LN28" si="395">IF(AND(LO28="",LQ28="",LS28="",LU28="",LW28=""),"",COUNTA(LO28:LX28)*50)</f>
        <v/>
      </c>
      <c r="LO28" s="327"/>
      <c r="LP28" s="328"/>
      <c r="LQ28" s="327" t="str">
        <f t="shared" si="168"/>
        <v/>
      </c>
      <c r="LR28" s="328"/>
      <c r="LS28" s="327" t="str">
        <f t="shared" si="169"/>
        <v/>
      </c>
      <c r="LT28" s="328"/>
      <c r="LU28" s="327" t="str">
        <f t="shared" si="54"/>
        <v/>
      </c>
      <c r="LV28" s="328"/>
      <c r="LW28" s="327" t="str">
        <f t="shared" si="55"/>
        <v/>
      </c>
      <c r="LX28" s="328"/>
      <c r="LY28" s="308" t="s">
        <v>518</v>
      </c>
      <c r="LZ28" s="310" t="str">
        <f t="shared" ref="LZ28" si="396">IF(AND(MA28="",MC28="",ME28="",MG28="",MI28=""),"",COUNTA(MA28:MJ28)*50)</f>
        <v/>
      </c>
      <c r="MA28" s="327"/>
      <c r="MB28" s="328"/>
      <c r="MC28" s="327" t="str">
        <f t="shared" si="170"/>
        <v/>
      </c>
      <c r="MD28" s="328"/>
      <c r="ME28" s="327" t="str">
        <f t="shared" si="171"/>
        <v/>
      </c>
      <c r="MF28" s="328"/>
      <c r="MG28" s="327" t="str">
        <f t="shared" si="56"/>
        <v/>
      </c>
      <c r="MH28" s="328"/>
      <c r="MI28" s="327" t="str">
        <f t="shared" si="57"/>
        <v/>
      </c>
      <c r="MJ28" s="328"/>
      <c r="MK28" s="308" t="s">
        <v>518</v>
      </c>
      <c r="ML28" s="310" t="str">
        <f t="shared" ref="ML28" si="397">IF(AND(MM28="",MO28="",MQ28="",MS28="",MU28=""),"",COUNTA(MM28:MV28)*50)</f>
        <v/>
      </c>
      <c r="MM28" s="327"/>
      <c r="MN28" s="328"/>
      <c r="MO28" s="327" t="str">
        <f t="shared" si="172"/>
        <v/>
      </c>
      <c r="MP28" s="328"/>
      <c r="MQ28" s="327" t="str">
        <f t="shared" si="173"/>
        <v/>
      </c>
      <c r="MR28" s="328"/>
      <c r="MS28" s="327" t="str">
        <f t="shared" si="58"/>
        <v/>
      </c>
      <c r="MT28" s="328"/>
      <c r="MU28" s="327" t="str">
        <f t="shared" si="59"/>
        <v/>
      </c>
      <c r="MV28" s="328"/>
      <c r="MW28" s="308" t="s">
        <v>518</v>
      </c>
      <c r="MX28" s="310" t="str">
        <f t="shared" ref="MX28" si="398">IF(AND(MY28="",NA28="",NC28="",NE28="",NG28=""),"",COUNTA(MY28:NH28)*50)</f>
        <v/>
      </c>
      <c r="MY28" s="327"/>
      <c r="MZ28" s="328"/>
      <c r="NA28" s="327" t="str">
        <f t="shared" si="174"/>
        <v/>
      </c>
      <c r="NB28" s="328"/>
      <c r="NC28" s="327" t="str">
        <f t="shared" si="175"/>
        <v/>
      </c>
      <c r="ND28" s="328"/>
      <c r="NE28" s="327" t="str">
        <f t="shared" si="60"/>
        <v/>
      </c>
      <c r="NF28" s="328"/>
      <c r="NG28" s="327" t="str">
        <f t="shared" si="61"/>
        <v/>
      </c>
      <c r="NH28" s="328"/>
      <c r="NI28" s="308" t="s">
        <v>518</v>
      </c>
      <c r="NJ28" s="310" t="str">
        <f t="shared" ref="NJ28" si="399">IF(AND(NK28="",NM28="",NO28="",NQ28="",NS28=""),"",COUNTA(NK28:NT28)*50)</f>
        <v/>
      </c>
      <c r="NK28" s="327"/>
      <c r="NL28" s="328"/>
      <c r="NM28" s="327" t="str">
        <f t="shared" si="176"/>
        <v/>
      </c>
      <c r="NN28" s="328"/>
      <c r="NO28" s="327" t="str">
        <f t="shared" si="177"/>
        <v/>
      </c>
      <c r="NP28" s="328"/>
      <c r="NQ28" s="327" t="str">
        <f t="shared" si="62"/>
        <v/>
      </c>
      <c r="NR28" s="328"/>
      <c r="NS28" s="327" t="str">
        <f t="shared" si="63"/>
        <v/>
      </c>
      <c r="NT28" s="328"/>
      <c r="NU28" s="308" t="s">
        <v>518</v>
      </c>
      <c r="NV28" s="310" t="str">
        <f t="shared" ref="NV28" si="400">IF(AND(NW28="",NY28="",OA28="",OC28="",OE28=""),"",COUNTA(NW28:OF28)*50)</f>
        <v/>
      </c>
      <c r="NW28" s="327"/>
      <c r="NX28" s="328"/>
      <c r="NY28" s="327" t="str">
        <f t="shared" si="178"/>
        <v/>
      </c>
      <c r="NZ28" s="328"/>
      <c r="OA28" s="327" t="str">
        <f t="shared" si="179"/>
        <v/>
      </c>
      <c r="OB28" s="328"/>
      <c r="OC28" s="327" t="str">
        <f t="shared" si="64"/>
        <v/>
      </c>
      <c r="OD28" s="328"/>
      <c r="OE28" s="327" t="str">
        <f t="shared" si="65"/>
        <v/>
      </c>
      <c r="OF28" s="328"/>
      <c r="OG28" s="308" t="s">
        <v>518</v>
      </c>
      <c r="OH28" s="310" t="str">
        <f t="shared" ref="OH28" si="401">IF(AND(OI28="",OK28="",OM28="",OO28="",OQ28=""),"",COUNTA(OI28:OR28)*50)</f>
        <v/>
      </c>
      <c r="OI28" s="327"/>
      <c r="OJ28" s="328"/>
      <c r="OK28" s="327" t="str">
        <f t="shared" si="180"/>
        <v/>
      </c>
      <c r="OL28" s="328"/>
      <c r="OM28" s="327" t="str">
        <f t="shared" si="181"/>
        <v/>
      </c>
      <c r="ON28" s="328"/>
      <c r="OO28" s="327" t="str">
        <f t="shared" si="66"/>
        <v/>
      </c>
      <c r="OP28" s="328"/>
      <c r="OQ28" s="327" t="str">
        <f t="shared" si="67"/>
        <v/>
      </c>
      <c r="OR28" s="328"/>
      <c r="OS28" s="308" t="s">
        <v>518</v>
      </c>
      <c r="OT28" s="310" t="str">
        <f t="shared" ref="OT28" si="402">IF(AND(OU28="",OW28="",OY28="",PA28="",PC28=""),"",COUNTA(OU28:PD28)*50)</f>
        <v/>
      </c>
      <c r="OU28" s="327"/>
      <c r="OV28" s="328"/>
      <c r="OW28" s="327" t="str">
        <f t="shared" si="182"/>
        <v/>
      </c>
      <c r="OX28" s="328"/>
      <c r="OY28" s="327" t="str">
        <f t="shared" si="183"/>
        <v/>
      </c>
      <c r="OZ28" s="328"/>
      <c r="PA28" s="327" t="str">
        <f t="shared" si="68"/>
        <v/>
      </c>
      <c r="PB28" s="328"/>
      <c r="PC28" s="327" t="str">
        <f t="shared" si="69"/>
        <v/>
      </c>
      <c r="PD28" s="328"/>
      <c r="PE28" s="308" t="s">
        <v>518</v>
      </c>
      <c r="PF28" s="310" t="str">
        <f t="shared" ref="PF28" si="403">IF(PG28="","",COUNTA(PG28:PP28)*50)</f>
        <v/>
      </c>
      <c r="PG28" s="327"/>
      <c r="PH28" s="328"/>
      <c r="PI28" s="327" t="str">
        <f t="shared" si="184"/>
        <v/>
      </c>
      <c r="PJ28" s="328"/>
      <c r="PK28" s="327" t="str">
        <f t="shared" si="185"/>
        <v/>
      </c>
      <c r="PL28" s="328"/>
      <c r="PM28" s="327" t="str">
        <f t="shared" si="70"/>
        <v/>
      </c>
      <c r="PN28" s="328"/>
      <c r="PO28" s="327" t="str">
        <f t="shared" si="71"/>
        <v/>
      </c>
      <c r="PP28" s="328"/>
    </row>
    <row r="29" spans="1:432">
      <c r="A29" s="309"/>
      <c r="B29" s="311"/>
      <c r="C29" s="312" t="s">
        <v>454</v>
      </c>
      <c r="D29" s="313"/>
      <c r="E29" s="312" t="str">
        <f t="shared" si="186"/>
        <v>11 HumSS B</v>
      </c>
      <c r="F29" s="313"/>
      <c r="G29" s="312" t="str">
        <f t="shared" si="72"/>
        <v>11 HumSS B</v>
      </c>
      <c r="H29" s="313"/>
      <c r="I29" s="312" t="str">
        <f t="shared" si="72"/>
        <v>11 HumSS B</v>
      </c>
      <c r="J29" s="313"/>
      <c r="K29" s="312" t="str">
        <f t="shared" si="73"/>
        <v>11 HumSS B</v>
      </c>
      <c r="L29" s="313"/>
      <c r="M29" s="309"/>
      <c r="N29" s="311"/>
      <c r="O29" s="327" t="s">
        <v>497</v>
      </c>
      <c r="P29" s="328"/>
      <c r="Q29" s="327" t="str">
        <f t="shared" si="74"/>
        <v>11 HumSS D</v>
      </c>
      <c r="R29" s="328"/>
      <c r="S29" s="327" t="str">
        <f t="shared" si="75"/>
        <v>11 HumSS D</v>
      </c>
      <c r="T29" s="328"/>
      <c r="U29" s="327" t="str">
        <f t="shared" si="76"/>
        <v>11 HumSS D</v>
      </c>
      <c r="V29" s="328"/>
      <c r="W29" s="327" t="str">
        <f t="shared" si="77"/>
        <v>11 HumSS D</v>
      </c>
      <c r="X29" s="328"/>
      <c r="Y29" s="309"/>
      <c r="Z29" s="311"/>
      <c r="AA29" s="327"/>
      <c r="AB29" s="328"/>
      <c r="AC29" s="327" t="str">
        <f t="shared" si="78"/>
        <v/>
      </c>
      <c r="AD29" s="328"/>
      <c r="AE29" s="327" t="str">
        <f t="shared" si="79"/>
        <v/>
      </c>
      <c r="AF29" s="328"/>
      <c r="AG29" s="327" t="str">
        <f t="shared" si="80"/>
        <v/>
      </c>
      <c r="AH29" s="328"/>
      <c r="AI29" s="327" t="str">
        <f t="shared" si="81"/>
        <v/>
      </c>
      <c r="AJ29" s="328"/>
      <c r="AK29" s="309"/>
      <c r="AL29" s="311"/>
      <c r="AM29" s="327" t="s">
        <v>463</v>
      </c>
      <c r="AN29" s="328"/>
      <c r="AO29" s="327" t="str">
        <f t="shared" si="82"/>
        <v>11 ICT</v>
      </c>
      <c r="AP29" s="328"/>
      <c r="AQ29" s="327" t="str">
        <f t="shared" si="83"/>
        <v>11 ICT</v>
      </c>
      <c r="AR29" s="328"/>
      <c r="AS29" s="327" t="str">
        <f t="shared" si="84"/>
        <v>11 ICT</v>
      </c>
      <c r="AT29" s="328"/>
      <c r="AU29" s="327" t="str">
        <f t="shared" si="85"/>
        <v>11 ICT</v>
      </c>
      <c r="AV29" s="328"/>
      <c r="AW29" s="309"/>
      <c r="AX29" s="311"/>
      <c r="AY29" s="327" t="s">
        <v>459</v>
      </c>
      <c r="AZ29" s="328"/>
      <c r="BA29" s="327" t="str">
        <f t="shared" si="86"/>
        <v>11 AGRI</v>
      </c>
      <c r="BB29" s="328"/>
      <c r="BC29" s="327" t="str">
        <f t="shared" si="87"/>
        <v>11 AGRI</v>
      </c>
      <c r="BD29" s="328"/>
      <c r="BE29" s="327" t="str">
        <f t="shared" si="88"/>
        <v>11 AGRI</v>
      </c>
      <c r="BF29" s="328"/>
      <c r="BG29" s="327" t="str">
        <f t="shared" si="89"/>
        <v>11 AGRI</v>
      </c>
      <c r="BH29" s="328"/>
      <c r="BI29" s="309"/>
      <c r="BJ29" s="311"/>
      <c r="BK29" s="327" t="s">
        <v>461</v>
      </c>
      <c r="BL29" s="328"/>
      <c r="BM29" s="327" t="str">
        <f t="shared" si="90"/>
        <v>11 SMAW</v>
      </c>
      <c r="BN29" s="328"/>
      <c r="BO29" s="327" t="str">
        <f t="shared" si="91"/>
        <v>11 SMAW</v>
      </c>
      <c r="BP29" s="328"/>
      <c r="BQ29" s="327" t="str">
        <f t="shared" si="92"/>
        <v>11 SMAW</v>
      </c>
      <c r="BR29" s="328"/>
      <c r="BS29" s="327" t="str">
        <f t="shared" si="93"/>
        <v>11 SMAW</v>
      </c>
      <c r="BT29" s="328"/>
      <c r="BU29" s="309"/>
      <c r="BV29" s="311"/>
      <c r="BW29" s="327" t="s">
        <v>498</v>
      </c>
      <c r="BX29" s="328"/>
      <c r="BY29" s="327" t="str">
        <f t="shared" si="94"/>
        <v>11 Cookery</v>
      </c>
      <c r="BZ29" s="328"/>
      <c r="CA29" s="327" t="str">
        <f t="shared" si="95"/>
        <v>11 Cookery</v>
      </c>
      <c r="CB29" s="328"/>
      <c r="CC29" s="327" t="str">
        <f t="shared" si="96"/>
        <v>11 Cookery</v>
      </c>
      <c r="CD29" s="328"/>
      <c r="CE29" s="327" t="str">
        <f t="shared" si="97"/>
        <v>11 Cookery</v>
      </c>
      <c r="CF29" s="328"/>
      <c r="CG29" s="309"/>
      <c r="CH29" s="311"/>
      <c r="CI29" s="327" t="s">
        <v>454</v>
      </c>
      <c r="CJ29" s="328"/>
      <c r="CK29" s="327" t="str">
        <f t="shared" si="98"/>
        <v>11 HumSS B</v>
      </c>
      <c r="CL29" s="328"/>
      <c r="CM29" s="327" t="str">
        <f t="shared" si="99"/>
        <v>11 HumSS B</v>
      </c>
      <c r="CN29" s="328"/>
      <c r="CO29" s="327" t="str">
        <f t="shared" si="100"/>
        <v>11 HumSS B</v>
      </c>
      <c r="CP29" s="328"/>
      <c r="CQ29" s="327" t="str">
        <f t="shared" si="101"/>
        <v>11 HumSS B</v>
      </c>
      <c r="CR29" s="328"/>
      <c r="CS29" s="309"/>
      <c r="CT29" s="311"/>
      <c r="CU29" s="327" t="s">
        <v>453</v>
      </c>
      <c r="CV29" s="328"/>
      <c r="CW29" s="327" t="str">
        <f t="shared" si="102"/>
        <v>11 HumSS A</v>
      </c>
      <c r="CX29" s="328"/>
      <c r="CY29" s="327" t="str">
        <f t="shared" si="103"/>
        <v>11 HumSS A</v>
      </c>
      <c r="CZ29" s="328"/>
      <c r="DA29" s="327" t="str">
        <f t="shared" si="104"/>
        <v>11 HumSS A</v>
      </c>
      <c r="DB29" s="328"/>
      <c r="DC29" s="327" t="str">
        <f t="shared" si="105"/>
        <v>11 HumSS A</v>
      </c>
      <c r="DD29" s="328"/>
      <c r="DE29" s="309"/>
      <c r="DF29" s="311"/>
      <c r="DG29" s="327" t="s">
        <v>490</v>
      </c>
      <c r="DH29" s="328"/>
      <c r="DI29" s="327" t="str">
        <f t="shared" si="106"/>
        <v>12 AGRI</v>
      </c>
      <c r="DJ29" s="328"/>
      <c r="DK29" s="333"/>
      <c r="DL29" s="334"/>
      <c r="DM29" s="327" t="str">
        <f t="shared" si="108"/>
        <v>12 AGRI</v>
      </c>
      <c r="DN29" s="328"/>
      <c r="DO29" s="327" t="str">
        <f t="shared" si="109"/>
        <v>12 AGRI</v>
      </c>
      <c r="DP29" s="328"/>
      <c r="DQ29" s="309"/>
      <c r="DR29" s="311"/>
      <c r="DS29" s="327" t="s">
        <v>499</v>
      </c>
      <c r="DT29" s="328"/>
      <c r="DU29" s="327" t="str">
        <f t="shared" si="110"/>
        <v>12 Cookery</v>
      </c>
      <c r="DV29" s="328"/>
      <c r="DW29" s="327" t="str">
        <f t="shared" si="111"/>
        <v>12 Cookery</v>
      </c>
      <c r="DX29" s="328"/>
      <c r="DY29" s="327" t="str">
        <f t="shared" si="112"/>
        <v>12 Cookery</v>
      </c>
      <c r="DZ29" s="328"/>
      <c r="EA29" s="327" t="str">
        <f t="shared" si="113"/>
        <v>12 Cookery</v>
      </c>
      <c r="EB29" s="328"/>
      <c r="EC29" s="309"/>
      <c r="ED29" s="311"/>
      <c r="EE29" s="327"/>
      <c r="EF29" s="328"/>
      <c r="EG29" s="327" t="str">
        <f t="shared" si="114"/>
        <v/>
      </c>
      <c r="EH29" s="328"/>
      <c r="EI29" s="327" t="str">
        <f t="shared" si="115"/>
        <v/>
      </c>
      <c r="EJ29" s="328"/>
      <c r="EK29" s="327" t="str">
        <f t="shared" si="116"/>
        <v/>
      </c>
      <c r="EL29" s="328"/>
      <c r="EM29" s="327" t="str">
        <f t="shared" si="117"/>
        <v/>
      </c>
      <c r="EN29" s="328"/>
      <c r="EO29" s="309"/>
      <c r="EP29" s="311"/>
      <c r="EQ29" s="327"/>
      <c r="ER29" s="328"/>
      <c r="ES29" s="327" t="str">
        <f t="shared" si="118"/>
        <v/>
      </c>
      <c r="ET29" s="328"/>
      <c r="EU29" s="327" t="str">
        <f t="shared" si="119"/>
        <v/>
      </c>
      <c r="EV29" s="328"/>
      <c r="EW29" s="327" t="str">
        <f t="shared" si="120"/>
        <v/>
      </c>
      <c r="EX29" s="328"/>
      <c r="EY29" s="327" t="str">
        <f t="shared" si="121"/>
        <v/>
      </c>
      <c r="EZ29" s="328"/>
      <c r="FA29" s="342"/>
      <c r="FB29" s="311"/>
      <c r="FC29" s="327" t="s">
        <v>492</v>
      </c>
      <c r="FD29" s="328"/>
      <c r="FE29" s="327" t="str">
        <f t="shared" si="122"/>
        <v>12 SMAW</v>
      </c>
      <c r="FF29" s="328"/>
      <c r="FG29" s="327" t="str">
        <f t="shared" si="123"/>
        <v>12 SMAW</v>
      </c>
      <c r="FH29" s="328"/>
      <c r="FI29" s="327" t="str">
        <f t="shared" si="124"/>
        <v>12 SMAW</v>
      </c>
      <c r="FJ29" s="328"/>
      <c r="FK29" s="333"/>
      <c r="FL29" s="334"/>
      <c r="FM29" s="309"/>
      <c r="FN29" s="311"/>
      <c r="FO29" s="327" t="s">
        <v>486</v>
      </c>
      <c r="FP29" s="328"/>
      <c r="FQ29" s="327" t="str">
        <f t="shared" si="126"/>
        <v>12 HumSS A</v>
      </c>
      <c r="FR29" s="328"/>
      <c r="FS29" s="327" t="str">
        <f t="shared" si="127"/>
        <v>12 HumSS A</v>
      </c>
      <c r="FT29" s="328"/>
      <c r="FU29" s="327" t="str">
        <f t="shared" si="128"/>
        <v>12 HumSS A</v>
      </c>
      <c r="FV29" s="328"/>
      <c r="FW29" s="327" t="str">
        <f t="shared" si="129"/>
        <v>12 HumSS A</v>
      </c>
      <c r="FX29" s="328"/>
      <c r="FY29" s="309"/>
      <c r="FZ29" s="311"/>
      <c r="GA29" s="327" t="s">
        <v>457</v>
      </c>
      <c r="GB29" s="328"/>
      <c r="GC29" s="327" t="str">
        <f t="shared" si="130"/>
        <v>11 HumSS E</v>
      </c>
      <c r="GD29" s="328"/>
      <c r="GE29" s="327" t="str">
        <f t="shared" si="131"/>
        <v>11 HumSS E</v>
      </c>
      <c r="GF29" s="328"/>
      <c r="GG29" s="327" t="str">
        <f t="shared" si="132"/>
        <v>11 HumSS E</v>
      </c>
      <c r="GH29" s="328"/>
      <c r="GI29" s="327" t="str">
        <f t="shared" si="133"/>
        <v>11 HumSS E</v>
      </c>
      <c r="GJ29" s="328"/>
      <c r="GK29" s="309"/>
      <c r="GL29" s="311"/>
      <c r="GM29" s="327" t="s">
        <v>488</v>
      </c>
      <c r="GN29" s="328"/>
      <c r="GO29" s="333"/>
      <c r="GP29" s="334"/>
      <c r="GQ29" s="327" t="str">
        <f t="shared" si="204"/>
        <v>12 HumSS C</v>
      </c>
      <c r="GR29" s="328"/>
      <c r="GS29" s="327" t="str">
        <f t="shared" si="205"/>
        <v>12 HumSS C</v>
      </c>
      <c r="GT29" s="328"/>
      <c r="GU29" s="327" t="str">
        <f t="shared" si="206"/>
        <v>12 HumSS C</v>
      </c>
      <c r="GV29" s="328"/>
      <c r="GW29" s="309"/>
      <c r="GX29" s="311"/>
      <c r="GY29" s="327"/>
      <c r="GZ29" s="328"/>
      <c r="HA29" s="327" t="s">
        <v>489</v>
      </c>
      <c r="HB29" s="328"/>
      <c r="HC29" s="327" t="s">
        <v>490</v>
      </c>
      <c r="HD29" s="328"/>
      <c r="HE29" s="327" t="str">
        <f t="shared" si="136"/>
        <v/>
      </c>
      <c r="HF29" s="328"/>
      <c r="HG29" s="327" t="s">
        <v>492</v>
      </c>
      <c r="HH29" s="328"/>
      <c r="HI29" s="309"/>
      <c r="HJ29" s="311"/>
      <c r="HK29" s="327" t="s">
        <v>452</v>
      </c>
      <c r="HL29" s="328"/>
      <c r="HM29" s="327" t="str">
        <f t="shared" si="138"/>
        <v>11 STEM</v>
      </c>
      <c r="HN29" s="328"/>
      <c r="HO29" s="327" t="str">
        <f t="shared" si="139"/>
        <v>11 STEM</v>
      </c>
      <c r="HP29" s="328"/>
      <c r="HQ29" s="327" t="str">
        <f t="shared" si="140"/>
        <v>11 STEM</v>
      </c>
      <c r="HR29" s="328"/>
      <c r="HS29" s="327" t="str">
        <f t="shared" si="141"/>
        <v>11 STEM</v>
      </c>
      <c r="HT29" s="328"/>
      <c r="HU29" s="309"/>
      <c r="HV29" s="311"/>
      <c r="HW29" s="327" t="s">
        <v>495</v>
      </c>
      <c r="HX29" s="328"/>
      <c r="HY29" s="327" t="str">
        <f t="shared" si="142"/>
        <v>12 GAS</v>
      </c>
      <c r="HZ29" s="328"/>
      <c r="IA29" s="327" t="str">
        <f t="shared" si="143"/>
        <v>12 GAS</v>
      </c>
      <c r="IB29" s="328"/>
      <c r="IC29" s="327" t="str">
        <f t="shared" si="144"/>
        <v>12 GAS</v>
      </c>
      <c r="ID29" s="328"/>
      <c r="IE29" s="327" t="str">
        <f t="shared" si="145"/>
        <v>12 GAS</v>
      </c>
      <c r="IF29" s="328"/>
      <c r="IG29" s="309"/>
      <c r="IH29" s="311"/>
      <c r="II29" s="327" t="s">
        <v>487</v>
      </c>
      <c r="IJ29" s="328"/>
      <c r="IK29" s="327" t="str">
        <f t="shared" si="146"/>
        <v>12 HumSS B</v>
      </c>
      <c r="IL29" s="328"/>
      <c r="IM29" s="327" t="str">
        <f t="shared" si="147"/>
        <v>12 HumSS B</v>
      </c>
      <c r="IN29" s="328"/>
      <c r="IO29" s="327" t="str">
        <f t="shared" si="148"/>
        <v>12 HumSS B</v>
      </c>
      <c r="IP29" s="328"/>
      <c r="IQ29" s="327" t="str">
        <f t="shared" si="149"/>
        <v>12 HumSS B</v>
      </c>
      <c r="IR29" s="328"/>
      <c r="IS29" s="309"/>
      <c r="IT29" s="311"/>
      <c r="IU29" s="327" t="s">
        <v>451</v>
      </c>
      <c r="IV29" s="328"/>
      <c r="IW29" s="327" t="str">
        <f t="shared" si="150"/>
        <v>11 HumSS C</v>
      </c>
      <c r="IX29" s="328"/>
      <c r="IY29" s="327" t="str">
        <f t="shared" si="151"/>
        <v>11 HumSS C</v>
      </c>
      <c r="IZ29" s="328"/>
      <c r="JA29" s="327" t="str">
        <f t="shared" si="152"/>
        <v>11 HumSS C</v>
      </c>
      <c r="JB29" s="328"/>
      <c r="JC29" s="327" t="str">
        <f t="shared" si="153"/>
        <v>11 HumSS C</v>
      </c>
      <c r="JD29" s="328"/>
      <c r="JE29" s="309"/>
      <c r="JF29" s="311"/>
      <c r="JG29" s="327" t="s">
        <v>494</v>
      </c>
      <c r="JH29" s="328"/>
      <c r="JI29" s="327" t="str">
        <f t="shared" si="249"/>
        <v>12 ICT</v>
      </c>
      <c r="JJ29" s="328"/>
      <c r="JK29" s="327" t="str">
        <f t="shared" si="213"/>
        <v>12 ICT</v>
      </c>
      <c r="JL29" s="328"/>
      <c r="JM29" s="327" t="str">
        <f t="shared" si="250"/>
        <v>12 ICT</v>
      </c>
      <c r="JN29" s="328"/>
      <c r="JO29" s="327" t="str">
        <f t="shared" si="214"/>
        <v>12 ICT</v>
      </c>
      <c r="JP29" s="328"/>
      <c r="JQ29" s="309"/>
      <c r="JR29" s="311"/>
      <c r="JS29" s="327" t="s">
        <v>488</v>
      </c>
      <c r="JT29" s="328"/>
      <c r="JU29" s="327" t="str">
        <f t="shared" si="154"/>
        <v>12 HumSS C</v>
      </c>
      <c r="JV29" s="328"/>
      <c r="JW29" s="327" t="str">
        <f t="shared" si="155"/>
        <v>12 HumSS C</v>
      </c>
      <c r="JX29" s="328"/>
      <c r="JY29" s="327" t="str">
        <f t="shared" si="156"/>
        <v>12 HumSS C</v>
      </c>
      <c r="JZ29" s="328"/>
      <c r="KA29" s="327" t="str">
        <f t="shared" si="157"/>
        <v>12 HumSS C</v>
      </c>
      <c r="KB29" s="328"/>
      <c r="KC29" s="309"/>
      <c r="KD29" s="311"/>
      <c r="KE29" s="327" t="s">
        <v>485</v>
      </c>
      <c r="KF29" s="328"/>
      <c r="KG29" s="327" t="str">
        <f t="shared" si="158"/>
        <v>12 STEM</v>
      </c>
      <c r="KH29" s="328"/>
      <c r="KI29" s="327" t="str">
        <f t="shared" si="159"/>
        <v>12 STEM</v>
      </c>
      <c r="KJ29" s="328"/>
      <c r="KK29" s="327" t="str">
        <f t="shared" si="160"/>
        <v>12 STEM</v>
      </c>
      <c r="KL29" s="328"/>
      <c r="KM29" s="327" t="str">
        <f t="shared" si="161"/>
        <v>12 STEM</v>
      </c>
      <c r="KN29" s="328"/>
      <c r="KO29" s="309"/>
      <c r="KP29" s="311"/>
      <c r="KQ29" s="327" t="s">
        <v>465</v>
      </c>
      <c r="KR29" s="328"/>
      <c r="KS29" s="327" t="str">
        <f t="shared" si="162"/>
        <v>11 GAS</v>
      </c>
      <c r="KT29" s="328"/>
      <c r="KU29" s="327" t="str">
        <f t="shared" si="163"/>
        <v>11 GAS</v>
      </c>
      <c r="KV29" s="328"/>
      <c r="KW29" s="327" t="str">
        <f t="shared" si="164"/>
        <v>11 GAS</v>
      </c>
      <c r="KX29" s="328"/>
      <c r="KY29" s="327" t="str">
        <f t="shared" si="165"/>
        <v>11 GAS</v>
      </c>
      <c r="KZ29" s="328"/>
      <c r="LA29" s="309"/>
      <c r="LB29" s="311"/>
      <c r="LC29" s="327"/>
      <c r="LD29" s="328"/>
      <c r="LE29" s="327" t="str">
        <f t="shared" si="166"/>
        <v/>
      </c>
      <c r="LF29" s="328"/>
      <c r="LG29" s="327" t="str">
        <f t="shared" si="167"/>
        <v/>
      </c>
      <c r="LH29" s="328"/>
      <c r="LI29" s="327" t="str">
        <f t="shared" si="52"/>
        <v/>
      </c>
      <c r="LJ29" s="328"/>
      <c r="LK29" s="327" t="str">
        <f t="shared" si="53"/>
        <v/>
      </c>
      <c r="LL29" s="328"/>
      <c r="LM29" s="309"/>
      <c r="LN29" s="311"/>
      <c r="LO29" s="327"/>
      <c r="LP29" s="328"/>
      <c r="LQ29" s="327" t="str">
        <f t="shared" si="168"/>
        <v/>
      </c>
      <c r="LR29" s="328"/>
      <c r="LS29" s="327" t="str">
        <f t="shared" si="169"/>
        <v/>
      </c>
      <c r="LT29" s="328"/>
      <c r="LU29" s="327" t="str">
        <f t="shared" si="54"/>
        <v/>
      </c>
      <c r="LV29" s="328"/>
      <c r="LW29" s="327" t="str">
        <f t="shared" si="55"/>
        <v/>
      </c>
      <c r="LX29" s="328"/>
      <c r="LY29" s="309"/>
      <c r="LZ29" s="311"/>
      <c r="MA29" s="327"/>
      <c r="MB29" s="328"/>
      <c r="MC29" s="327" t="str">
        <f t="shared" si="170"/>
        <v/>
      </c>
      <c r="MD29" s="328"/>
      <c r="ME29" s="327" t="str">
        <f t="shared" si="171"/>
        <v/>
      </c>
      <c r="MF29" s="328"/>
      <c r="MG29" s="327" t="str">
        <f t="shared" si="56"/>
        <v/>
      </c>
      <c r="MH29" s="328"/>
      <c r="MI29" s="327" t="str">
        <f t="shared" si="57"/>
        <v/>
      </c>
      <c r="MJ29" s="328"/>
      <c r="MK29" s="309"/>
      <c r="ML29" s="311"/>
      <c r="MM29" s="327"/>
      <c r="MN29" s="328"/>
      <c r="MO29" s="327" t="str">
        <f t="shared" si="172"/>
        <v/>
      </c>
      <c r="MP29" s="328"/>
      <c r="MQ29" s="327" t="str">
        <f t="shared" si="173"/>
        <v/>
      </c>
      <c r="MR29" s="328"/>
      <c r="MS29" s="327" t="str">
        <f t="shared" si="58"/>
        <v/>
      </c>
      <c r="MT29" s="328"/>
      <c r="MU29" s="327" t="str">
        <f t="shared" si="59"/>
        <v/>
      </c>
      <c r="MV29" s="328"/>
      <c r="MW29" s="309"/>
      <c r="MX29" s="311"/>
      <c r="MY29" s="327"/>
      <c r="MZ29" s="328"/>
      <c r="NA29" s="327" t="str">
        <f t="shared" si="174"/>
        <v/>
      </c>
      <c r="NB29" s="328"/>
      <c r="NC29" s="327" t="str">
        <f t="shared" si="175"/>
        <v/>
      </c>
      <c r="ND29" s="328"/>
      <c r="NE29" s="327" t="str">
        <f t="shared" si="60"/>
        <v/>
      </c>
      <c r="NF29" s="328"/>
      <c r="NG29" s="327" t="str">
        <f t="shared" si="61"/>
        <v/>
      </c>
      <c r="NH29" s="328"/>
      <c r="NI29" s="309"/>
      <c r="NJ29" s="311"/>
      <c r="NK29" s="327"/>
      <c r="NL29" s="328"/>
      <c r="NM29" s="327" t="str">
        <f t="shared" si="176"/>
        <v/>
      </c>
      <c r="NN29" s="328"/>
      <c r="NO29" s="327" t="str">
        <f t="shared" si="177"/>
        <v/>
      </c>
      <c r="NP29" s="328"/>
      <c r="NQ29" s="327" t="str">
        <f t="shared" si="62"/>
        <v/>
      </c>
      <c r="NR29" s="328"/>
      <c r="NS29" s="327" t="str">
        <f t="shared" si="63"/>
        <v/>
      </c>
      <c r="NT29" s="328"/>
      <c r="NU29" s="309"/>
      <c r="NV29" s="311"/>
      <c r="NW29" s="327"/>
      <c r="NX29" s="328"/>
      <c r="NY29" s="327" t="str">
        <f t="shared" si="178"/>
        <v/>
      </c>
      <c r="NZ29" s="328"/>
      <c r="OA29" s="327" t="str">
        <f t="shared" si="179"/>
        <v/>
      </c>
      <c r="OB29" s="328"/>
      <c r="OC29" s="327" t="str">
        <f t="shared" si="64"/>
        <v/>
      </c>
      <c r="OD29" s="328"/>
      <c r="OE29" s="327" t="str">
        <f t="shared" si="65"/>
        <v/>
      </c>
      <c r="OF29" s="328"/>
      <c r="OG29" s="309"/>
      <c r="OH29" s="311"/>
      <c r="OI29" s="327"/>
      <c r="OJ29" s="328"/>
      <c r="OK29" s="327" t="str">
        <f t="shared" si="180"/>
        <v/>
      </c>
      <c r="OL29" s="328"/>
      <c r="OM29" s="327" t="str">
        <f t="shared" si="181"/>
        <v/>
      </c>
      <c r="ON29" s="328"/>
      <c r="OO29" s="327" t="str">
        <f t="shared" si="66"/>
        <v/>
      </c>
      <c r="OP29" s="328"/>
      <c r="OQ29" s="327" t="str">
        <f t="shared" si="67"/>
        <v/>
      </c>
      <c r="OR29" s="328"/>
      <c r="OS29" s="309"/>
      <c r="OT29" s="311"/>
      <c r="OU29" s="327"/>
      <c r="OV29" s="328"/>
      <c r="OW29" s="327" t="str">
        <f t="shared" si="182"/>
        <v/>
      </c>
      <c r="OX29" s="328"/>
      <c r="OY29" s="327" t="str">
        <f t="shared" si="183"/>
        <v/>
      </c>
      <c r="OZ29" s="328"/>
      <c r="PA29" s="327" t="str">
        <f t="shared" si="68"/>
        <v/>
      </c>
      <c r="PB29" s="328"/>
      <c r="PC29" s="327" t="str">
        <f t="shared" si="69"/>
        <v/>
      </c>
      <c r="PD29" s="328"/>
      <c r="PE29" s="309"/>
      <c r="PF29" s="311"/>
      <c r="PG29" s="327"/>
      <c r="PH29" s="328"/>
      <c r="PI29" s="327" t="str">
        <f t="shared" si="184"/>
        <v/>
      </c>
      <c r="PJ29" s="328"/>
      <c r="PK29" s="327" t="str">
        <f t="shared" si="185"/>
        <v/>
      </c>
      <c r="PL29" s="328"/>
      <c r="PM29" s="327" t="str">
        <f t="shared" si="70"/>
        <v/>
      </c>
      <c r="PN29" s="328"/>
      <c r="PO29" s="327" t="str">
        <f t="shared" si="71"/>
        <v/>
      </c>
      <c r="PP29" s="328"/>
    </row>
    <row r="30" spans="1:432">
      <c r="A30" s="308" t="s">
        <v>29</v>
      </c>
      <c r="B30" s="310">
        <f>IF(AND(C30="",E30="",G30="",I30="",K30=""),"",COUNTA(C30:L30)*60)</f>
        <v>300</v>
      </c>
      <c r="C30" s="305" t="str">
        <f>'Gen CP'!D75</f>
        <v>CPAR</v>
      </c>
      <c r="D30" s="306"/>
      <c r="E30" s="305" t="str">
        <f t="shared" si="186"/>
        <v>CPAR</v>
      </c>
      <c r="F30" s="306"/>
      <c r="G30" s="305" t="str">
        <f t="shared" si="72"/>
        <v>CPAR</v>
      </c>
      <c r="H30" s="306"/>
      <c r="I30" s="305" t="str">
        <f t="shared" si="72"/>
        <v>CPAR</v>
      </c>
      <c r="J30" s="306"/>
      <c r="K30" s="314" t="str">
        <f>K16</f>
        <v>Earth Science</v>
      </c>
      <c r="L30" s="315"/>
      <c r="M30" s="308" t="s">
        <v>29</v>
      </c>
      <c r="N30" s="310">
        <f>IF(AND(O30="",Q30="",S30="",U30="",W30=""),"",COUNTA(O30:X30)*60)</f>
        <v>300</v>
      </c>
      <c r="O30" s="327" t="s">
        <v>112</v>
      </c>
      <c r="P30" s="328"/>
      <c r="Q30" s="327" t="str">
        <f t="shared" si="74"/>
        <v>Oral Com</v>
      </c>
      <c r="R30" s="328"/>
      <c r="S30" s="327" t="str">
        <f t="shared" si="75"/>
        <v>Oral Com</v>
      </c>
      <c r="T30" s="328"/>
      <c r="U30" s="327" t="str">
        <f t="shared" si="76"/>
        <v>Oral Com</v>
      </c>
      <c r="V30" s="328"/>
      <c r="W30" s="331" t="str">
        <f>W16</f>
        <v>MIL</v>
      </c>
      <c r="X30" s="332"/>
      <c r="Y30" s="308" t="s">
        <v>29</v>
      </c>
      <c r="Z30" s="310">
        <f>IF(AND(AA30="",AC30="",AE30="",AG30="",AI30=""),"",COUNTA(AA30:AJ30)*60)</f>
        <v>300</v>
      </c>
      <c r="AA30" s="327" t="s">
        <v>112</v>
      </c>
      <c r="AB30" s="328"/>
      <c r="AC30" s="327" t="str">
        <f t="shared" si="78"/>
        <v>Oral Com</v>
      </c>
      <c r="AD30" s="328"/>
      <c r="AE30" s="327" t="str">
        <f t="shared" si="79"/>
        <v>Oral Com</v>
      </c>
      <c r="AF30" s="328"/>
      <c r="AG30" s="327" t="str">
        <f t="shared" si="80"/>
        <v>Oral Com</v>
      </c>
      <c r="AH30" s="328"/>
      <c r="AI30" s="331" t="str">
        <f>AI16</f>
        <v>Oral Com</v>
      </c>
      <c r="AJ30" s="332"/>
      <c r="AK30" s="308" t="s">
        <v>29</v>
      </c>
      <c r="AL30" s="310">
        <f>IF(AND(AM30="",AO30="",AQ30="",AS30="",AU30=""),"",COUNTA(AM30:AV30)*60)</f>
        <v>300</v>
      </c>
      <c r="AM30" s="327" t="s">
        <v>115</v>
      </c>
      <c r="AN30" s="328"/>
      <c r="AO30" s="327" t="str">
        <f t="shared" si="82"/>
        <v>UCSP</v>
      </c>
      <c r="AP30" s="328"/>
      <c r="AQ30" s="327" t="str">
        <f t="shared" si="83"/>
        <v>UCSP</v>
      </c>
      <c r="AR30" s="328"/>
      <c r="AS30" s="327" t="str">
        <f t="shared" si="84"/>
        <v>UCSP</v>
      </c>
      <c r="AT30" s="328"/>
      <c r="AU30" s="331" t="str">
        <f>AU16</f>
        <v>UCSP</v>
      </c>
      <c r="AV30" s="332"/>
      <c r="AW30" s="308" t="s">
        <v>29</v>
      </c>
      <c r="AX30" s="310">
        <f>IF(AND(AY30="",BA30="",BC30="",BE30="",BG30=""),"",COUNTA(AY30:BH30)*60)</f>
        <v>300</v>
      </c>
      <c r="AY30" s="327" t="s">
        <v>113</v>
      </c>
      <c r="AZ30" s="328"/>
      <c r="BA30" s="327" t="str">
        <f t="shared" si="86"/>
        <v>Kom Pan</v>
      </c>
      <c r="BB30" s="328"/>
      <c r="BC30" s="327" t="str">
        <f t="shared" si="87"/>
        <v>Kom Pan</v>
      </c>
      <c r="BD30" s="328"/>
      <c r="BE30" s="327" t="str">
        <f t="shared" si="88"/>
        <v>Kom Pan</v>
      </c>
      <c r="BF30" s="328"/>
      <c r="BG30" s="331" t="str">
        <f>BG16</f>
        <v>Kom Pan</v>
      </c>
      <c r="BH30" s="332"/>
      <c r="BI30" s="308" t="s">
        <v>29</v>
      </c>
      <c r="BJ30" s="310">
        <f>IF(AND(BK30="",BM30="",BO30="",BQ30="",BS30=""),"",COUNTA(BK30:BT30)*60)</f>
        <v>300</v>
      </c>
      <c r="BK30" s="327" t="s">
        <v>115</v>
      </c>
      <c r="BL30" s="328"/>
      <c r="BM30" s="327" t="str">
        <f t="shared" si="90"/>
        <v>UCSP</v>
      </c>
      <c r="BN30" s="328"/>
      <c r="BO30" s="327" t="str">
        <f t="shared" si="91"/>
        <v>UCSP</v>
      </c>
      <c r="BP30" s="328"/>
      <c r="BQ30" s="327" t="str">
        <f t="shared" si="92"/>
        <v>UCSP</v>
      </c>
      <c r="BR30" s="328"/>
      <c r="BS30" s="331" t="str">
        <f>BS16</f>
        <v>UCSP</v>
      </c>
      <c r="BT30" s="332"/>
      <c r="BU30" s="308" t="s">
        <v>29</v>
      </c>
      <c r="BV30" s="310">
        <f>IF(AND(BW30="",BY30="",CA30="",CC30="",CE30=""),"",COUNTA(BW30:CF30)*60)</f>
        <v>300</v>
      </c>
      <c r="BW30" s="327" t="s">
        <v>311</v>
      </c>
      <c r="BX30" s="328"/>
      <c r="BY30" s="327" t="str">
        <f t="shared" si="94"/>
        <v>Emp Tech</v>
      </c>
      <c r="BZ30" s="328"/>
      <c r="CA30" s="327" t="str">
        <f t="shared" si="95"/>
        <v>Emp Tech</v>
      </c>
      <c r="CB30" s="328"/>
      <c r="CC30" s="327" t="str">
        <f t="shared" si="96"/>
        <v>Emp Tech</v>
      </c>
      <c r="CD30" s="328"/>
      <c r="CE30" s="331" t="str">
        <f>CE16</f>
        <v>Agri-Crops NC II</v>
      </c>
      <c r="CF30" s="332"/>
      <c r="CG30" s="308" t="s">
        <v>29</v>
      </c>
      <c r="CH30" s="310">
        <f>IF(AND(CI30="",CK30="",CM30="",CO30="",CQ30=""),"",COUNTA(CI30:CR30)*60)</f>
        <v>300</v>
      </c>
      <c r="CI30" s="327" t="s">
        <v>150</v>
      </c>
      <c r="CJ30" s="328"/>
      <c r="CK30" s="327" t="str">
        <f t="shared" si="98"/>
        <v>Gen Math</v>
      </c>
      <c r="CL30" s="328"/>
      <c r="CM30" s="327" t="str">
        <f t="shared" si="99"/>
        <v>Gen Math</v>
      </c>
      <c r="CN30" s="328"/>
      <c r="CO30" s="327" t="str">
        <f t="shared" si="100"/>
        <v>Gen Math</v>
      </c>
      <c r="CP30" s="328"/>
      <c r="CQ30" s="331" t="str">
        <f>CQ16</f>
        <v>Earth &amp; Life</v>
      </c>
      <c r="CR30" s="332"/>
      <c r="CS30" s="308" t="s">
        <v>29</v>
      </c>
      <c r="CT30" s="310">
        <f>IF(AND(CU30="",CW30="",CY30="",DA30="",DC30=""),"",COUNTA(CU30:DD30)*60)</f>
        <v>300</v>
      </c>
      <c r="CU30" s="327" t="s">
        <v>314</v>
      </c>
      <c r="CV30" s="328"/>
      <c r="CW30" s="327" t="str">
        <f t="shared" si="102"/>
        <v>Philo</v>
      </c>
      <c r="CX30" s="328"/>
      <c r="CY30" s="327" t="str">
        <f t="shared" si="103"/>
        <v>Philo</v>
      </c>
      <c r="CZ30" s="328"/>
      <c r="DA30" s="327" t="str">
        <f t="shared" si="104"/>
        <v>Philo</v>
      </c>
      <c r="DB30" s="328"/>
      <c r="DC30" s="331" t="str">
        <f>DC16</f>
        <v>Emp Tech</v>
      </c>
      <c r="DD30" s="332"/>
      <c r="DE30" s="308" t="s">
        <v>337</v>
      </c>
      <c r="DF30" s="310">
        <v>50</v>
      </c>
      <c r="DG30" s="327"/>
      <c r="DH30" s="328"/>
      <c r="DI30" s="327" t="str">
        <f t="shared" si="106"/>
        <v/>
      </c>
      <c r="DJ30" s="328"/>
      <c r="DK30" s="327" t="str">
        <f t="shared" si="107"/>
        <v/>
      </c>
      <c r="DL30" s="328"/>
      <c r="DM30" s="327" t="str">
        <f t="shared" si="108"/>
        <v/>
      </c>
      <c r="DN30" s="328"/>
      <c r="DO30" s="331" t="str">
        <f>DO16</f>
        <v>UCSP</v>
      </c>
      <c r="DP30" s="332"/>
      <c r="DQ30" s="308" t="s">
        <v>29</v>
      </c>
      <c r="DR30" s="310">
        <v>60</v>
      </c>
      <c r="DS30" s="327"/>
      <c r="DT30" s="328"/>
      <c r="DU30" s="327" t="str">
        <f t="shared" si="110"/>
        <v/>
      </c>
      <c r="DV30" s="328"/>
      <c r="DW30" s="327" t="str">
        <f t="shared" si="111"/>
        <v/>
      </c>
      <c r="DX30" s="328"/>
      <c r="DY30" s="327" t="str">
        <f t="shared" si="112"/>
        <v/>
      </c>
      <c r="DZ30" s="328"/>
      <c r="EA30" s="331" t="s">
        <v>279</v>
      </c>
      <c r="EB30" s="332"/>
      <c r="EC30" s="308" t="s">
        <v>29</v>
      </c>
      <c r="ED30" s="310">
        <f>IF(AND(EE30="",EG30="",EI30="",EK30="",EM30=""),"",COUNTA(EE30:EN30)*60)</f>
        <v>300</v>
      </c>
      <c r="EE30" s="327" t="s">
        <v>503</v>
      </c>
      <c r="EF30" s="328"/>
      <c r="EG30" s="327" t="str">
        <f t="shared" si="114"/>
        <v>Research</v>
      </c>
      <c r="EH30" s="328"/>
      <c r="EI30" s="327" t="str">
        <f t="shared" si="115"/>
        <v>Research</v>
      </c>
      <c r="EJ30" s="328"/>
      <c r="EK30" s="327" t="str">
        <f t="shared" si="116"/>
        <v>Research</v>
      </c>
      <c r="EL30" s="328"/>
      <c r="EM30" s="331" t="str">
        <f>EM16</f>
        <v>Research</v>
      </c>
      <c r="EN30" s="332"/>
      <c r="EO30" s="308" t="s">
        <v>29</v>
      </c>
      <c r="EP30" s="310">
        <f>IF(AND(EQ30="",ES30="",EU30="",EW30="",EY30=""),"",COUNTA(EQ30:EZ30)*60)</f>
        <v>300</v>
      </c>
      <c r="EQ30" s="327" t="s">
        <v>505</v>
      </c>
      <c r="ER30" s="328"/>
      <c r="ES30" s="327" t="str">
        <f t="shared" si="118"/>
        <v>Physics</v>
      </c>
      <c r="ET30" s="328"/>
      <c r="EU30" s="327" t="str">
        <f t="shared" si="119"/>
        <v>Physics</v>
      </c>
      <c r="EV30" s="328"/>
      <c r="EW30" s="327" t="str">
        <f t="shared" si="120"/>
        <v>Physics</v>
      </c>
      <c r="EX30" s="328"/>
      <c r="EY30" s="331" t="str">
        <f>EY16</f>
        <v>Philo</v>
      </c>
      <c r="EZ30" s="332"/>
      <c r="FA30" s="341" t="s">
        <v>29</v>
      </c>
      <c r="FB30" s="310">
        <f>IF(AND(FC30="",FE30="",FG30="",FI30="",FK30=""),"",COUNTA(FC30:FL30)*60)</f>
        <v>300</v>
      </c>
      <c r="FC30" s="327" t="s">
        <v>127</v>
      </c>
      <c r="FD30" s="328"/>
      <c r="FE30" s="327" t="str">
        <f t="shared" si="122"/>
        <v>SMAW NC II</v>
      </c>
      <c r="FF30" s="328"/>
      <c r="FG30" s="327" t="str">
        <f t="shared" si="123"/>
        <v>SMAW NC II</v>
      </c>
      <c r="FH30" s="328"/>
      <c r="FI30" s="327" t="str">
        <f t="shared" si="124"/>
        <v>SMAW NC II</v>
      </c>
      <c r="FJ30" s="328"/>
      <c r="FK30" s="331" t="str">
        <f>FK16</f>
        <v>Philo</v>
      </c>
      <c r="FL30" s="332"/>
      <c r="FM30" s="308" t="s">
        <v>29</v>
      </c>
      <c r="FN30" s="310">
        <f>IF(AND(FO30="",FQ30="",FS30="",FU30="",FW30=""),"",COUNTA(FO30:FX30)*60)</f>
        <v>300</v>
      </c>
      <c r="FO30" s="327" t="str">
        <f>'Gen CP'!I75</f>
        <v>Philo</v>
      </c>
      <c r="FP30" s="328"/>
      <c r="FQ30" s="327" t="str">
        <f t="shared" si="126"/>
        <v>Philo</v>
      </c>
      <c r="FR30" s="328"/>
      <c r="FS30" s="327" t="str">
        <f t="shared" si="127"/>
        <v>Philo</v>
      </c>
      <c r="FT30" s="328"/>
      <c r="FU30" s="327" t="str">
        <f t="shared" si="128"/>
        <v>Philo</v>
      </c>
      <c r="FV30" s="328"/>
      <c r="FW30" s="331" t="str">
        <f>FW16</f>
        <v>PPG</v>
      </c>
      <c r="FX30" s="332"/>
      <c r="FY30" s="308" t="s">
        <v>29</v>
      </c>
      <c r="FZ30" s="310">
        <f>IF(AND(GA30="",GC30="",GE30="",GG30="",GI30=""),"",COUNTA(GA30:GJ30)*60)</f>
        <v>300</v>
      </c>
      <c r="GA30" s="327" t="s">
        <v>113</v>
      </c>
      <c r="GB30" s="328"/>
      <c r="GC30" s="327" t="str">
        <f t="shared" si="130"/>
        <v>Kom Pan</v>
      </c>
      <c r="GD30" s="328"/>
      <c r="GE30" s="327" t="str">
        <f t="shared" si="131"/>
        <v>Kom Pan</v>
      </c>
      <c r="GF30" s="328"/>
      <c r="GG30" s="327" t="str">
        <f t="shared" si="132"/>
        <v>Kom Pan</v>
      </c>
      <c r="GH30" s="328"/>
      <c r="GI30" s="331" t="str">
        <f>GI16</f>
        <v>Piling Larang</v>
      </c>
      <c r="GJ30" s="332"/>
      <c r="GK30" s="308" t="s">
        <v>29</v>
      </c>
      <c r="GL30" s="310">
        <f>IF(AND(GM30="",GO30="",GQ30="",GS30="",GU30=""),"",COUNTA(GM30:GV30)*60)</f>
        <v>240</v>
      </c>
      <c r="GM30" s="327" t="s">
        <v>199</v>
      </c>
      <c r="GN30" s="328"/>
      <c r="GO30" s="327" t="str">
        <f t="shared" si="203"/>
        <v>World Religions</v>
      </c>
      <c r="GP30" s="328"/>
      <c r="GQ30" s="327" t="str">
        <f t="shared" si="204"/>
        <v>World Religions</v>
      </c>
      <c r="GR30" s="328"/>
      <c r="GS30" s="327" t="str">
        <f t="shared" si="205"/>
        <v>World Religions</v>
      </c>
      <c r="GT30" s="328"/>
      <c r="GU30" s="327"/>
      <c r="GV30" s="328"/>
      <c r="GW30" s="308" t="s">
        <v>29</v>
      </c>
      <c r="GX30" s="310">
        <v>60</v>
      </c>
      <c r="GY30" s="327"/>
      <c r="GZ30" s="328"/>
      <c r="HA30" s="327" t="str">
        <f t="shared" si="134"/>
        <v/>
      </c>
      <c r="HB30" s="328"/>
      <c r="HC30" s="327" t="str">
        <f t="shared" si="135"/>
        <v/>
      </c>
      <c r="HD30" s="328"/>
      <c r="HE30" s="327" t="str">
        <f t="shared" si="136"/>
        <v/>
      </c>
      <c r="HF30" s="328"/>
      <c r="HG30" s="331" t="str">
        <f>HG16</f>
        <v>CPAR</v>
      </c>
      <c r="HH30" s="332"/>
      <c r="HI30" s="308" t="s">
        <v>29</v>
      </c>
      <c r="HJ30" s="310">
        <f>IF(AND(HK30="",HM30="",HO30="",HQ30="",HS30=""),"",COUNTA(HK30:HT30)*60)</f>
        <v>300</v>
      </c>
      <c r="HK30" s="327" t="s">
        <v>311</v>
      </c>
      <c r="HL30" s="328"/>
      <c r="HM30" s="327" t="str">
        <f t="shared" si="138"/>
        <v>Emp Tech</v>
      </c>
      <c r="HN30" s="328"/>
      <c r="HO30" s="327" t="str">
        <f t="shared" si="139"/>
        <v>Emp Tech</v>
      </c>
      <c r="HP30" s="328"/>
      <c r="HQ30" s="327" t="str">
        <f t="shared" si="140"/>
        <v>Emp Tech</v>
      </c>
      <c r="HR30" s="328"/>
      <c r="HS30" s="331" t="str">
        <f>HS16</f>
        <v>CSS</v>
      </c>
      <c r="HT30" s="332"/>
      <c r="HU30" s="308" t="s">
        <v>29</v>
      </c>
      <c r="HV30" s="310">
        <f>IF(AND(HW30="",HY30="",IA30="",IC30="",IE30=""),"",COUNTA(HW30:IF30)*60)</f>
        <v>240</v>
      </c>
      <c r="HW30" s="339" t="str">
        <f>'Gen CP'!I32</f>
        <v>Gen Math</v>
      </c>
      <c r="HX30" s="340"/>
      <c r="HY30" s="339" t="str">
        <f t="shared" si="142"/>
        <v>Gen Math</v>
      </c>
      <c r="HZ30" s="340"/>
      <c r="IA30" s="339" t="str">
        <f t="shared" si="143"/>
        <v>Gen Math</v>
      </c>
      <c r="IB30" s="340"/>
      <c r="IC30" s="339" t="str">
        <f t="shared" si="144"/>
        <v>Gen Math</v>
      </c>
      <c r="ID30" s="340"/>
      <c r="IE30" s="327"/>
      <c r="IF30" s="328"/>
      <c r="IG30" s="308" t="s">
        <v>29</v>
      </c>
      <c r="IH30" s="310">
        <f>IF(AND(II30="",IK30="",IM30="",IO30="",IQ30=""),"",COUNTA(II30:IR30)*60)</f>
        <v>300</v>
      </c>
      <c r="II30" s="327" t="s">
        <v>125</v>
      </c>
      <c r="IJ30" s="328"/>
      <c r="IK30" s="327" t="str">
        <f t="shared" si="146"/>
        <v>CPAR</v>
      </c>
      <c r="IL30" s="328"/>
      <c r="IM30" s="327" t="str">
        <f t="shared" si="147"/>
        <v>CPAR</v>
      </c>
      <c r="IN30" s="328"/>
      <c r="IO30" s="327" t="str">
        <f t="shared" si="148"/>
        <v>CPAR</v>
      </c>
      <c r="IP30" s="328"/>
      <c r="IQ30" s="331" t="str">
        <f>IQ16</f>
        <v>CPAR</v>
      </c>
      <c r="IR30" s="332"/>
      <c r="IS30" s="308" t="s">
        <v>29</v>
      </c>
      <c r="IT30" s="310">
        <f>IF(AND(IU30="",IW30="",IY30="",JA30="",JC30=""),"",COUNTA(IU30:JD30)*60)</f>
        <v>240</v>
      </c>
      <c r="IU30" s="327" t="str">
        <f>'Gen CP'!D32</f>
        <v>Gen Math</v>
      </c>
      <c r="IV30" s="328"/>
      <c r="IW30" s="327" t="str">
        <f t="shared" si="150"/>
        <v>Gen Math</v>
      </c>
      <c r="IX30" s="328"/>
      <c r="IY30" s="327" t="str">
        <f t="shared" si="151"/>
        <v>Gen Math</v>
      </c>
      <c r="IZ30" s="328"/>
      <c r="JA30" s="327" t="str">
        <f t="shared" si="152"/>
        <v>Gen Math</v>
      </c>
      <c r="JB30" s="328"/>
      <c r="JC30" s="327"/>
      <c r="JD30" s="328"/>
      <c r="JE30" s="308" t="s">
        <v>29</v>
      </c>
      <c r="JF30" s="310">
        <f>IF(AND(JG30="",JI30="",JK30="",JM30="",JO30=""),"",COUNTA(JG30:JP30)*60)</f>
        <v>240</v>
      </c>
      <c r="JG30" s="327" t="s">
        <v>132</v>
      </c>
      <c r="JH30" s="328"/>
      <c r="JI30" s="327" t="str">
        <f t="shared" si="249"/>
        <v>Piling Larang</v>
      </c>
      <c r="JJ30" s="328"/>
      <c r="JK30" s="327" t="str">
        <f t="shared" si="213"/>
        <v>Piling Larang</v>
      </c>
      <c r="JL30" s="328"/>
      <c r="JM30" s="327" t="str">
        <f t="shared" si="250"/>
        <v>Piling Larang</v>
      </c>
      <c r="JN30" s="328"/>
      <c r="JO30" s="327"/>
      <c r="JP30" s="328"/>
      <c r="JQ30" s="308" t="s">
        <v>29</v>
      </c>
      <c r="JR30" s="310">
        <v>60</v>
      </c>
      <c r="JS30" s="327"/>
      <c r="JT30" s="328"/>
      <c r="JU30" s="327" t="str">
        <f t="shared" si="154"/>
        <v/>
      </c>
      <c r="JV30" s="328"/>
      <c r="JW30" s="327" t="str">
        <f t="shared" si="155"/>
        <v/>
      </c>
      <c r="JX30" s="328"/>
      <c r="JY30" s="327" t="str">
        <f t="shared" si="156"/>
        <v/>
      </c>
      <c r="JZ30" s="328"/>
      <c r="KA30" s="331" t="str">
        <f>KA16</f>
        <v>Research 2</v>
      </c>
      <c r="KB30" s="332"/>
      <c r="KC30" s="308" t="s">
        <v>29</v>
      </c>
      <c r="KD30" s="310">
        <f>IF(AND(KE30="",KG30="",KI30="",KK30="",KM30=""),"",COUNTA(KE30:KN30)*60)</f>
        <v>300</v>
      </c>
      <c r="KE30" s="327" t="s">
        <v>312</v>
      </c>
      <c r="KF30" s="328"/>
      <c r="KG30" s="327" t="str">
        <f t="shared" si="158"/>
        <v>21st Cen Lit</v>
      </c>
      <c r="KH30" s="328"/>
      <c r="KI30" s="327" t="str">
        <f t="shared" si="159"/>
        <v>21st Cen Lit</v>
      </c>
      <c r="KJ30" s="328"/>
      <c r="KK30" s="327" t="str">
        <f t="shared" si="160"/>
        <v>21st Cen Lit</v>
      </c>
      <c r="KL30" s="328"/>
      <c r="KM30" s="339" t="str">
        <f>KM16</f>
        <v>Earth &amp; Life</v>
      </c>
      <c r="KN30" s="340"/>
      <c r="KO30" s="308" t="s">
        <v>29</v>
      </c>
      <c r="KP30" s="310">
        <f>IF(AND(KQ30="",KS30="",KU30="",KW30="",KY30=""),"",COUNTA(KQ30:KZ30)*60)</f>
        <v>300</v>
      </c>
      <c r="KQ30" s="335" t="str">
        <f>'Gen CP'!F75</f>
        <v>Creative Non-Fiction</v>
      </c>
      <c r="KR30" s="336"/>
      <c r="KS30" s="335" t="str">
        <f t="shared" si="162"/>
        <v>Creative Non-Fiction</v>
      </c>
      <c r="KT30" s="336"/>
      <c r="KU30" s="335" t="str">
        <f t="shared" si="163"/>
        <v>Creative Non-Fiction</v>
      </c>
      <c r="KV30" s="336"/>
      <c r="KW30" s="335" t="str">
        <f t="shared" si="164"/>
        <v>Creative Non-Fiction</v>
      </c>
      <c r="KX30" s="336"/>
      <c r="KY30" s="331" t="str">
        <f>KY16</f>
        <v>Philo</v>
      </c>
      <c r="KZ30" s="332"/>
      <c r="LA30" s="308" t="s">
        <v>29</v>
      </c>
      <c r="LB30" s="310" t="str">
        <f t="shared" ref="LB30" si="404">IF(AND(LC30="",LE30="",LG30="",LI30="",LK30=""),"",COUNTA(LC30:LL30)*50)</f>
        <v/>
      </c>
      <c r="LC30" s="327"/>
      <c r="LD30" s="328"/>
      <c r="LE30" s="327" t="str">
        <f t="shared" si="166"/>
        <v/>
      </c>
      <c r="LF30" s="328"/>
      <c r="LG30" s="327" t="str">
        <f t="shared" si="167"/>
        <v/>
      </c>
      <c r="LH30" s="328"/>
      <c r="LI30" s="327" t="str">
        <f t="shared" si="52"/>
        <v/>
      </c>
      <c r="LJ30" s="328"/>
      <c r="LK30" s="327" t="str">
        <f t="shared" si="53"/>
        <v/>
      </c>
      <c r="LL30" s="328"/>
      <c r="LM30" s="308" t="s">
        <v>29</v>
      </c>
      <c r="LN30" s="310" t="str">
        <f t="shared" ref="LN30" si="405">IF(AND(LO30="",LQ30="",LS30="",LU30="",LW30=""),"",COUNTA(LO30:LX30)*50)</f>
        <v/>
      </c>
      <c r="LO30" s="327"/>
      <c r="LP30" s="328"/>
      <c r="LQ30" s="327" t="str">
        <f t="shared" si="168"/>
        <v/>
      </c>
      <c r="LR30" s="328"/>
      <c r="LS30" s="327" t="str">
        <f t="shared" si="169"/>
        <v/>
      </c>
      <c r="LT30" s="328"/>
      <c r="LU30" s="327" t="str">
        <f t="shared" si="54"/>
        <v/>
      </c>
      <c r="LV30" s="328"/>
      <c r="LW30" s="327" t="str">
        <f t="shared" si="55"/>
        <v/>
      </c>
      <c r="LX30" s="328"/>
      <c r="LY30" s="308" t="s">
        <v>29</v>
      </c>
      <c r="LZ30" s="310" t="str">
        <f t="shared" ref="LZ30" si="406">IF(AND(MA30="",MC30="",ME30="",MG30="",MI30=""),"",COUNTA(MA30:MJ30)*50)</f>
        <v/>
      </c>
      <c r="MA30" s="327"/>
      <c r="MB30" s="328"/>
      <c r="MC30" s="327" t="str">
        <f t="shared" si="170"/>
        <v/>
      </c>
      <c r="MD30" s="328"/>
      <c r="ME30" s="327" t="str">
        <f t="shared" si="171"/>
        <v/>
      </c>
      <c r="MF30" s="328"/>
      <c r="MG30" s="327" t="str">
        <f t="shared" si="56"/>
        <v/>
      </c>
      <c r="MH30" s="328"/>
      <c r="MI30" s="327" t="str">
        <f t="shared" si="57"/>
        <v/>
      </c>
      <c r="MJ30" s="328"/>
      <c r="MK30" s="308" t="s">
        <v>29</v>
      </c>
      <c r="ML30" s="310" t="str">
        <f t="shared" ref="ML30" si="407">IF(AND(MM30="",MO30="",MQ30="",MS30="",MU30=""),"",COUNTA(MM30:MV30)*50)</f>
        <v/>
      </c>
      <c r="MM30" s="327"/>
      <c r="MN30" s="328"/>
      <c r="MO30" s="327" t="str">
        <f t="shared" si="172"/>
        <v/>
      </c>
      <c r="MP30" s="328"/>
      <c r="MQ30" s="327" t="str">
        <f t="shared" si="173"/>
        <v/>
      </c>
      <c r="MR30" s="328"/>
      <c r="MS30" s="327" t="str">
        <f t="shared" si="58"/>
        <v/>
      </c>
      <c r="MT30" s="328"/>
      <c r="MU30" s="327" t="str">
        <f t="shared" si="59"/>
        <v/>
      </c>
      <c r="MV30" s="328"/>
      <c r="MW30" s="308" t="s">
        <v>29</v>
      </c>
      <c r="MX30" s="310" t="str">
        <f t="shared" ref="MX30" si="408">IF(AND(MY30="",NA30="",NC30="",NE30="",NG30=""),"",COUNTA(MY30:NH30)*50)</f>
        <v/>
      </c>
      <c r="MY30" s="327"/>
      <c r="MZ30" s="328"/>
      <c r="NA30" s="327" t="str">
        <f t="shared" si="174"/>
        <v/>
      </c>
      <c r="NB30" s="328"/>
      <c r="NC30" s="327" t="str">
        <f t="shared" si="175"/>
        <v/>
      </c>
      <c r="ND30" s="328"/>
      <c r="NE30" s="327" t="str">
        <f t="shared" si="60"/>
        <v/>
      </c>
      <c r="NF30" s="328"/>
      <c r="NG30" s="327" t="str">
        <f t="shared" si="61"/>
        <v/>
      </c>
      <c r="NH30" s="328"/>
      <c r="NI30" s="308" t="s">
        <v>29</v>
      </c>
      <c r="NJ30" s="310" t="str">
        <f t="shared" ref="NJ30" si="409">IF(AND(NK30="",NM30="",NO30="",NQ30="",NS30=""),"",COUNTA(NK30:NT30)*50)</f>
        <v/>
      </c>
      <c r="NK30" s="327"/>
      <c r="NL30" s="328"/>
      <c r="NM30" s="327" t="str">
        <f t="shared" si="176"/>
        <v/>
      </c>
      <c r="NN30" s="328"/>
      <c r="NO30" s="327" t="str">
        <f t="shared" si="177"/>
        <v/>
      </c>
      <c r="NP30" s="328"/>
      <c r="NQ30" s="327" t="str">
        <f t="shared" si="62"/>
        <v/>
      </c>
      <c r="NR30" s="328"/>
      <c r="NS30" s="327" t="str">
        <f t="shared" si="63"/>
        <v/>
      </c>
      <c r="NT30" s="328"/>
      <c r="NU30" s="308" t="s">
        <v>29</v>
      </c>
      <c r="NV30" s="310" t="str">
        <f t="shared" ref="NV30" si="410">IF(AND(NW30="",NY30="",OA30="",OC30="",OE30=""),"",COUNTA(NW30:OF30)*50)</f>
        <v/>
      </c>
      <c r="NW30" s="327"/>
      <c r="NX30" s="328"/>
      <c r="NY30" s="327" t="str">
        <f t="shared" si="178"/>
        <v/>
      </c>
      <c r="NZ30" s="328"/>
      <c r="OA30" s="327" t="str">
        <f t="shared" si="179"/>
        <v/>
      </c>
      <c r="OB30" s="328"/>
      <c r="OC30" s="327" t="str">
        <f t="shared" si="64"/>
        <v/>
      </c>
      <c r="OD30" s="328"/>
      <c r="OE30" s="327" t="str">
        <f t="shared" si="65"/>
        <v/>
      </c>
      <c r="OF30" s="328"/>
      <c r="OG30" s="308" t="s">
        <v>29</v>
      </c>
      <c r="OH30" s="310" t="str">
        <f t="shared" ref="OH30" si="411">IF(AND(OI30="",OK30="",OM30="",OO30="",OQ30=""),"",COUNTA(OI30:OR30)*50)</f>
        <v/>
      </c>
      <c r="OI30" s="327"/>
      <c r="OJ30" s="328"/>
      <c r="OK30" s="327" t="str">
        <f t="shared" si="180"/>
        <v/>
      </c>
      <c r="OL30" s="328"/>
      <c r="OM30" s="327" t="str">
        <f t="shared" si="181"/>
        <v/>
      </c>
      <c r="ON30" s="328"/>
      <c r="OO30" s="327" t="str">
        <f t="shared" si="66"/>
        <v/>
      </c>
      <c r="OP30" s="328"/>
      <c r="OQ30" s="327" t="str">
        <f t="shared" si="67"/>
        <v/>
      </c>
      <c r="OR30" s="328"/>
      <c r="OS30" s="308" t="s">
        <v>29</v>
      </c>
      <c r="OT30" s="310" t="str">
        <f t="shared" ref="OT30" si="412">IF(AND(OU30="",OW30="",OY30="",PA30="",PC30=""),"",COUNTA(OU30:PD30)*50)</f>
        <v/>
      </c>
      <c r="OU30" s="327"/>
      <c r="OV30" s="328"/>
      <c r="OW30" s="327" t="str">
        <f t="shared" si="182"/>
        <v/>
      </c>
      <c r="OX30" s="328"/>
      <c r="OY30" s="327" t="str">
        <f t="shared" si="183"/>
        <v/>
      </c>
      <c r="OZ30" s="328"/>
      <c r="PA30" s="327" t="str">
        <f t="shared" si="68"/>
        <v/>
      </c>
      <c r="PB30" s="328"/>
      <c r="PC30" s="327" t="str">
        <f t="shared" si="69"/>
        <v/>
      </c>
      <c r="PD30" s="328"/>
      <c r="PE30" s="308" t="s">
        <v>29</v>
      </c>
      <c r="PF30" s="310" t="str">
        <f t="shared" ref="PF30" si="413">IF(PG30="","",COUNTA(PG30:PP30)*50)</f>
        <v/>
      </c>
      <c r="PG30" s="327"/>
      <c r="PH30" s="328"/>
      <c r="PI30" s="327" t="str">
        <f t="shared" si="184"/>
        <v/>
      </c>
      <c r="PJ30" s="328"/>
      <c r="PK30" s="327" t="str">
        <f t="shared" si="185"/>
        <v/>
      </c>
      <c r="PL30" s="328"/>
      <c r="PM30" s="327" t="str">
        <f t="shared" si="70"/>
        <v/>
      </c>
      <c r="PN30" s="328"/>
      <c r="PO30" s="327" t="str">
        <f t="shared" si="71"/>
        <v/>
      </c>
      <c r="PP30" s="328"/>
    </row>
    <row r="31" spans="1:432">
      <c r="A31" s="309"/>
      <c r="B31" s="311"/>
      <c r="C31" s="305" t="s">
        <v>487</v>
      </c>
      <c r="D31" s="306"/>
      <c r="E31" s="305" t="str">
        <f t="shared" si="186"/>
        <v>12 HumSS B</v>
      </c>
      <c r="F31" s="306"/>
      <c r="G31" s="305" t="str">
        <f t="shared" si="72"/>
        <v>12 HumSS B</v>
      </c>
      <c r="H31" s="306"/>
      <c r="I31" s="305" t="str">
        <f t="shared" si="72"/>
        <v>12 HumSS B</v>
      </c>
      <c r="J31" s="306"/>
      <c r="K31" s="314" t="str">
        <f>K17</f>
        <v>11 STEM</v>
      </c>
      <c r="L31" s="315"/>
      <c r="M31" s="309"/>
      <c r="N31" s="311"/>
      <c r="O31" s="327" t="s">
        <v>452</v>
      </c>
      <c r="P31" s="328"/>
      <c r="Q31" s="327" t="str">
        <f t="shared" si="74"/>
        <v>11 STEM</v>
      </c>
      <c r="R31" s="328"/>
      <c r="S31" s="327" t="str">
        <f t="shared" si="75"/>
        <v>11 STEM</v>
      </c>
      <c r="T31" s="328"/>
      <c r="U31" s="327" t="str">
        <f t="shared" si="76"/>
        <v>11 STEM</v>
      </c>
      <c r="V31" s="328"/>
      <c r="W31" s="331" t="str">
        <f>W17</f>
        <v>11 HumSS A</v>
      </c>
      <c r="X31" s="332"/>
      <c r="Y31" s="309"/>
      <c r="Z31" s="311"/>
      <c r="AA31" s="327" t="s">
        <v>453</v>
      </c>
      <c r="AB31" s="328"/>
      <c r="AC31" s="327" t="str">
        <f t="shared" si="78"/>
        <v>11 HumSS A</v>
      </c>
      <c r="AD31" s="328"/>
      <c r="AE31" s="327" t="str">
        <f t="shared" si="79"/>
        <v>11 HumSS A</v>
      </c>
      <c r="AF31" s="328"/>
      <c r="AG31" s="327" t="str">
        <f t="shared" si="80"/>
        <v>11 HumSS A</v>
      </c>
      <c r="AH31" s="328"/>
      <c r="AI31" s="331" t="str">
        <f>AI17</f>
        <v>11 HumSS B</v>
      </c>
      <c r="AJ31" s="332"/>
      <c r="AK31" s="309"/>
      <c r="AL31" s="311"/>
      <c r="AM31" s="327" t="s">
        <v>497</v>
      </c>
      <c r="AN31" s="328"/>
      <c r="AO31" s="327" t="str">
        <f t="shared" si="82"/>
        <v>11 HumSS D</v>
      </c>
      <c r="AP31" s="328"/>
      <c r="AQ31" s="327" t="str">
        <f t="shared" si="83"/>
        <v>11 HumSS D</v>
      </c>
      <c r="AR31" s="328"/>
      <c r="AS31" s="327" t="str">
        <f t="shared" si="84"/>
        <v>11 HumSS D</v>
      </c>
      <c r="AT31" s="328"/>
      <c r="AU31" s="331" t="str">
        <f>AU17</f>
        <v>11 HumSS C</v>
      </c>
      <c r="AV31" s="332"/>
      <c r="AW31" s="309"/>
      <c r="AX31" s="311"/>
      <c r="AY31" s="327" t="s">
        <v>451</v>
      </c>
      <c r="AZ31" s="328"/>
      <c r="BA31" s="327" t="str">
        <f t="shared" si="86"/>
        <v>11 HumSS C</v>
      </c>
      <c r="BB31" s="328"/>
      <c r="BC31" s="327" t="str">
        <f t="shared" si="87"/>
        <v>11 HumSS C</v>
      </c>
      <c r="BD31" s="328"/>
      <c r="BE31" s="327" t="str">
        <f t="shared" si="88"/>
        <v>11 HumSS C</v>
      </c>
      <c r="BF31" s="328"/>
      <c r="BG31" s="331" t="str">
        <f>BG17</f>
        <v>11 HumSS D</v>
      </c>
      <c r="BH31" s="332"/>
      <c r="BI31" s="309"/>
      <c r="BJ31" s="311"/>
      <c r="BK31" s="327" t="s">
        <v>498</v>
      </c>
      <c r="BL31" s="328"/>
      <c r="BM31" s="327" t="str">
        <f t="shared" si="90"/>
        <v>11 Cookery</v>
      </c>
      <c r="BN31" s="328"/>
      <c r="BO31" s="327" t="str">
        <f t="shared" si="91"/>
        <v>11 Cookery</v>
      </c>
      <c r="BP31" s="328"/>
      <c r="BQ31" s="327" t="str">
        <f t="shared" si="92"/>
        <v>11 Cookery</v>
      </c>
      <c r="BR31" s="328"/>
      <c r="BS31" s="331" t="str">
        <f>BS17</f>
        <v>11 HumSS E</v>
      </c>
      <c r="BT31" s="332"/>
      <c r="BU31" s="309"/>
      <c r="BV31" s="311"/>
      <c r="BW31" s="327" t="s">
        <v>459</v>
      </c>
      <c r="BX31" s="328"/>
      <c r="BY31" s="327" t="str">
        <f t="shared" si="94"/>
        <v>11 AGRI</v>
      </c>
      <c r="BZ31" s="328"/>
      <c r="CA31" s="327" t="str">
        <f t="shared" si="95"/>
        <v>11 AGRI</v>
      </c>
      <c r="CB31" s="328"/>
      <c r="CC31" s="327" t="str">
        <f t="shared" si="96"/>
        <v>11 AGRI</v>
      </c>
      <c r="CD31" s="328"/>
      <c r="CE31" s="331" t="str">
        <f>CE17</f>
        <v>11 AGRI</v>
      </c>
      <c r="CF31" s="332"/>
      <c r="CG31" s="309"/>
      <c r="CH31" s="311"/>
      <c r="CI31" s="327" t="s">
        <v>461</v>
      </c>
      <c r="CJ31" s="328"/>
      <c r="CK31" s="327" t="str">
        <f t="shared" si="98"/>
        <v>11 SMAW</v>
      </c>
      <c r="CL31" s="328"/>
      <c r="CM31" s="327" t="str">
        <f t="shared" si="99"/>
        <v>11 SMAW</v>
      </c>
      <c r="CN31" s="328"/>
      <c r="CO31" s="327" t="str">
        <f t="shared" si="100"/>
        <v>11 SMAW</v>
      </c>
      <c r="CP31" s="328"/>
      <c r="CQ31" s="331" t="str">
        <f>CQ17</f>
        <v>11 SMAW</v>
      </c>
      <c r="CR31" s="332"/>
      <c r="CS31" s="309"/>
      <c r="CT31" s="311"/>
      <c r="CU31" s="327" t="s">
        <v>488</v>
      </c>
      <c r="CV31" s="328"/>
      <c r="CW31" s="327" t="str">
        <f t="shared" si="102"/>
        <v>12 HumSS C</v>
      </c>
      <c r="CX31" s="328"/>
      <c r="CY31" s="327" t="str">
        <f t="shared" si="103"/>
        <v>12 HumSS C</v>
      </c>
      <c r="CZ31" s="328"/>
      <c r="DA31" s="327" t="str">
        <f t="shared" si="104"/>
        <v>12 HumSS C</v>
      </c>
      <c r="DB31" s="328"/>
      <c r="DC31" s="331" t="str">
        <f>DC17</f>
        <v>11 ICT</v>
      </c>
      <c r="DD31" s="332"/>
      <c r="DE31" s="309"/>
      <c r="DF31" s="311"/>
      <c r="DG31" s="327"/>
      <c r="DH31" s="328"/>
      <c r="DI31" s="327" t="str">
        <f t="shared" si="106"/>
        <v/>
      </c>
      <c r="DJ31" s="328"/>
      <c r="DK31" s="327" t="str">
        <f t="shared" si="107"/>
        <v/>
      </c>
      <c r="DL31" s="328"/>
      <c r="DM31" s="327" t="str">
        <f t="shared" si="108"/>
        <v/>
      </c>
      <c r="DN31" s="328"/>
      <c r="DO31" s="331" t="str">
        <f>DO17</f>
        <v>11 GAS</v>
      </c>
      <c r="DP31" s="332"/>
      <c r="DQ31" s="309"/>
      <c r="DR31" s="311"/>
      <c r="DS31" s="327"/>
      <c r="DT31" s="328"/>
      <c r="DU31" s="327" t="str">
        <f t="shared" si="110"/>
        <v/>
      </c>
      <c r="DV31" s="328"/>
      <c r="DW31" s="327" t="str">
        <f t="shared" si="111"/>
        <v/>
      </c>
      <c r="DX31" s="328"/>
      <c r="DY31" s="327" t="str">
        <f t="shared" si="112"/>
        <v/>
      </c>
      <c r="DZ31" s="328"/>
      <c r="EA31" s="331" t="s">
        <v>498</v>
      </c>
      <c r="EB31" s="332"/>
      <c r="EC31" s="309"/>
      <c r="ED31" s="311"/>
      <c r="EE31" s="327" t="s">
        <v>504</v>
      </c>
      <c r="EF31" s="328"/>
      <c r="EG31" s="327" t="str">
        <f t="shared" si="114"/>
        <v>12 H.E.</v>
      </c>
      <c r="EH31" s="328"/>
      <c r="EI31" s="327" t="str">
        <f t="shared" si="115"/>
        <v>12 H.E.</v>
      </c>
      <c r="EJ31" s="328"/>
      <c r="EK31" s="327" t="str">
        <f t="shared" si="116"/>
        <v>12 H.E.</v>
      </c>
      <c r="EL31" s="328"/>
      <c r="EM31" s="331" t="str">
        <f>EM17</f>
        <v>12 STEM</v>
      </c>
      <c r="EN31" s="332"/>
      <c r="EO31" s="309"/>
      <c r="EP31" s="311"/>
      <c r="EQ31" s="327" t="s">
        <v>485</v>
      </c>
      <c r="ER31" s="328"/>
      <c r="ES31" s="327" t="str">
        <f t="shared" si="118"/>
        <v>12 STEM</v>
      </c>
      <c r="ET31" s="328"/>
      <c r="EU31" s="327" t="str">
        <f t="shared" si="119"/>
        <v>12 STEM</v>
      </c>
      <c r="EV31" s="328"/>
      <c r="EW31" s="327" t="str">
        <f t="shared" si="120"/>
        <v>12 STEM</v>
      </c>
      <c r="EX31" s="328"/>
      <c r="EY31" s="331" t="str">
        <f>EY17</f>
        <v>12 HumSS A</v>
      </c>
      <c r="EZ31" s="332"/>
      <c r="FA31" s="342"/>
      <c r="FB31" s="311"/>
      <c r="FC31" s="327" t="s">
        <v>492</v>
      </c>
      <c r="FD31" s="328"/>
      <c r="FE31" s="327" t="str">
        <f t="shared" si="122"/>
        <v>12 SMAW</v>
      </c>
      <c r="FF31" s="328"/>
      <c r="FG31" s="327" t="str">
        <f t="shared" si="123"/>
        <v>12 SMAW</v>
      </c>
      <c r="FH31" s="328"/>
      <c r="FI31" s="327" t="str">
        <f t="shared" si="124"/>
        <v>12 SMAW</v>
      </c>
      <c r="FJ31" s="328"/>
      <c r="FK31" s="331" t="str">
        <f>FK17</f>
        <v>12 HumSS B</v>
      </c>
      <c r="FL31" s="332"/>
      <c r="FM31" s="309"/>
      <c r="FN31" s="311"/>
      <c r="FO31" s="327" t="s">
        <v>494</v>
      </c>
      <c r="FP31" s="328"/>
      <c r="FQ31" s="327" t="str">
        <f t="shared" si="126"/>
        <v>12 ICT</v>
      </c>
      <c r="FR31" s="328"/>
      <c r="FS31" s="327" t="str">
        <f t="shared" si="127"/>
        <v>12 ICT</v>
      </c>
      <c r="FT31" s="328"/>
      <c r="FU31" s="327" t="str">
        <f t="shared" si="128"/>
        <v>12 ICT</v>
      </c>
      <c r="FV31" s="328"/>
      <c r="FW31" s="331" t="str">
        <f>FW17</f>
        <v>12 HumSS C</v>
      </c>
      <c r="FX31" s="332"/>
      <c r="FY31" s="309"/>
      <c r="FZ31" s="311"/>
      <c r="GA31" s="327" t="s">
        <v>463</v>
      </c>
      <c r="GB31" s="328"/>
      <c r="GC31" s="327" t="str">
        <f t="shared" si="130"/>
        <v>11 ICT</v>
      </c>
      <c r="GD31" s="328"/>
      <c r="GE31" s="327" t="str">
        <f t="shared" si="131"/>
        <v>11 ICT</v>
      </c>
      <c r="GF31" s="328"/>
      <c r="GG31" s="327" t="str">
        <f t="shared" si="132"/>
        <v>11 ICT</v>
      </c>
      <c r="GH31" s="328"/>
      <c r="GI31" s="331" t="str">
        <f>GI17</f>
        <v>12 HumSS D</v>
      </c>
      <c r="GJ31" s="332"/>
      <c r="GK31" s="309"/>
      <c r="GL31" s="311"/>
      <c r="GM31" s="327" t="s">
        <v>486</v>
      </c>
      <c r="GN31" s="328"/>
      <c r="GO31" s="327" t="str">
        <f t="shared" si="203"/>
        <v>12 HumSS A</v>
      </c>
      <c r="GP31" s="328"/>
      <c r="GQ31" s="327" t="str">
        <f t="shared" si="204"/>
        <v>12 HumSS A</v>
      </c>
      <c r="GR31" s="328"/>
      <c r="GS31" s="327" t="str">
        <f t="shared" si="205"/>
        <v>12 HumSS A</v>
      </c>
      <c r="GT31" s="328"/>
      <c r="GU31" s="327"/>
      <c r="GV31" s="328"/>
      <c r="GW31" s="309"/>
      <c r="GX31" s="311"/>
      <c r="GY31" s="327"/>
      <c r="GZ31" s="328"/>
      <c r="HA31" s="327" t="str">
        <f t="shared" si="134"/>
        <v/>
      </c>
      <c r="HB31" s="328"/>
      <c r="HC31" s="327" t="str">
        <f t="shared" si="135"/>
        <v/>
      </c>
      <c r="HD31" s="328"/>
      <c r="HE31" s="327" t="str">
        <f t="shared" si="136"/>
        <v/>
      </c>
      <c r="HF31" s="328"/>
      <c r="HG31" s="331" t="str">
        <f>HG17</f>
        <v>12 SMAW</v>
      </c>
      <c r="HH31" s="332"/>
      <c r="HI31" s="309"/>
      <c r="HJ31" s="311"/>
      <c r="HK31" s="327" t="s">
        <v>465</v>
      </c>
      <c r="HL31" s="328"/>
      <c r="HM31" s="327" t="str">
        <f t="shared" si="138"/>
        <v>11 GAS</v>
      </c>
      <c r="HN31" s="328"/>
      <c r="HO31" s="327" t="str">
        <f t="shared" si="139"/>
        <v>11 GAS</v>
      </c>
      <c r="HP31" s="328"/>
      <c r="HQ31" s="327" t="str">
        <f t="shared" si="140"/>
        <v>11 GAS</v>
      </c>
      <c r="HR31" s="328"/>
      <c r="HS31" s="331" t="str">
        <f>HS17</f>
        <v>12 ICT</v>
      </c>
      <c r="HT31" s="332"/>
      <c r="HU31" s="309"/>
      <c r="HV31" s="311"/>
      <c r="HW31" s="339" t="s">
        <v>461</v>
      </c>
      <c r="HX31" s="340"/>
      <c r="HY31" s="339" t="str">
        <f t="shared" si="142"/>
        <v>11 SMAW</v>
      </c>
      <c r="HZ31" s="340"/>
      <c r="IA31" s="339" t="str">
        <f t="shared" si="143"/>
        <v>11 SMAW</v>
      </c>
      <c r="IB31" s="340"/>
      <c r="IC31" s="339" t="str">
        <f t="shared" si="144"/>
        <v>11 SMAW</v>
      </c>
      <c r="ID31" s="340"/>
      <c r="IE31" s="327"/>
      <c r="IF31" s="328"/>
      <c r="IG31" s="309"/>
      <c r="IH31" s="311"/>
      <c r="II31" s="327" t="s">
        <v>490</v>
      </c>
      <c r="IJ31" s="328"/>
      <c r="IK31" s="327" t="str">
        <f t="shared" si="146"/>
        <v>12 AGRI</v>
      </c>
      <c r="IL31" s="328"/>
      <c r="IM31" s="327" t="str">
        <f t="shared" si="147"/>
        <v>12 AGRI</v>
      </c>
      <c r="IN31" s="328"/>
      <c r="IO31" s="327" t="str">
        <f t="shared" si="148"/>
        <v>12 AGRI</v>
      </c>
      <c r="IP31" s="328"/>
      <c r="IQ31" s="331" t="str">
        <f>IQ17</f>
        <v>12 H.E.</v>
      </c>
      <c r="IR31" s="332"/>
      <c r="IS31" s="309"/>
      <c r="IT31" s="311"/>
      <c r="IU31" s="327" t="s">
        <v>454</v>
      </c>
      <c r="IV31" s="328"/>
      <c r="IW31" s="327" t="str">
        <f t="shared" si="150"/>
        <v>11 HumSS B</v>
      </c>
      <c r="IX31" s="328"/>
      <c r="IY31" s="327" t="str">
        <f t="shared" si="151"/>
        <v>11 HumSS B</v>
      </c>
      <c r="IZ31" s="328"/>
      <c r="JA31" s="327" t="str">
        <f t="shared" si="152"/>
        <v>11 HumSS B</v>
      </c>
      <c r="JB31" s="328"/>
      <c r="JC31" s="327"/>
      <c r="JD31" s="328"/>
      <c r="JE31" s="309"/>
      <c r="JF31" s="311"/>
      <c r="JG31" s="327" t="s">
        <v>495</v>
      </c>
      <c r="JH31" s="328"/>
      <c r="JI31" s="327" t="str">
        <f t="shared" si="249"/>
        <v>12 GAS</v>
      </c>
      <c r="JJ31" s="328"/>
      <c r="JK31" s="327" t="str">
        <f t="shared" si="213"/>
        <v>12 GAS</v>
      </c>
      <c r="JL31" s="328"/>
      <c r="JM31" s="327" t="str">
        <f t="shared" si="250"/>
        <v>12 GAS</v>
      </c>
      <c r="JN31" s="328"/>
      <c r="JO31" s="327"/>
      <c r="JP31" s="328"/>
      <c r="JQ31" s="309"/>
      <c r="JR31" s="311"/>
      <c r="JS31" s="327"/>
      <c r="JT31" s="328"/>
      <c r="JU31" s="327" t="str">
        <f t="shared" si="154"/>
        <v/>
      </c>
      <c r="JV31" s="328"/>
      <c r="JW31" s="327" t="str">
        <f t="shared" si="155"/>
        <v/>
      </c>
      <c r="JX31" s="328"/>
      <c r="JY31" s="327" t="str">
        <f t="shared" si="156"/>
        <v/>
      </c>
      <c r="JZ31" s="328"/>
      <c r="KA31" s="331" t="str">
        <f>KA17</f>
        <v>12 GAS</v>
      </c>
      <c r="KB31" s="332"/>
      <c r="KC31" s="309"/>
      <c r="KD31" s="311"/>
      <c r="KE31" s="327" t="s">
        <v>457</v>
      </c>
      <c r="KF31" s="328"/>
      <c r="KG31" s="327" t="str">
        <f t="shared" si="158"/>
        <v>11 HumSS E</v>
      </c>
      <c r="KH31" s="328"/>
      <c r="KI31" s="327" t="str">
        <f t="shared" si="159"/>
        <v>11 HumSS E</v>
      </c>
      <c r="KJ31" s="328"/>
      <c r="KK31" s="327" t="str">
        <f t="shared" si="160"/>
        <v>11 HumSS E</v>
      </c>
      <c r="KL31" s="328"/>
      <c r="KM31" s="339" t="str">
        <f>KM17</f>
        <v>11 SMAW</v>
      </c>
      <c r="KN31" s="340"/>
      <c r="KO31" s="309"/>
      <c r="KP31" s="311"/>
      <c r="KQ31" s="327" t="s">
        <v>489</v>
      </c>
      <c r="KR31" s="328"/>
      <c r="KS31" s="327" t="str">
        <f t="shared" si="162"/>
        <v>12 HumSS D</v>
      </c>
      <c r="KT31" s="328"/>
      <c r="KU31" s="327" t="str">
        <f t="shared" si="163"/>
        <v>12 HumSS D</v>
      </c>
      <c r="KV31" s="328"/>
      <c r="KW31" s="327" t="str">
        <f t="shared" si="164"/>
        <v>12 HumSS D</v>
      </c>
      <c r="KX31" s="328"/>
      <c r="KY31" s="331" t="str">
        <f>KY17</f>
        <v>12 AGRI</v>
      </c>
      <c r="KZ31" s="332"/>
      <c r="LA31" s="309"/>
      <c r="LB31" s="311"/>
      <c r="LC31" s="327"/>
      <c r="LD31" s="328"/>
      <c r="LE31" s="327" t="str">
        <f t="shared" si="166"/>
        <v/>
      </c>
      <c r="LF31" s="328"/>
      <c r="LG31" s="327" t="str">
        <f t="shared" si="167"/>
        <v/>
      </c>
      <c r="LH31" s="328"/>
      <c r="LI31" s="327" t="str">
        <f t="shared" si="52"/>
        <v/>
      </c>
      <c r="LJ31" s="328"/>
      <c r="LK31" s="327" t="str">
        <f t="shared" si="53"/>
        <v/>
      </c>
      <c r="LL31" s="328"/>
      <c r="LM31" s="309"/>
      <c r="LN31" s="311"/>
      <c r="LO31" s="327"/>
      <c r="LP31" s="328"/>
      <c r="LQ31" s="327" t="str">
        <f t="shared" si="168"/>
        <v/>
      </c>
      <c r="LR31" s="328"/>
      <c r="LS31" s="327" t="str">
        <f t="shared" si="169"/>
        <v/>
      </c>
      <c r="LT31" s="328"/>
      <c r="LU31" s="327" t="str">
        <f t="shared" si="54"/>
        <v/>
      </c>
      <c r="LV31" s="328"/>
      <c r="LW31" s="327" t="str">
        <f t="shared" si="55"/>
        <v/>
      </c>
      <c r="LX31" s="328"/>
      <c r="LY31" s="309"/>
      <c r="LZ31" s="311"/>
      <c r="MA31" s="327"/>
      <c r="MB31" s="328"/>
      <c r="MC31" s="327" t="str">
        <f t="shared" si="170"/>
        <v/>
      </c>
      <c r="MD31" s="328"/>
      <c r="ME31" s="327" t="str">
        <f t="shared" si="171"/>
        <v/>
      </c>
      <c r="MF31" s="328"/>
      <c r="MG31" s="327" t="str">
        <f t="shared" si="56"/>
        <v/>
      </c>
      <c r="MH31" s="328"/>
      <c r="MI31" s="327" t="str">
        <f t="shared" si="57"/>
        <v/>
      </c>
      <c r="MJ31" s="328"/>
      <c r="MK31" s="309"/>
      <c r="ML31" s="311"/>
      <c r="MM31" s="327"/>
      <c r="MN31" s="328"/>
      <c r="MO31" s="327" t="str">
        <f t="shared" si="172"/>
        <v/>
      </c>
      <c r="MP31" s="328"/>
      <c r="MQ31" s="327" t="str">
        <f t="shared" si="173"/>
        <v/>
      </c>
      <c r="MR31" s="328"/>
      <c r="MS31" s="327" t="str">
        <f t="shared" si="58"/>
        <v/>
      </c>
      <c r="MT31" s="328"/>
      <c r="MU31" s="327" t="str">
        <f t="shared" si="59"/>
        <v/>
      </c>
      <c r="MV31" s="328"/>
      <c r="MW31" s="309"/>
      <c r="MX31" s="311"/>
      <c r="MY31" s="327"/>
      <c r="MZ31" s="328"/>
      <c r="NA31" s="327" t="str">
        <f t="shared" si="174"/>
        <v/>
      </c>
      <c r="NB31" s="328"/>
      <c r="NC31" s="327" t="str">
        <f t="shared" si="175"/>
        <v/>
      </c>
      <c r="ND31" s="328"/>
      <c r="NE31" s="327" t="str">
        <f t="shared" si="60"/>
        <v/>
      </c>
      <c r="NF31" s="328"/>
      <c r="NG31" s="327" t="str">
        <f t="shared" si="61"/>
        <v/>
      </c>
      <c r="NH31" s="328"/>
      <c r="NI31" s="309"/>
      <c r="NJ31" s="311"/>
      <c r="NK31" s="327"/>
      <c r="NL31" s="328"/>
      <c r="NM31" s="327" t="str">
        <f t="shared" si="176"/>
        <v/>
      </c>
      <c r="NN31" s="328"/>
      <c r="NO31" s="327" t="str">
        <f t="shared" si="177"/>
        <v/>
      </c>
      <c r="NP31" s="328"/>
      <c r="NQ31" s="327" t="str">
        <f t="shared" si="62"/>
        <v/>
      </c>
      <c r="NR31" s="328"/>
      <c r="NS31" s="327" t="str">
        <f t="shared" si="63"/>
        <v/>
      </c>
      <c r="NT31" s="328"/>
      <c r="NU31" s="309"/>
      <c r="NV31" s="311"/>
      <c r="NW31" s="327"/>
      <c r="NX31" s="328"/>
      <c r="NY31" s="327" t="str">
        <f t="shared" si="178"/>
        <v/>
      </c>
      <c r="NZ31" s="328"/>
      <c r="OA31" s="327" t="str">
        <f t="shared" si="179"/>
        <v/>
      </c>
      <c r="OB31" s="328"/>
      <c r="OC31" s="327" t="str">
        <f t="shared" si="64"/>
        <v/>
      </c>
      <c r="OD31" s="328"/>
      <c r="OE31" s="327" t="str">
        <f t="shared" si="65"/>
        <v/>
      </c>
      <c r="OF31" s="328"/>
      <c r="OG31" s="309"/>
      <c r="OH31" s="311"/>
      <c r="OI31" s="327"/>
      <c r="OJ31" s="328"/>
      <c r="OK31" s="327" t="str">
        <f t="shared" si="180"/>
        <v/>
      </c>
      <c r="OL31" s="328"/>
      <c r="OM31" s="327" t="str">
        <f t="shared" si="181"/>
        <v/>
      </c>
      <c r="ON31" s="328"/>
      <c r="OO31" s="327" t="str">
        <f t="shared" si="66"/>
        <v/>
      </c>
      <c r="OP31" s="328"/>
      <c r="OQ31" s="327" t="str">
        <f t="shared" si="67"/>
        <v/>
      </c>
      <c r="OR31" s="328"/>
      <c r="OS31" s="309"/>
      <c r="OT31" s="311"/>
      <c r="OU31" s="327"/>
      <c r="OV31" s="328"/>
      <c r="OW31" s="327" t="str">
        <f t="shared" si="182"/>
        <v/>
      </c>
      <c r="OX31" s="328"/>
      <c r="OY31" s="327" t="str">
        <f t="shared" si="183"/>
        <v/>
      </c>
      <c r="OZ31" s="328"/>
      <c r="PA31" s="327" t="str">
        <f t="shared" si="68"/>
        <v/>
      </c>
      <c r="PB31" s="328"/>
      <c r="PC31" s="327" t="str">
        <f t="shared" si="69"/>
        <v/>
      </c>
      <c r="PD31" s="328"/>
      <c r="PE31" s="309"/>
      <c r="PF31" s="311"/>
      <c r="PG31" s="327"/>
      <c r="PH31" s="328"/>
      <c r="PI31" s="327" t="str">
        <f t="shared" si="184"/>
        <v/>
      </c>
      <c r="PJ31" s="328"/>
      <c r="PK31" s="327" t="str">
        <f t="shared" si="185"/>
        <v/>
      </c>
      <c r="PL31" s="328"/>
      <c r="PM31" s="327" t="str">
        <f t="shared" si="70"/>
        <v/>
      </c>
      <c r="PN31" s="328"/>
      <c r="PO31" s="327" t="str">
        <f t="shared" si="71"/>
        <v/>
      </c>
      <c r="PP31" s="328"/>
    </row>
    <row r="32" spans="1:432">
      <c r="A32" s="74" t="s">
        <v>344</v>
      </c>
      <c r="B32" s="73">
        <f>SUM(B16:B31)</f>
        <v>1800</v>
      </c>
      <c r="C32" s="72" t="s">
        <v>385</v>
      </c>
      <c r="D32" s="71"/>
      <c r="E32" s="71"/>
      <c r="F32" s="71"/>
      <c r="G32" s="71"/>
      <c r="H32" s="71"/>
      <c r="I32" s="71"/>
      <c r="J32" s="71"/>
      <c r="K32" s="71"/>
      <c r="L32" s="91"/>
      <c r="M32" s="74" t="s">
        <v>344</v>
      </c>
      <c r="N32" s="73">
        <f>SUM(N16:N31)</f>
        <v>1750</v>
      </c>
      <c r="O32" s="72" t="s">
        <v>385</v>
      </c>
      <c r="P32" s="71"/>
      <c r="Q32" s="71"/>
      <c r="R32" s="71"/>
      <c r="S32" s="71"/>
      <c r="T32" s="71"/>
      <c r="U32" s="71"/>
      <c r="V32" s="71"/>
      <c r="W32" s="71"/>
      <c r="X32" s="91"/>
      <c r="Y32" s="74" t="s">
        <v>344</v>
      </c>
      <c r="Z32" s="73">
        <f>SUM(Z16:Z31)</f>
        <v>1800</v>
      </c>
      <c r="AA32" s="72" t="s">
        <v>385</v>
      </c>
      <c r="AB32" s="71"/>
      <c r="AC32" s="71"/>
      <c r="AD32" s="71"/>
      <c r="AE32" s="71"/>
      <c r="AF32" s="71"/>
      <c r="AG32" s="71"/>
      <c r="AH32" s="71"/>
      <c r="AI32" s="71"/>
      <c r="AJ32" s="91"/>
      <c r="AK32" s="74" t="s">
        <v>344</v>
      </c>
      <c r="AL32" s="73">
        <f>SUM(AL16:AL31)</f>
        <v>1750</v>
      </c>
      <c r="AM32" s="72" t="s">
        <v>385</v>
      </c>
      <c r="AN32" s="71"/>
      <c r="AO32" s="71"/>
      <c r="AP32" s="71"/>
      <c r="AQ32" s="71"/>
      <c r="AR32" s="71"/>
      <c r="AS32" s="71"/>
      <c r="AT32" s="71"/>
      <c r="AU32" s="71"/>
      <c r="AV32" s="91"/>
      <c r="AW32" s="74" t="s">
        <v>344</v>
      </c>
      <c r="AX32" s="73">
        <f>SUM(AX16:AX31)</f>
        <v>1750</v>
      </c>
      <c r="AY32" s="72" t="s">
        <v>385</v>
      </c>
      <c r="AZ32" s="71"/>
      <c r="BA32" s="71"/>
      <c r="BB32" s="71"/>
      <c r="BC32" s="71"/>
      <c r="BD32" s="71"/>
      <c r="BE32" s="71"/>
      <c r="BF32" s="71"/>
      <c r="BG32" s="71"/>
      <c r="BH32" s="91"/>
      <c r="BI32" s="74" t="s">
        <v>344</v>
      </c>
      <c r="BJ32" s="73">
        <f>SUM(BJ16:BJ31)</f>
        <v>1750</v>
      </c>
      <c r="BK32" s="72" t="s">
        <v>385</v>
      </c>
      <c r="BL32" s="71"/>
      <c r="BM32" s="71"/>
      <c r="BN32" s="71"/>
      <c r="BO32" s="71"/>
      <c r="BP32" s="71"/>
      <c r="BQ32" s="71"/>
      <c r="BR32" s="71"/>
      <c r="BS32" s="71"/>
      <c r="BT32" s="91"/>
      <c r="BU32" s="74" t="s">
        <v>344</v>
      </c>
      <c r="BV32" s="73">
        <f>SUM(BV16:BV31)</f>
        <v>1800</v>
      </c>
      <c r="BW32" s="72" t="s">
        <v>385</v>
      </c>
      <c r="BX32" s="71"/>
      <c r="BY32" s="71"/>
      <c r="BZ32" s="71"/>
      <c r="CA32" s="71"/>
      <c r="CB32" s="71"/>
      <c r="CC32" s="71"/>
      <c r="CD32" s="71"/>
      <c r="CE32" s="71"/>
      <c r="CF32" s="91"/>
      <c r="CG32" s="74" t="s">
        <v>344</v>
      </c>
      <c r="CH32" s="73">
        <f>SUM(CH16:CH31)</f>
        <v>1800</v>
      </c>
      <c r="CI32" s="72" t="s">
        <v>385</v>
      </c>
      <c r="CJ32" s="71"/>
      <c r="CK32" s="71"/>
      <c r="CL32" s="71"/>
      <c r="CM32" s="71"/>
      <c r="CN32" s="71"/>
      <c r="CO32" s="71"/>
      <c r="CP32" s="71"/>
      <c r="CQ32" s="71"/>
      <c r="CR32" s="91"/>
      <c r="CS32" s="74" t="s">
        <v>344</v>
      </c>
      <c r="CT32" s="73">
        <f>SUM(CT16:CT31)</f>
        <v>1700</v>
      </c>
      <c r="CU32" s="72" t="s">
        <v>385</v>
      </c>
      <c r="CV32" s="71"/>
      <c r="CW32" s="71"/>
      <c r="CX32" s="71"/>
      <c r="CY32" s="71"/>
      <c r="CZ32" s="71"/>
      <c r="DA32" s="71"/>
      <c r="DB32" s="71"/>
      <c r="DC32" s="71"/>
      <c r="DD32" s="91"/>
      <c r="DE32" s="74" t="s">
        <v>344</v>
      </c>
      <c r="DF32" s="73">
        <f>SUM(DF16:DF31)</f>
        <v>1750</v>
      </c>
      <c r="DG32" s="72" t="s">
        <v>385</v>
      </c>
      <c r="DH32" s="71"/>
      <c r="DI32" s="71"/>
      <c r="DJ32" s="71"/>
      <c r="DK32" s="71"/>
      <c r="DL32" s="71"/>
      <c r="DM32" s="71"/>
      <c r="DN32" s="71"/>
      <c r="DO32" s="71"/>
      <c r="DP32" s="91"/>
      <c r="DQ32" s="74" t="s">
        <v>344</v>
      </c>
      <c r="DR32" s="73">
        <f>SUM(DR16:DR31)</f>
        <v>1440</v>
      </c>
      <c r="DS32" s="72" t="s">
        <v>385</v>
      </c>
      <c r="DT32" s="71"/>
      <c r="DU32" s="71"/>
      <c r="DV32" s="71"/>
      <c r="DW32" s="71"/>
      <c r="DX32" s="71"/>
      <c r="DY32" s="71"/>
      <c r="DZ32" s="71"/>
      <c r="EA32" s="71"/>
      <c r="EB32" s="91"/>
      <c r="EC32" s="74" t="s">
        <v>344</v>
      </c>
      <c r="ED32" s="73">
        <f>SUM(ED16:ED31)</f>
        <v>1750</v>
      </c>
      <c r="EE32" s="72" t="s">
        <v>385</v>
      </c>
      <c r="EF32" s="71"/>
      <c r="EG32" s="71"/>
      <c r="EH32" s="71"/>
      <c r="EI32" s="71"/>
      <c r="EJ32" s="71"/>
      <c r="EK32" s="71"/>
      <c r="EL32" s="71"/>
      <c r="EM32" s="71"/>
      <c r="EN32" s="91"/>
      <c r="EO32" s="74" t="s">
        <v>344</v>
      </c>
      <c r="EP32" s="73">
        <f>SUM(EP16:EP31)</f>
        <v>1750</v>
      </c>
      <c r="EQ32" s="72" t="s">
        <v>385</v>
      </c>
      <c r="ER32" s="71"/>
      <c r="ES32" s="71"/>
      <c r="ET32" s="71"/>
      <c r="EU32" s="71"/>
      <c r="EV32" s="71"/>
      <c r="EW32" s="71"/>
      <c r="EX32" s="71"/>
      <c r="EY32" s="71"/>
      <c r="EZ32" s="91"/>
      <c r="FA32" s="74" t="s">
        <v>344</v>
      </c>
      <c r="FB32" s="73">
        <f>SUM(FB16:FB31)</f>
        <v>1790</v>
      </c>
      <c r="FC32" s="72" t="s">
        <v>385</v>
      </c>
      <c r="FD32" s="71"/>
      <c r="FE32" s="71"/>
      <c r="FF32" s="71"/>
      <c r="FG32" s="71"/>
      <c r="FH32" s="71"/>
      <c r="FI32" s="71"/>
      <c r="FJ32" s="71"/>
      <c r="FK32" s="71"/>
      <c r="FL32" s="91"/>
      <c r="FM32" s="74" t="s">
        <v>344</v>
      </c>
      <c r="FN32" s="73">
        <f>SUM(FN16:FN31)</f>
        <v>1750</v>
      </c>
      <c r="FO32" s="72" t="s">
        <v>385</v>
      </c>
      <c r="FP32" s="71"/>
      <c r="FQ32" s="71"/>
      <c r="FR32" s="71"/>
      <c r="FS32" s="71"/>
      <c r="FT32" s="71"/>
      <c r="FU32" s="71"/>
      <c r="FV32" s="71"/>
      <c r="FW32" s="71"/>
      <c r="FX32" s="91"/>
      <c r="FY32" s="74" t="s">
        <v>344</v>
      </c>
      <c r="FZ32" s="73">
        <f>SUM(FZ16:FZ31)</f>
        <v>1800</v>
      </c>
      <c r="GA32" s="72" t="s">
        <v>385</v>
      </c>
      <c r="GB32" s="71"/>
      <c r="GC32" s="71"/>
      <c r="GD32" s="71"/>
      <c r="GE32" s="71"/>
      <c r="GF32" s="71"/>
      <c r="GG32" s="71"/>
      <c r="GH32" s="71"/>
      <c r="GI32" s="71"/>
      <c r="GJ32" s="91"/>
      <c r="GK32" s="74" t="s">
        <v>344</v>
      </c>
      <c r="GL32" s="73">
        <f>SUM(GL16:GL31)</f>
        <v>1740</v>
      </c>
      <c r="GM32" s="72" t="s">
        <v>385</v>
      </c>
      <c r="GN32" s="71"/>
      <c r="GO32" s="71"/>
      <c r="GP32" s="71"/>
      <c r="GQ32" s="71"/>
      <c r="GR32" s="71"/>
      <c r="GS32" s="71"/>
      <c r="GT32" s="71"/>
      <c r="GU32" s="71"/>
      <c r="GV32" s="91"/>
      <c r="GW32" s="74" t="s">
        <v>344</v>
      </c>
      <c r="GX32" s="73">
        <f>SUM(GX16:GX31)</f>
        <v>1660</v>
      </c>
      <c r="GY32" s="72" t="s">
        <v>385</v>
      </c>
      <c r="GZ32" s="71"/>
      <c r="HA32" s="71"/>
      <c r="HB32" s="71"/>
      <c r="HC32" s="71"/>
      <c r="HD32" s="71"/>
      <c r="HE32" s="71"/>
      <c r="HF32" s="71"/>
      <c r="HG32" s="71"/>
      <c r="HH32" s="91"/>
      <c r="HI32" s="74" t="s">
        <v>344</v>
      </c>
      <c r="HJ32" s="73">
        <f>SUM(HJ16:HJ31)</f>
        <v>1800</v>
      </c>
      <c r="HK32" s="72" t="s">
        <v>385</v>
      </c>
      <c r="HL32" s="71"/>
      <c r="HM32" s="71"/>
      <c r="HN32" s="71"/>
      <c r="HO32" s="71"/>
      <c r="HP32" s="71"/>
      <c r="HQ32" s="71"/>
      <c r="HR32" s="71"/>
      <c r="HS32" s="71"/>
      <c r="HT32" s="91"/>
      <c r="HU32" s="74" t="s">
        <v>344</v>
      </c>
      <c r="HV32" s="73">
        <f>SUM(HV16:HV31)</f>
        <v>1740</v>
      </c>
      <c r="HW32" s="72" t="s">
        <v>385</v>
      </c>
      <c r="HX32" s="71"/>
      <c r="HY32" s="71"/>
      <c r="HZ32" s="71"/>
      <c r="IA32" s="71"/>
      <c r="IB32" s="71"/>
      <c r="IC32" s="71"/>
      <c r="ID32" s="71"/>
      <c r="IE32" s="71"/>
      <c r="IF32" s="91"/>
      <c r="IG32" s="74" t="s">
        <v>344</v>
      </c>
      <c r="IH32" s="73">
        <f>SUM(IH16:IH31)</f>
        <v>1750</v>
      </c>
      <c r="II32" s="72" t="s">
        <v>385</v>
      </c>
      <c r="IJ32" s="71"/>
      <c r="IK32" s="71"/>
      <c r="IL32" s="71"/>
      <c r="IM32" s="71"/>
      <c r="IN32" s="71"/>
      <c r="IO32" s="71"/>
      <c r="IP32" s="71"/>
      <c r="IQ32" s="71"/>
      <c r="IR32" s="91"/>
      <c r="IS32" s="74" t="s">
        <v>344</v>
      </c>
      <c r="IT32" s="73">
        <f>SUM(IT16:IT31)</f>
        <v>1490</v>
      </c>
      <c r="IU32" s="72" t="s">
        <v>385</v>
      </c>
      <c r="IV32" s="71"/>
      <c r="IW32" s="71"/>
      <c r="IX32" s="71"/>
      <c r="IY32" s="71"/>
      <c r="IZ32" s="71"/>
      <c r="JA32" s="71"/>
      <c r="JB32" s="71"/>
      <c r="JC32" s="71"/>
      <c r="JD32" s="91"/>
      <c r="JE32" s="74" t="s">
        <v>344</v>
      </c>
      <c r="JF32" s="73">
        <f>SUM(JF16:JF31)</f>
        <v>1740</v>
      </c>
      <c r="JG32" s="72" t="s">
        <v>385</v>
      </c>
      <c r="JH32" s="71"/>
      <c r="JI32" s="71"/>
      <c r="JJ32" s="71"/>
      <c r="JK32" s="71"/>
      <c r="JL32" s="71"/>
      <c r="JM32" s="71"/>
      <c r="JN32" s="71"/>
      <c r="JO32" s="71"/>
      <c r="JP32" s="91"/>
      <c r="JQ32" s="74" t="s">
        <v>344</v>
      </c>
      <c r="JR32" s="73">
        <f>SUM(JR16:JR31)</f>
        <v>1760</v>
      </c>
      <c r="JS32" s="72" t="s">
        <v>385</v>
      </c>
      <c r="JT32" s="71"/>
      <c r="JU32" s="71"/>
      <c r="JV32" s="71"/>
      <c r="JW32" s="71"/>
      <c r="JX32" s="71"/>
      <c r="JY32" s="71"/>
      <c r="JZ32" s="71"/>
      <c r="KA32" s="71"/>
      <c r="KB32" s="91"/>
      <c r="KC32" s="74" t="s">
        <v>344</v>
      </c>
      <c r="KD32" s="73">
        <f>SUM(KD16:KD31)</f>
        <v>1750</v>
      </c>
      <c r="KE32" s="72" t="s">
        <v>385</v>
      </c>
      <c r="KF32" s="71"/>
      <c r="KG32" s="71"/>
      <c r="KH32" s="71"/>
      <c r="KI32" s="71"/>
      <c r="KJ32" s="71"/>
      <c r="KK32" s="71"/>
      <c r="KL32" s="71"/>
      <c r="KM32" s="71"/>
      <c r="KN32" s="91"/>
      <c r="KO32" s="74" t="s">
        <v>344</v>
      </c>
      <c r="KP32" s="73">
        <f>SUM(KP16:KP31)</f>
        <v>1750</v>
      </c>
      <c r="KQ32" s="72" t="s">
        <v>385</v>
      </c>
      <c r="KR32" s="71"/>
      <c r="KS32" s="71"/>
      <c r="KT32" s="71"/>
      <c r="KU32" s="71"/>
      <c r="KV32" s="71"/>
      <c r="KW32" s="71"/>
      <c r="KX32" s="71"/>
      <c r="KY32" s="71"/>
      <c r="KZ32" s="91"/>
      <c r="LA32" s="74" t="s">
        <v>344</v>
      </c>
      <c r="LB32" s="73">
        <f>SUM(LB16:LB31)</f>
        <v>0</v>
      </c>
      <c r="LC32" s="72" t="s">
        <v>385</v>
      </c>
      <c r="LD32" s="71"/>
      <c r="LE32" s="71"/>
      <c r="LF32" s="71"/>
      <c r="LG32" s="71"/>
      <c r="LH32" s="71"/>
      <c r="LI32" s="71"/>
      <c r="LJ32" s="71"/>
      <c r="LK32" s="71"/>
      <c r="LL32" s="91"/>
      <c r="LM32" s="74" t="s">
        <v>344</v>
      </c>
      <c r="LN32" s="73">
        <f>SUM(LN16:LN31)</f>
        <v>0</v>
      </c>
      <c r="LO32" s="72" t="s">
        <v>385</v>
      </c>
      <c r="LP32" s="71"/>
      <c r="LQ32" s="71"/>
      <c r="LR32" s="71"/>
      <c r="LS32" s="71"/>
      <c r="LT32" s="71"/>
      <c r="LU32" s="71"/>
      <c r="LV32" s="71"/>
      <c r="LW32" s="71"/>
      <c r="LX32" s="91"/>
      <c r="LY32" s="74" t="s">
        <v>344</v>
      </c>
      <c r="LZ32" s="73">
        <f>SUM(LZ16:LZ31)</f>
        <v>0</v>
      </c>
      <c r="MA32" s="72" t="s">
        <v>385</v>
      </c>
      <c r="MB32" s="71"/>
      <c r="MC32" s="71"/>
      <c r="MD32" s="71"/>
      <c r="ME32" s="71"/>
      <c r="MF32" s="71"/>
      <c r="MG32" s="71"/>
      <c r="MH32" s="71"/>
      <c r="MI32" s="71"/>
      <c r="MJ32" s="91"/>
      <c r="MK32" s="74" t="s">
        <v>344</v>
      </c>
      <c r="ML32" s="73">
        <f>SUM(ML16:ML31)</f>
        <v>0</v>
      </c>
      <c r="MM32" s="72" t="s">
        <v>385</v>
      </c>
      <c r="MN32" s="71"/>
      <c r="MO32" s="71"/>
      <c r="MP32" s="71"/>
      <c r="MQ32" s="71"/>
      <c r="MR32" s="71"/>
      <c r="MS32" s="71"/>
      <c r="MT32" s="71"/>
      <c r="MU32" s="71"/>
      <c r="MV32" s="91"/>
      <c r="MW32" s="74" t="s">
        <v>344</v>
      </c>
      <c r="MX32" s="73">
        <f>SUM(MX16:MX31)</f>
        <v>0</v>
      </c>
      <c r="MY32" s="72" t="s">
        <v>385</v>
      </c>
      <c r="MZ32" s="71"/>
      <c r="NA32" s="71"/>
      <c r="NB32" s="71"/>
      <c r="NC32" s="71"/>
      <c r="ND32" s="71"/>
      <c r="NE32" s="71"/>
      <c r="NF32" s="71"/>
      <c r="NG32" s="71"/>
      <c r="NH32" s="91"/>
      <c r="NI32" s="74" t="s">
        <v>344</v>
      </c>
      <c r="NJ32" s="73">
        <f>SUM(NJ16:NJ31)</f>
        <v>0</v>
      </c>
      <c r="NK32" s="72" t="s">
        <v>385</v>
      </c>
      <c r="NL32" s="71"/>
      <c r="NM32" s="71"/>
      <c r="NN32" s="71"/>
      <c r="NO32" s="71"/>
      <c r="NP32" s="71"/>
      <c r="NQ32" s="71"/>
      <c r="NR32" s="71"/>
      <c r="NS32" s="71"/>
      <c r="NT32" s="91"/>
      <c r="NU32" s="74" t="s">
        <v>344</v>
      </c>
      <c r="NV32" s="73">
        <f>SUM(NV16:NV31)</f>
        <v>0</v>
      </c>
      <c r="NW32" s="72" t="s">
        <v>385</v>
      </c>
      <c r="NX32" s="71"/>
      <c r="NY32" s="71"/>
      <c r="NZ32" s="71"/>
      <c r="OA32" s="71"/>
      <c r="OB32" s="71"/>
      <c r="OC32" s="71"/>
      <c r="OD32" s="71"/>
      <c r="OE32" s="71"/>
      <c r="OF32" s="91"/>
      <c r="OG32" s="74" t="s">
        <v>344</v>
      </c>
      <c r="OH32" s="73">
        <f>SUM(OH16:OH31)</f>
        <v>0</v>
      </c>
      <c r="OI32" s="72" t="s">
        <v>385</v>
      </c>
      <c r="OJ32" s="71"/>
      <c r="OK32" s="71"/>
      <c r="OL32" s="71"/>
      <c r="OM32" s="71"/>
      <c r="ON32" s="71"/>
      <c r="OO32" s="71"/>
      <c r="OP32" s="71"/>
      <c r="OQ32" s="71"/>
      <c r="OR32" s="91"/>
      <c r="OS32" s="74" t="s">
        <v>344</v>
      </c>
      <c r="OT32" s="73">
        <f>SUM(OT16:OT31)</f>
        <v>0</v>
      </c>
      <c r="OU32" s="72" t="s">
        <v>385</v>
      </c>
      <c r="OV32" s="71"/>
      <c r="OW32" s="71"/>
      <c r="OX32" s="71"/>
      <c r="OY32" s="71"/>
      <c r="OZ32" s="71"/>
      <c r="PA32" s="71"/>
      <c r="PB32" s="71"/>
      <c r="PC32" s="71"/>
      <c r="PD32" s="91"/>
      <c r="PE32" s="74" t="s">
        <v>344</v>
      </c>
      <c r="PF32" s="73">
        <f>SUM(PF16:PF31)</f>
        <v>0</v>
      </c>
      <c r="PG32" s="72" t="s">
        <v>385</v>
      </c>
      <c r="PH32" s="71"/>
      <c r="PI32" s="71"/>
      <c r="PJ32" s="71"/>
      <c r="PK32" s="71"/>
      <c r="PL32" s="71"/>
      <c r="PM32" s="71"/>
      <c r="PN32" s="71"/>
      <c r="PO32" s="71"/>
      <c r="PP32" s="91"/>
    </row>
    <row r="33" spans="1:432">
      <c r="A33" s="70"/>
      <c r="B33" s="87">
        <f>B32/300</f>
        <v>6</v>
      </c>
      <c r="C33" s="72" t="s">
        <v>384</v>
      </c>
      <c r="D33" s="71"/>
      <c r="E33" s="71"/>
      <c r="F33" s="71"/>
      <c r="G33" s="71"/>
      <c r="H33" s="71"/>
      <c r="I33" s="71"/>
      <c r="J33" s="71"/>
      <c r="K33" s="71" t="s">
        <v>51</v>
      </c>
      <c r="L33" s="91"/>
      <c r="M33" s="70"/>
      <c r="N33" s="87">
        <f>N32/300</f>
        <v>5.833333333333333</v>
      </c>
      <c r="O33" s="72" t="s">
        <v>384</v>
      </c>
      <c r="P33" s="71"/>
      <c r="Q33" s="71"/>
      <c r="R33" s="71"/>
      <c r="S33" s="71"/>
      <c r="T33" s="71"/>
      <c r="U33" s="71"/>
      <c r="V33" s="71"/>
      <c r="W33" s="71" t="s">
        <v>51</v>
      </c>
      <c r="X33" s="91"/>
      <c r="Y33" s="70"/>
      <c r="Z33" s="87">
        <f>Z32/300</f>
        <v>6</v>
      </c>
      <c r="AA33" s="72" t="s">
        <v>384</v>
      </c>
      <c r="AB33" s="71"/>
      <c r="AC33" s="71"/>
      <c r="AD33" s="71"/>
      <c r="AE33" s="71"/>
      <c r="AF33" s="71"/>
      <c r="AG33" s="71"/>
      <c r="AH33" s="71"/>
      <c r="AI33" s="71" t="s">
        <v>51</v>
      </c>
      <c r="AJ33" s="91"/>
      <c r="AK33" s="70"/>
      <c r="AL33" s="87">
        <f>AL32/300</f>
        <v>5.833333333333333</v>
      </c>
      <c r="AM33" s="72" t="s">
        <v>384</v>
      </c>
      <c r="AN33" s="71"/>
      <c r="AO33" s="71"/>
      <c r="AP33" s="71"/>
      <c r="AQ33" s="71"/>
      <c r="AR33" s="71"/>
      <c r="AS33" s="71"/>
      <c r="AT33" s="71"/>
      <c r="AU33" s="71" t="s">
        <v>51</v>
      </c>
      <c r="AV33" s="91"/>
      <c r="AW33" s="70"/>
      <c r="AX33" s="87">
        <f>AX32/300</f>
        <v>5.833333333333333</v>
      </c>
      <c r="AY33" s="72" t="s">
        <v>384</v>
      </c>
      <c r="AZ33" s="71"/>
      <c r="BA33" s="71"/>
      <c r="BB33" s="71"/>
      <c r="BC33" s="71"/>
      <c r="BD33" s="71"/>
      <c r="BE33" s="71"/>
      <c r="BF33" s="71"/>
      <c r="BG33" s="71" t="s">
        <v>51</v>
      </c>
      <c r="BH33" s="91"/>
      <c r="BI33" s="70"/>
      <c r="BJ33" s="87">
        <f>BJ32/300</f>
        <v>5.833333333333333</v>
      </c>
      <c r="BK33" s="72" t="s">
        <v>384</v>
      </c>
      <c r="BL33" s="71"/>
      <c r="BM33" s="71"/>
      <c r="BN33" s="71"/>
      <c r="BO33" s="71"/>
      <c r="BP33" s="71"/>
      <c r="BQ33" s="71"/>
      <c r="BR33" s="71"/>
      <c r="BS33" s="71" t="s">
        <v>51</v>
      </c>
      <c r="BT33" s="91"/>
      <c r="BU33" s="70"/>
      <c r="BV33" s="87">
        <f>BV32/300</f>
        <v>6</v>
      </c>
      <c r="BW33" s="72" t="s">
        <v>384</v>
      </c>
      <c r="BX33" s="71"/>
      <c r="BY33" s="71"/>
      <c r="BZ33" s="71"/>
      <c r="CA33" s="71"/>
      <c r="CB33" s="71"/>
      <c r="CC33" s="71"/>
      <c r="CD33" s="71"/>
      <c r="CE33" s="71" t="s">
        <v>51</v>
      </c>
      <c r="CF33" s="91"/>
      <c r="CG33" s="70"/>
      <c r="CH33" s="87">
        <f>CH32/300</f>
        <v>6</v>
      </c>
      <c r="CI33" s="72" t="s">
        <v>384</v>
      </c>
      <c r="CJ33" s="71"/>
      <c r="CK33" s="71"/>
      <c r="CL33" s="71"/>
      <c r="CM33" s="71"/>
      <c r="CN33" s="71"/>
      <c r="CO33" s="71"/>
      <c r="CP33" s="71"/>
      <c r="CQ33" s="71" t="s">
        <v>51</v>
      </c>
      <c r="CR33" s="91"/>
      <c r="CS33" s="70"/>
      <c r="CT33" s="87">
        <f>CT32/300</f>
        <v>5.666666666666667</v>
      </c>
      <c r="CU33" s="72" t="s">
        <v>384</v>
      </c>
      <c r="CV33" s="71"/>
      <c r="CW33" s="71"/>
      <c r="CX33" s="71"/>
      <c r="CY33" s="71"/>
      <c r="CZ33" s="71"/>
      <c r="DA33" s="71"/>
      <c r="DB33" s="71"/>
      <c r="DC33" s="71" t="s">
        <v>51</v>
      </c>
      <c r="DD33" s="91"/>
      <c r="DE33" s="70"/>
      <c r="DF33" s="87">
        <f>DF32/300</f>
        <v>5.833333333333333</v>
      </c>
      <c r="DG33" s="72" t="s">
        <v>384</v>
      </c>
      <c r="DH33" s="71"/>
      <c r="DI33" s="71"/>
      <c r="DJ33" s="71"/>
      <c r="DK33" s="71"/>
      <c r="DL33" s="71"/>
      <c r="DM33" s="71"/>
      <c r="DN33" s="71"/>
      <c r="DO33" s="71" t="s">
        <v>51</v>
      </c>
      <c r="DP33" s="91"/>
      <c r="DQ33" s="70"/>
      <c r="DR33" s="87">
        <f>DR32/300</f>
        <v>4.8</v>
      </c>
      <c r="DS33" s="72" t="s">
        <v>384</v>
      </c>
      <c r="DT33" s="71"/>
      <c r="DU33" s="71"/>
      <c r="DV33" s="71"/>
      <c r="DW33" s="71"/>
      <c r="DX33" s="71"/>
      <c r="DY33" s="71" t="s">
        <v>51</v>
      </c>
      <c r="DZ33" s="71"/>
      <c r="EA33" s="71" t="s">
        <v>51</v>
      </c>
      <c r="EB33" s="91"/>
      <c r="EC33" s="70"/>
      <c r="ED33" s="87">
        <f>ED32/300</f>
        <v>5.833333333333333</v>
      </c>
      <c r="EE33" s="72" t="s">
        <v>384</v>
      </c>
      <c r="EF33" s="71"/>
      <c r="EG33" s="71"/>
      <c r="EH33" s="71"/>
      <c r="EI33" s="71"/>
      <c r="EJ33" s="71"/>
      <c r="EK33" s="71"/>
      <c r="EL33" s="71"/>
      <c r="EM33" s="71" t="s">
        <v>51</v>
      </c>
      <c r="EN33" s="91"/>
      <c r="EO33" s="70"/>
      <c r="EP33" s="87">
        <f>EP32/300</f>
        <v>5.833333333333333</v>
      </c>
      <c r="EQ33" s="72" t="s">
        <v>384</v>
      </c>
      <c r="ER33" s="71"/>
      <c r="ES33" s="71"/>
      <c r="ET33" s="71"/>
      <c r="EU33" s="71"/>
      <c r="EV33" s="71"/>
      <c r="EW33" s="71"/>
      <c r="EX33" s="71"/>
      <c r="EY33" s="71" t="s">
        <v>51</v>
      </c>
      <c r="EZ33" s="91"/>
      <c r="FA33" s="70"/>
      <c r="FB33" s="87">
        <f>FB32/300</f>
        <v>5.9666666666666668</v>
      </c>
      <c r="FC33" s="72" t="s">
        <v>384</v>
      </c>
      <c r="FD33" s="71"/>
      <c r="FE33" s="71"/>
      <c r="FF33" s="71"/>
      <c r="FG33" s="71"/>
      <c r="FH33" s="71"/>
      <c r="FI33" s="71"/>
      <c r="FJ33" s="71"/>
      <c r="FK33" s="71" t="s">
        <v>51</v>
      </c>
      <c r="FL33" s="91"/>
      <c r="FM33" s="70"/>
      <c r="FN33" s="87">
        <f>FN32/300</f>
        <v>5.833333333333333</v>
      </c>
      <c r="FO33" s="72" t="s">
        <v>384</v>
      </c>
      <c r="FP33" s="71"/>
      <c r="FQ33" s="71"/>
      <c r="FR33" s="71"/>
      <c r="FS33" s="71"/>
      <c r="FT33" s="71"/>
      <c r="FU33" s="71"/>
      <c r="FV33" s="71"/>
      <c r="FW33" s="71" t="s">
        <v>51</v>
      </c>
      <c r="FX33" s="91"/>
      <c r="FY33" s="70"/>
      <c r="FZ33" s="87">
        <f>FZ32/300</f>
        <v>6</v>
      </c>
      <c r="GA33" s="72" t="s">
        <v>384</v>
      </c>
      <c r="GB33" s="71"/>
      <c r="GC33" s="71"/>
      <c r="GD33" s="71"/>
      <c r="GE33" s="71"/>
      <c r="GF33" s="71"/>
      <c r="GG33" s="71"/>
      <c r="GH33" s="71"/>
      <c r="GI33" s="71" t="s">
        <v>51</v>
      </c>
      <c r="GJ33" s="91"/>
      <c r="GK33" s="70"/>
      <c r="GL33" s="87">
        <f>GL32/300</f>
        <v>5.8</v>
      </c>
      <c r="GM33" s="72" t="s">
        <v>384</v>
      </c>
      <c r="GN33" s="71"/>
      <c r="GO33" s="71"/>
      <c r="GP33" s="71"/>
      <c r="GQ33" s="71"/>
      <c r="GR33" s="71"/>
      <c r="GS33" s="71"/>
      <c r="GT33" s="71"/>
      <c r="GU33" s="71" t="s">
        <v>51</v>
      </c>
      <c r="GV33" s="91"/>
      <c r="GW33" s="70"/>
      <c r="GX33" s="87">
        <f>GX32/300</f>
        <v>5.5333333333333332</v>
      </c>
      <c r="GY33" s="72" t="s">
        <v>384</v>
      </c>
      <c r="GZ33" s="71"/>
      <c r="HA33" s="71"/>
      <c r="HB33" s="71"/>
      <c r="HC33" s="71"/>
      <c r="HD33" s="71"/>
      <c r="HE33" s="71"/>
      <c r="HF33" s="71"/>
      <c r="HG33" s="71" t="s">
        <v>51</v>
      </c>
      <c r="HH33" s="91"/>
      <c r="HI33" s="70"/>
      <c r="HJ33" s="87">
        <f>HJ32/300</f>
        <v>6</v>
      </c>
      <c r="HK33" s="72" t="s">
        <v>384</v>
      </c>
      <c r="HL33" s="71"/>
      <c r="HM33" s="71"/>
      <c r="HN33" s="71"/>
      <c r="HO33" s="71"/>
      <c r="HP33" s="71"/>
      <c r="HQ33" s="71"/>
      <c r="HR33" s="71"/>
      <c r="HS33" s="71" t="s">
        <v>51</v>
      </c>
      <c r="HT33" s="91"/>
      <c r="HU33" s="70"/>
      <c r="HV33" s="87">
        <f>HV32/300</f>
        <v>5.8</v>
      </c>
      <c r="HW33" s="72" t="s">
        <v>384</v>
      </c>
      <c r="HX33" s="71"/>
      <c r="HY33" s="71"/>
      <c r="HZ33" s="71"/>
      <c r="IA33" s="71"/>
      <c r="IB33" s="71"/>
      <c r="IC33" s="71"/>
      <c r="ID33" s="71"/>
      <c r="IE33" s="71" t="s">
        <v>51</v>
      </c>
      <c r="IF33" s="91"/>
      <c r="IG33" s="70"/>
      <c r="IH33" s="87">
        <f>IH32/300</f>
        <v>5.833333333333333</v>
      </c>
      <c r="II33" s="72" t="s">
        <v>384</v>
      </c>
      <c r="IJ33" s="71"/>
      <c r="IK33" s="71"/>
      <c r="IL33" s="71"/>
      <c r="IM33" s="71"/>
      <c r="IN33" s="71"/>
      <c r="IO33" s="71"/>
      <c r="IP33" s="71"/>
      <c r="IQ33" s="71" t="s">
        <v>51</v>
      </c>
      <c r="IR33" s="91"/>
      <c r="IS33" s="70"/>
      <c r="IT33" s="87">
        <f>IT32/300</f>
        <v>4.9666666666666668</v>
      </c>
      <c r="IU33" s="72" t="s">
        <v>384</v>
      </c>
      <c r="IV33" s="71"/>
      <c r="IW33" s="71"/>
      <c r="IX33" s="71"/>
      <c r="IY33" s="71"/>
      <c r="IZ33" s="71"/>
      <c r="JA33" s="71"/>
      <c r="JB33" s="71"/>
      <c r="JC33" s="71" t="s">
        <v>51</v>
      </c>
      <c r="JD33" s="91"/>
      <c r="JE33" s="70"/>
      <c r="JF33" s="87">
        <f>JF32/300</f>
        <v>5.8</v>
      </c>
      <c r="JG33" s="72" t="s">
        <v>384</v>
      </c>
      <c r="JH33" s="71"/>
      <c r="JI33" s="71"/>
      <c r="JJ33" s="71"/>
      <c r="JK33" s="71"/>
      <c r="JL33" s="71"/>
      <c r="JM33" s="71"/>
      <c r="JN33" s="71"/>
      <c r="JO33" s="71" t="s">
        <v>51</v>
      </c>
      <c r="JP33" s="91"/>
      <c r="JQ33" s="70"/>
      <c r="JR33" s="87">
        <f>JR32/300</f>
        <v>5.8666666666666663</v>
      </c>
      <c r="JS33" s="72" t="s">
        <v>384</v>
      </c>
      <c r="JT33" s="71"/>
      <c r="JU33" s="71"/>
      <c r="JV33" s="71"/>
      <c r="JW33" s="71"/>
      <c r="JX33" s="71"/>
      <c r="JY33" s="71"/>
      <c r="JZ33" s="71"/>
      <c r="KA33" s="71" t="s">
        <v>51</v>
      </c>
      <c r="KB33" s="91"/>
      <c r="KC33" s="70"/>
      <c r="KD33" s="87">
        <f>KD32/300</f>
        <v>5.833333333333333</v>
      </c>
      <c r="KE33" s="72" t="s">
        <v>384</v>
      </c>
      <c r="KF33" s="71"/>
      <c r="KG33" s="71"/>
      <c r="KH33" s="71"/>
      <c r="KI33" s="71" t="s">
        <v>51</v>
      </c>
      <c r="KJ33" s="71"/>
      <c r="KK33" s="71"/>
      <c r="KL33" s="71"/>
      <c r="KM33" s="71" t="s">
        <v>51</v>
      </c>
      <c r="KN33" s="91"/>
      <c r="KO33" s="70"/>
      <c r="KP33" s="87">
        <f>KP32/300</f>
        <v>5.833333333333333</v>
      </c>
      <c r="KQ33" s="72" t="s">
        <v>384</v>
      </c>
      <c r="KR33" s="71"/>
      <c r="KS33" s="71"/>
      <c r="KT33" s="71"/>
      <c r="KU33" s="71"/>
      <c r="KV33" s="71"/>
      <c r="KW33" s="71"/>
      <c r="KX33" s="71"/>
      <c r="KY33" s="71" t="s">
        <v>51</v>
      </c>
      <c r="KZ33" s="91"/>
      <c r="LA33" s="70"/>
      <c r="LB33" s="87">
        <f>LB32/300</f>
        <v>0</v>
      </c>
      <c r="LC33" s="72" t="s">
        <v>384</v>
      </c>
      <c r="LD33" s="71"/>
      <c r="LE33" s="71"/>
      <c r="LF33" s="71"/>
      <c r="LG33" s="71"/>
      <c r="LH33" s="71"/>
      <c r="LI33" s="71"/>
      <c r="LJ33" s="71"/>
      <c r="LK33" s="71" t="s">
        <v>51</v>
      </c>
      <c r="LL33" s="91"/>
      <c r="LM33" s="70"/>
      <c r="LN33" s="87">
        <f>LN32/300</f>
        <v>0</v>
      </c>
      <c r="LO33" s="72" t="s">
        <v>384</v>
      </c>
      <c r="LP33" s="71"/>
      <c r="LQ33" s="71"/>
      <c r="LR33" s="71"/>
      <c r="LS33" s="71"/>
      <c r="LT33" s="71"/>
      <c r="LU33" s="71"/>
      <c r="LV33" s="71"/>
      <c r="LW33" s="71" t="s">
        <v>51</v>
      </c>
      <c r="LX33" s="91"/>
      <c r="LY33" s="70"/>
      <c r="LZ33" s="87">
        <f>LZ32/300</f>
        <v>0</v>
      </c>
      <c r="MA33" s="72" t="s">
        <v>384</v>
      </c>
      <c r="MB33" s="71"/>
      <c r="MC33" s="71"/>
      <c r="MD33" s="71"/>
      <c r="ME33" s="71"/>
      <c r="MF33" s="71"/>
      <c r="MG33" s="71"/>
      <c r="MH33" s="71"/>
      <c r="MI33" s="71" t="s">
        <v>51</v>
      </c>
      <c r="MJ33" s="91"/>
      <c r="MK33" s="70"/>
      <c r="ML33" s="87">
        <f>ML32/300</f>
        <v>0</v>
      </c>
      <c r="MM33" s="72" t="s">
        <v>384</v>
      </c>
      <c r="MN33" s="71"/>
      <c r="MO33" s="71"/>
      <c r="MP33" s="71"/>
      <c r="MQ33" s="71"/>
      <c r="MR33" s="71"/>
      <c r="MS33" s="71"/>
      <c r="MT33" s="71"/>
      <c r="MU33" s="71" t="s">
        <v>51</v>
      </c>
      <c r="MV33" s="91"/>
      <c r="MW33" s="70"/>
      <c r="MX33" s="87">
        <f>MX32/300</f>
        <v>0</v>
      </c>
      <c r="MY33" s="72" t="s">
        <v>384</v>
      </c>
      <c r="MZ33" s="71"/>
      <c r="NA33" s="71"/>
      <c r="NB33" s="71"/>
      <c r="NC33" s="71"/>
      <c r="ND33" s="71"/>
      <c r="NE33" s="71"/>
      <c r="NF33" s="71"/>
      <c r="NG33" s="71" t="s">
        <v>51</v>
      </c>
      <c r="NH33" s="91"/>
      <c r="NI33" s="70"/>
      <c r="NJ33" s="87">
        <f>NJ32/300</f>
        <v>0</v>
      </c>
      <c r="NK33" s="72" t="s">
        <v>384</v>
      </c>
      <c r="NL33" s="71"/>
      <c r="NM33" s="71"/>
      <c r="NN33" s="71"/>
      <c r="NO33" s="71"/>
      <c r="NP33" s="71"/>
      <c r="NQ33" s="71"/>
      <c r="NR33" s="71"/>
      <c r="NS33" s="71" t="s">
        <v>51</v>
      </c>
      <c r="NT33" s="91"/>
      <c r="NU33" s="70"/>
      <c r="NV33" s="87">
        <f>NV32/300</f>
        <v>0</v>
      </c>
      <c r="NW33" s="72" t="s">
        <v>384</v>
      </c>
      <c r="NX33" s="71"/>
      <c r="NY33" s="71"/>
      <c r="NZ33" s="71"/>
      <c r="OA33" s="71"/>
      <c r="OB33" s="71"/>
      <c r="OC33" s="71"/>
      <c r="OD33" s="71"/>
      <c r="OE33" s="71" t="s">
        <v>51</v>
      </c>
      <c r="OF33" s="91"/>
      <c r="OG33" s="70"/>
      <c r="OH33" s="87">
        <f>OH32/300</f>
        <v>0</v>
      </c>
      <c r="OI33" s="72" t="s">
        <v>384</v>
      </c>
      <c r="OJ33" s="71"/>
      <c r="OK33" s="71"/>
      <c r="OL33" s="71"/>
      <c r="OM33" s="71"/>
      <c r="ON33" s="71"/>
      <c r="OO33" s="71"/>
      <c r="OP33" s="71"/>
      <c r="OQ33" s="71" t="s">
        <v>51</v>
      </c>
      <c r="OR33" s="91"/>
      <c r="OS33" s="70"/>
      <c r="OT33" s="87">
        <f>OT32/300</f>
        <v>0</v>
      </c>
      <c r="OU33" s="72" t="s">
        <v>384</v>
      </c>
      <c r="OV33" s="71"/>
      <c r="OW33" s="71"/>
      <c r="OX33" s="71"/>
      <c r="OY33" s="71"/>
      <c r="OZ33" s="71"/>
      <c r="PA33" s="71"/>
      <c r="PB33" s="71" t="s">
        <v>51</v>
      </c>
      <c r="PC33" s="71" t="s">
        <v>51</v>
      </c>
      <c r="PD33" s="91"/>
      <c r="PE33" s="70"/>
      <c r="PF33" s="87">
        <f>PF32/300</f>
        <v>0</v>
      </c>
      <c r="PG33" s="72" t="s">
        <v>384</v>
      </c>
      <c r="PH33" s="71"/>
      <c r="PI33" s="71"/>
      <c r="PJ33" s="71"/>
      <c r="PK33" s="71"/>
      <c r="PL33" s="71"/>
      <c r="PM33" s="71"/>
      <c r="PN33" s="71"/>
      <c r="PO33" s="71" t="s">
        <v>51</v>
      </c>
      <c r="PP33" s="91"/>
    </row>
    <row r="34" spans="1:432" ht="9.75" customHeight="1">
      <c r="A34" s="70"/>
      <c r="B34" s="71"/>
      <c r="C34" s="71"/>
      <c r="D34" s="71"/>
      <c r="E34" s="71"/>
      <c r="F34" s="71" t="s">
        <v>51</v>
      </c>
      <c r="G34" s="71" t="s">
        <v>51</v>
      </c>
      <c r="H34" s="71" t="s">
        <v>51</v>
      </c>
      <c r="I34" s="71" t="s">
        <v>51</v>
      </c>
      <c r="J34" s="71" t="s">
        <v>51</v>
      </c>
      <c r="K34" s="71"/>
      <c r="L34" s="91"/>
      <c r="M34" s="70"/>
      <c r="N34" s="71"/>
      <c r="O34" s="71"/>
      <c r="P34" s="71"/>
      <c r="Q34" s="71"/>
      <c r="R34" s="71" t="s">
        <v>51</v>
      </c>
      <c r="S34" s="71" t="s">
        <v>51</v>
      </c>
      <c r="T34" s="71" t="s">
        <v>51</v>
      </c>
      <c r="U34" s="71" t="s">
        <v>51</v>
      </c>
      <c r="V34" s="71" t="s">
        <v>51</v>
      </c>
      <c r="W34" s="71"/>
      <c r="X34" s="91"/>
      <c r="Y34" s="70"/>
      <c r="Z34" s="71"/>
      <c r="AA34" s="71"/>
      <c r="AB34" s="71"/>
      <c r="AC34" s="71"/>
      <c r="AD34" s="71" t="s">
        <v>51</v>
      </c>
      <c r="AE34" s="71" t="s">
        <v>51</v>
      </c>
      <c r="AF34" s="71" t="s">
        <v>51</v>
      </c>
      <c r="AG34" s="71" t="s">
        <v>51</v>
      </c>
      <c r="AH34" s="71" t="s">
        <v>51</v>
      </c>
      <c r="AI34" s="71"/>
      <c r="AJ34" s="91"/>
      <c r="AK34" s="70"/>
      <c r="AL34" s="71"/>
      <c r="AM34" s="71"/>
      <c r="AN34" s="71"/>
      <c r="AO34" s="71"/>
      <c r="AP34" s="71" t="s">
        <v>51</v>
      </c>
      <c r="AQ34" s="71" t="s">
        <v>51</v>
      </c>
      <c r="AR34" s="71" t="s">
        <v>51</v>
      </c>
      <c r="AS34" s="71" t="s">
        <v>51</v>
      </c>
      <c r="AT34" s="71" t="s">
        <v>51</v>
      </c>
      <c r="AU34" s="71"/>
      <c r="AV34" s="91"/>
      <c r="AW34" s="70"/>
      <c r="AX34" s="71"/>
      <c r="AY34" s="71"/>
      <c r="AZ34" s="71"/>
      <c r="BA34" s="71"/>
      <c r="BB34" s="71" t="s">
        <v>51</v>
      </c>
      <c r="BC34" s="71" t="s">
        <v>51</v>
      </c>
      <c r="BD34" s="71" t="s">
        <v>51</v>
      </c>
      <c r="BE34" s="71" t="s">
        <v>51</v>
      </c>
      <c r="BF34" s="71" t="s">
        <v>51</v>
      </c>
      <c r="BG34" s="71"/>
      <c r="BH34" s="91"/>
      <c r="BI34" s="70"/>
      <c r="BJ34" s="71"/>
      <c r="BK34" s="71"/>
      <c r="BL34" s="71"/>
      <c r="BM34" s="71"/>
      <c r="BN34" s="71" t="s">
        <v>51</v>
      </c>
      <c r="BO34" s="71" t="s">
        <v>51</v>
      </c>
      <c r="BP34" s="71" t="s">
        <v>51</v>
      </c>
      <c r="BQ34" s="71" t="s">
        <v>51</v>
      </c>
      <c r="BR34" s="71" t="s">
        <v>51</v>
      </c>
      <c r="BS34" s="71"/>
      <c r="BT34" s="91"/>
      <c r="BU34" s="70"/>
      <c r="BV34" s="71"/>
      <c r="BW34" s="71"/>
      <c r="BX34" s="71"/>
      <c r="BY34" s="71"/>
      <c r="BZ34" s="71" t="s">
        <v>51</v>
      </c>
      <c r="CA34" s="71" t="s">
        <v>51</v>
      </c>
      <c r="CB34" s="71" t="s">
        <v>51</v>
      </c>
      <c r="CC34" s="71" t="s">
        <v>51</v>
      </c>
      <c r="CD34" s="71" t="s">
        <v>51</v>
      </c>
      <c r="CE34" s="71"/>
      <c r="CF34" s="91"/>
      <c r="CG34" s="70"/>
      <c r="CH34" s="71"/>
      <c r="CI34" s="71"/>
      <c r="CJ34" s="71"/>
      <c r="CK34" s="71"/>
      <c r="CL34" s="71" t="s">
        <v>51</v>
      </c>
      <c r="CM34" s="71" t="s">
        <v>51</v>
      </c>
      <c r="CN34" s="71" t="s">
        <v>51</v>
      </c>
      <c r="CO34" s="71" t="s">
        <v>51</v>
      </c>
      <c r="CP34" s="71" t="s">
        <v>51</v>
      </c>
      <c r="CQ34" s="71"/>
      <c r="CR34" s="91"/>
      <c r="CS34" s="70"/>
      <c r="CT34" s="71"/>
      <c r="CU34" s="71"/>
      <c r="CV34" s="71"/>
      <c r="CW34" s="71"/>
      <c r="CX34" s="71" t="s">
        <v>51</v>
      </c>
      <c r="CY34" s="71" t="s">
        <v>51</v>
      </c>
      <c r="CZ34" s="71" t="s">
        <v>51</v>
      </c>
      <c r="DA34" s="71" t="s">
        <v>51</v>
      </c>
      <c r="DB34" s="71" t="s">
        <v>51</v>
      </c>
      <c r="DC34" s="71"/>
      <c r="DD34" s="91"/>
      <c r="DE34" s="70"/>
      <c r="DF34" s="71"/>
      <c r="DG34" s="71"/>
      <c r="DH34" s="71"/>
      <c r="DI34" s="71"/>
      <c r="DJ34" s="71" t="s">
        <v>51</v>
      </c>
      <c r="DK34" s="71" t="s">
        <v>51</v>
      </c>
      <c r="DL34" s="71" t="s">
        <v>51</v>
      </c>
      <c r="DM34" s="71" t="s">
        <v>51</v>
      </c>
      <c r="DN34" s="71" t="s">
        <v>51</v>
      </c>
      <c r="DO34" s="71"/>
      <c r="DP34" s="91"/>
      <c r="DQ34" s="70"/>
      <c r="DR34" s="71"/>
      <c r="DS34" s="71"/>
      <c r="DT34" s="71"/>
      <c r="DU34" s="71"/>
      <c r="DV34" s="71" t="s">
        <v>51</v>
      </c>
      <c r="DW34" s="71" t="s">
        <v>51</v>
      </c>
      <c r="DX34" s="71" t="s">
        <v>51</v>
      </c>
      <c r="DY34" s="71" t="s">
        <v>51</v>
      </c>
      <c r="DZ34" s="71" t="s">
        <v>51</v>
      </c>
      <c r="EA34" s="71"/>
      <c r="EB34" s="91"/>
      <c r="EC34" s="70"/>
      <c r="ED34" s="71"/>
      <c r="EE34" s="71"/>
      <c r="EF34" s="71"/>
      <c r="EG34" s="71"/>
      <c r="EH34" s="71" t="s">
        <v>51</v>
      </c>
      <c r="EI34" s="71" t="s">
        <v>51</v>
      </c>
      <c r="EJ34" s="71" t="s">
        <v>51</v>
      </c>
      <c r="EK34" s="71" t="s">
        <v>51</v>
      </c>
      <c r="EL34" s="71" t="s">
        <v>51</v>
      </c>
      <c r="EM34" s="71"/>
      <c r="EN34" s="91"/>
      <c r="EO34" s="70"/>
      <c r="EP34" s="71"/>
      <c r="EQ34" s="71"/>
      <c r="ER34" s="71"/>
      <c r="ES34" s="71"/>
      <c r="ET34" s="71" t="s">
        <v>51</v>
      </c>
      <c r="EU34" s="71" t="s">
        <v>51</v>
      </c>
      <c r="EV34" s="71" t="s">
        <v>51</v>
      </c>
      <c r="EW34" s="71" t="s">
        <v>51</v>
      </c>
      <c r="EX34" s="71" t="s">
        <v>51</v>
      </c>
      <c r="EY34" s="71"/>
      <c r="EZ34" s="91"/>
      <c r="FA34" s="70"/>
      <c r="FB34" s="71"/>
      <c r="FC34" s="71"/>
      <c r="FD34" s="71"/>
      <c r="FE34" s="71"/>
      <c r="FF34" s="71" t="s">
        <v>51</v>
      </c>
      <c r="FG34" s="71" t="s">
        <v>51</v>
      </c>
      <c r="FH34" s="71" t="s">
        <v>51</v>
      </c>
      <c r="FI34" s="71" t="s">
        <v>51</v>
      </c>
      <c r="FJ34" s="71" t="s">
        <v>51</v>
      </c>
      <c r="FK34" s="71"/>
      <c r="FL34" s="91"/>
      <c r="FM34" s="70"/>
      <c r="FN34" s="71"/>
      <c r="FO34" s="71"/>
      <c r="FP34" s="71"/>
      <c r="FQ34" s="71"/>
      <c r="FR34" s="71" t="s">
        <v>51</v>
      </c>
      <c r="FS34" s="71" t="s">
        <v>51</v>
      </c>
      <c r="FT34" s="71" t="s">
        <v>51</v>
      </c>
      <c r="FU34" s="71" t="s">
        <v>51</v>
      </c>
      <c r="FV34" s="71" t="s">
        <v>51</v>
      </c>
      <c r="FW34" s="71"/>
      <c r="FX34" s="91"/>
      <c r="FY34" s="70"/>
      <c r="FZ34" s="71"/>
      <c r="GA34" s="71"/>
      <c r="GB34" s="71"/>
      <c r="GC34" s="71"/>
      <c r="GD34" s="71" t="s">
        <v>51</v>
      </c>
      <c r="GE34" s="71" t="s">
        <v>51</v>
      </c>
      <c r="GF34" s="71" t="s">
        <v>51</v>
      </c>
      <c r="GG34" s="71" t="s">
        <v>51</v>
      </c>
      <c r="GH34" s="71" t="s">
        <v>51</v>
      </c>
      <c r="GI34" s="71"/>
      <c r="GJ34" s="91"/>
      <c r="GK34" s="70"/>
      <c r="GL34" s="71"/>
      <c r="GM34" s="71"/>
      <c r="GN34" s="71"/>
      <c r="GO34" s="71"/>
      <c r="GP34" s="71" t="s">
        <v>51</v>
      </c>
      <c r="GQ34" s="71" t="s">
        <v>51</v>
      </c>
      <c r="GR34" s="71" t="s">
        <v>51</v>
      </c>
      <c r="GS34" s="71" t="s">
        <v>51</v>
      </c>
      <c r="GT34" s="71" t="s">
        <v>51</v>
      </c>
      <c r="GU34" s="71"/>
      <c r="GV34" s="91"/>
      <c r="GW34" s="70"/>
      <c r="GX34" s="71"/>
      <c r="GY34" s="71"/>
      <c r="GZ34" s="71"/>
      <c r="HA34" s="71"/>
      <c r="HB34" s="71" t="s">
        <v>51</v>
      </c>
      <c r="HC34" s="71" t="s">
        <v>51</v>
      </c>
      <c r="HD34" s="71" t="s">
        <v>51</v>
      </c>
      <c r="HE34" s="71" t="s">
        <v>51</v>
      </c>
      <c r="HF34" s="71" t="s">
        <v>51</v>
      </c>
      <c r="HG34" s="71"/>
      <c r="HH34" s="91"/>
      <c r="HI34" s="70"/>
      <c r="HJ34" s="71"/>
      <c r="HK34" s="71"/>
      <c r="HL34" s="71"/>
      <c r="HM34" s="71"/>
      <c r="HN34" s="71" t="s">
        <v>51</v>
      </c>
      <c r="HO34" s="71" t="s">
        <v>51</v>
      </c>
      <c r="HP34" s="71" t="s">
        <v>51</v>
      </c>
      <c r="HQ34" s="71" t="s">
        <v>51</v>
      </c>
      <c r="HR34" s="71" t="s">
        <v>51</v>
      </c>
      <c r="HS34" s="71"/>
      <c r="HT34" s="91"/>
      <c r="HU34" s="70"/>
      <c r="HV34" s="71"/>
      <c r="HW34" s="71"/>
      <c r="HX34" s="71"/>
      <c r="HY34" s="71"/>
      <c r="HZ34" s="71" t="s">
        <v>51</v>
      </c>
      <c r="IA34" s="71" t="s">
        <v>51</v>
      </c>
      <c r="IB34" s="71" t="s">
        <v>51</v>
      </c>
      <c r="IC34" s="71" t="s">
        <v>51</v>
      </c>
      <c r="ID34" s="71" t="s">
        <v>51</v>
      </c>
      <c r="IE34" s="71"/>
      <c r="IF34" s="91"/>
      <c r="IG34" s="70"/>
      <c r="IH34" s="71"/>
      <c r="II34" s="71"/>
      <c r="IJ34" s="71"/>
      <c r="IK34" s="71"/>
      <c r="IL34" s="71" t="s">
        <v>51</v>
      </c>
      <c r="IM34" s="71" t="s">
        <v>51</v>
      </c>
      <c r="IN34" s="71" t="s">
        <v>51</v>
      </c>
      <c r="IO34" s="71" t="s">
        <v>51</v>
      </c>
      <c r="IP34" s="71" t="s">
        <v>51</v>
      </c>
      <c r="IQ34" s="71"/>
      <c r="IR34" s="91"/>
      <c r="IS34" s="70"/>
      <c r="IT34" s="71"/>
      <c r="IU34" s="71"/>
      <c r="IV34" s="71"/>
      <c r="IW34" s="71"/>
      <c r="IX34" s="71" t="s">
        <v>51</v>
      </c>
      <c r="IY34" s="71" t="s">
        <v>51</v>
      </c>
      <c r="IZ34" s="71" t="s">
        <v>51</v>
      </c>
      <c r="JA34" s="71" t="s">
        <v>51</v>
      </c>
      <c r="JB34" s="71" t="s">
        <v>51</v>
      </c>
      <c r="JC34" s="71"/>
      <c r="JD34" s="91"/>
      <c r="JE34" s="70"/>
      <c r="JF34" s="71"/>
      <c r="JG34" s="71"/>
      <c r="JH34" s="71"/>
      <c r="JI34" s="71"/>
      <c r="JJ34" s="71" t="s">
        <v>51</v>
      </c>
      <c r="JK34" s="71" t="s">
        <v>51</v>
      </c>
      <c r="JL34" s="71" t="s">
        <v>51</v>
      </c>
      <c r="JM34" s="71" t="s">
        <v>51</v>
      </c>
      <c r="JN34" s="71" t="s">
        <v>51</v>
      </c>
      <c r="JO34" s="71"/>
      <c r="JP34" s="91"/>
      <c r="JQ34" s="70"/>
      <c r="JR34" s="71"/>
      <c r="JS34" s="71"/>
      <c r="JT34" s="71"/>
      <c r="JU34" s="71"/>
      <c r="JV34" s="71" t="s">
        <v>51</v>
      </c>
      <c r="JW34" s="71" t="s">
        <v>51</v>
      </c>
      <c r="JX34" s="71" t="s">
        <v>51</v>
      </c>
      <c r="JY34" s="71" t="s">
        <v>51</v>
      </c>
      <c r="JZ34" s="71" t="s">
        <v>51</v>
      </c>
      <c r="KA34" s="71"/>
      <c r="KB34" s="91"/>
      <c r="KC34" s="70"/>
      <c r="KD34" s="71"/>
      <c r="KE34" s="71"/>
      <c r="KF34" s="71"/>
      <c r="KG34" s="71"/>
      <c r="KH34" s="71" t="s">
        <v>51</v>
      </c>
      <c r="KI34" s="71" t="s">
        <v>51</v>
      </c>
      <c r="KJ34" s="71" t="s">
        <v>51</v>
      </c>
      <c r="KK34" s="71" t="s">
        <v>51</v>
      </c>
      <c r="KL34" s="71" t="s">
        <v>51</v>
      </c>
      <c r="KM34" s="71"/>
      <c r="KN34" s="91"/>
      <c r="KO34" s="70"/>
      <c r="KP34" s="71"/>
      <c r="KQ34" s="71"/>
      <c r="KR34" s="71"/>
      <c r="KS34" s="71"/>
      <c r="KT34" s="71" t="s">
        <v>51</v>
      </c>
      <c r="KU34" s="71" t="s">
        <v>51</v>
      </c>
      <c r="KV34" s="71" t="s">
        <v>51</v>
      </c>
      <c r="KW34" s="71" t="s">
        <v>51</v>
      </c>
      <c r="KX34" s="71" t="s">
        <v>51</v>
      </c>
      <c r="KY34" s="71"/>
      <c r="KZ34" s="91"/>
      <c r="LA34" s="70"/>
      <c r="LB34" s="71"/>
      <c r="LC34" s="71"/>
      <c r="LD34" s="71"/>
      <c r="LE34" s="71"/>
      <c r="LF34" s="71" t="s">
        <v>51</v>
      </c>
      <c r="LG34" s="71" t="s">
        <v>51</v>
      </c>
      <c r="LH34" s="71" t="s">
        <v>51</v>
      </c>
      <c r="LI34" s="71" t="s">
        <v>51</v>
      </c>
      <c r="LJ34" s="71" t="s">
        <v>51</v>
      </c>
      <c r="LK34" s="71"/>
      <c r="LL34" s="91"/>
      <c r="LM34" s="70"/>
      <c r="LN34" s="71"/>
      <c r="LO34" s="71"/>
      <c r="LP34" s="71"/>
      <c r="LQ34" s="71"/>
      <c r="LR34" s="71" t="s">
        <v>51</v>
      </c>
      <c r="LS34" s="71" t="s">
        <v>51</v>
      </c>
      <c r="LT34" s="71" t="s">
        <v>51</v>
      </c>
      <c r="LU34" s="71" t="s">
        <v>51</v>
      </c>
      <c r="LV34" s="71" t="s">
        <v>51</v>
      </c>
      <c r="LW34" s="71"/>
      <c r="LX34" s="91"/>
      <c r="LY34" s="70"/>
      <c r="LZ34" s="71"/>
      <c r="MA34" s="71"/>
      <c r="MB34" s="71"/>
      <c r="MC34" s="71"/>
      <c r="MD34" s="71" t="s">
        <v>51</v>
      </c>
      <c r="ME34" s="71" t="s">
        <v>51</v>
      </c>
      <c r="MF34" s="71" t="s">
        <v>51</v>
      </c>
      <c r="MG34" s="71" t="s">
        <v>51</v>
      </c>
      <c r="MH34" s="71" t="s">
        <v>51</v>
      </c>
      <c r="MI34" s="71"/>
      <c r="MJ34" s="91"/>
      <c r="MK34" s="70"/>
      <c r="ML34" s="71"/>
      <c r="MM34" s="71"/>
      <c r="MN34" s="71"/>
      <c r="MO34" s="71"/>
      <c r="MP34" s="71" t="s">
        <v>51</v>
      </c>
      <c r="MQ34" s="71" t="s">
        <v>51</v>
      </c>
      <c r="MR34" s="71" t="s">
        <v>51</v>
      </c>
      <c r="MS34" s="71" t="s">
        <v>51</v>
      </c>
      <c r="MT34" s="71" t="s">
        <v>51</v>
      </c>
      <c r="MU34" s="71"/>
      <c r="MV34" s="91"/>
      <c r="MW34" s="70"/>
      <c r="MX34" s="71"/>
      <c r="MY34" s="71"/>
      <c r="MZ34" s="71"/>
      <c r="NA34" s="71"/>
      <c r="NB34" s="71" t="s">
        <v>51</v>
      </c>
      <c r="NC34" s="71" t="s">
        <v>51</v>
      </c>
      <c r="ND34" s="71" t="s">
        <v>51</v>
      </c>
      <c r="NE34" s="71" t="s">
        <v>51</v>
      </c>
      <c r="NF34" s="71" t="s">
        <v>51</v>
      </c>
      <c r="NG34" s="71"/>
      <c r="NH34" s="91"/>
      <c r="NI34" s="70"/>
      <c r="NJ34" s="71"/>
      <c r="NK34" s="71"/>
      <c r="NL34" s="71"/>
      <c r="NM34" s="71"/>
      <c r="NN34" s="71" t="s">
        <v>51</v>
      </c>
      <c r="NO34" s="71" t="s">
        <v>51</v>
      </c>
      <c r="NP34" s="71" t="s">
        <v>51</v>
      </c>
      <c r="NQ34" s="71" t="s">
        <v>51</v>
      </c>
      <c r="NR34" s="71" t="s">
        <v>51</v>
      </c>
      <c r="NS34" s="71"/>
      <c r="NT34" s="91"/>
      <c r="NU34" s="70"/>
      <c r="NV34" s="71"/>
      <c r="NW34" s="71"/>
      <c r="NX34" s="71"/>
      <c r="NY34" s="71"/>
      <c r="NZ34" s="71" t="s">
        <v>51</v>
      </c>
      <c r="OA34" s="71" t="s">
        <v>51</v>
      </c>
      <c r="OB34" s="71" t="s">
        <v>51</v>
      </c>
      <c r="OC34" s="71" t="s">
        <v>51</v>
      </c>
      <c r="OD34" s="71" t="s">
        <v>51</v>
      </c>
      <c r="OE34" s="71"/>
      <c r="OF34" s="91"/>
      <c r="OG34" s="70"/>
      <c r="OH34" s="71"/>
      <c r="OI34" s="71"/>
      <c r="OJ34" s="71"/>
      <c r="OK34" s="71"/>
      <c r="OL34" s="71" t="s">
        <v>51</v>
      </c>
      <c r="OM34" s="71" t="s">
        <v>51</v>
      </c>
      <c r="ON34" s="71" t="s">
        <v>51</v>
      </c>
      <c r="OO34" s="71" t="s">
        <v>51</v>
      </c>
      <c r="OP34" s="71" t="s">
        <v>51</v>
      </c>
      <c r="OQ34" s="71"/>
      <c r="OR34" s="91"/>
      <c r="OS34" s="70"/>
      <c r="OT34" s="71"/>
      <c r="OU34" s="71"/>
      <c r="OV34" s="71"/>
      <c r="OW34" s="71"/>
      <c r="OX34" s="71" t="s">
        <v>51</v>
      </c>
      <c r="OY34" s="71" t="s">
        <v>51</v>
      </c>
      <c r="OZ34" s="71" t="s">
        <v>51</v>
      </c>
      <c r="PA34" s="71" t="s">
        <v>51</v>
      </c>
      <c r="PB34" s="71" t="s">
        <v>51</v>
      </c>
      <c r="PC34" s="71"/>
      <c r="PD34" s="91"/>
      <c r="PE34" s="70"/>
      <c r="PF34" s="71"/>
      <c r="PG34" s="71"/>
      <c r="PH34" s="71"/>
      <c r="PI34" s="71"/>
      <c r="PJ34" s="71" t="s">
        <v>51</v>
      </c>
      <c r="PK34" s="71" t="s">
        <v>51</v>
      </c>
      <c r="PL34" s="71" t="s">
        <v>51</v>
      </c>
      <c r="PM34" s="71" t="s">
        <v>51</v>
      </c>
      <c r="PN34" s="71" t="s">
        <v>51</v>
      </c>
      <c r="PO34" s="71"/>
      <c r="PP34" s="91"/>
    </row>
    <row r="35" spans="1:432">
      <c r="A35" s="92" t="s">
        <v>427</v>
      </c>
      <c r="B35" s="92"/>
      <c r="C35" s="92"/>
      <c r="D35" s="92"/>
      <c r="E35" s="92"/>
      <c r="F35" s="93"/>
      <c r="G35" s="98">
        <f>B33*5</f>
        <v>30</v>
      </c>
      <c r="H35" s="70"/>
      <c r="I35" s="70"/>
      <c r="J35" s="70"/>
      <c r="K35" s="70"/>
      <c r="L35" s="70"/>
      <c r="M35" s="92" t="s">
        <v>427</v>
      </c>
      <c r="N35" s="92"/>
      <c r="O35" s="92"/>
      <c r="P35" s="92"/>
      <c r="Q35" s="92"/>
      <c r="R35" s="93"/>
      <c r="S35" s="98">
        <f>N33*5</f>
        <v>29.166666666666664</v>
      </c>
      <c r="T35" s="70"/>
      <c r="U35" s="70"/>
      <c r="V35" s="70"/>
      <c r="W35" s="70"/>
      <c r="X35" s="70"/>
      <c r="Y35" s="92" t="s">
        <v>427</v>
      </c>
      <c r="Z35" s="92"/>
      <c r="AA35" s="92"/>
      <c r="AB35" s="92"/>
      <c r="AC35" s="92"/>
      <c r="AD35" s="93"/>
      <c r="AE35" s="98">
        <f>Z33*5</f>
        <v>30</v>
      </c>
      <c r="AF35" s="70"/>
      <c r="AG35" s="70"/>
      <c r="AH35" s="70"/>
      <c r="AI35" s="70"/>
      <c r="AJ35" s="70"/>
      <c r="AK35" s="92" t="s">
        <v>427</v>
      </c>
      <c r="AL35" s="92"/>
      <c r="AM35" s="92"/>
      <c r="AN35" s="92"/>
      <c r="AO35" s="92"/>
      <c r="AP35" s="93"/>
      <c r="AQ35" s="98">
        <f>AL33*5</f>
        <v>29.166666666666664</v>
      </c>
      <c r="AR35" s="70"/>
      <c r="AS35" s="70"/>
      <c r="AT35" s="70"/>
      <c r="AU35" s="70"/>
      <c r="AV35" s="70"/>
      <c r="AW35" s="92" t="s">
        <v>427</v>
      </c>
      <c r="AX35" s="92"/>
      <c r="AY35" s="92"/>
      <c r="AZ35" s="92"/>
      <c r="BA35" s="92"/>
      <c r="BB35" s="93"/>
      <c r="BC35" s="98">
        <f>AX33*5</f>
        <v>29.166666666666664</v>
      </c>
      <c r="BD35" s="70"/>
      <c r="BE35" s="70"/>
      <c r="BF35" s="70"/>
      <c r="BG35" s="70"/>
      <c r="BH35" s="70"/>
      <c r="BI35" s="92" t="s">
        <v>427</v>
      </c>
      <c r="BJ35" s="92"/>
      <c r="BK35" s="92"/>
      <c r="BL35" s="92"/>
      <c r="BM35" s="92"/>
      <c r="BN35" s="93"/>
      <c r="BO35" s="98">
        <f>BJ33*5</f>
        <v>29.166666666666664</v>
      </c>
      <c r="BP35" s="70"/>
      <c r="BQ35" s="70"/>
      <c r="BR35" s="70"/>
      <c r="BS35" s="70"/>
      <c r="BT35" s="70"/>
      <c r="BU35" s="92" t="s">
        <v>427</v>
      </c>
      <c r="BV35" s="92"/>
      <c r="BW35" s="92"/>
      <c r="BX35" s="92"/>
      <c r="BY35" s="92"/>
      <c r="BZ35" s="93"/>
      <c r="CA35" s="98">
        <f>BV33*5</f>
        <v>30</v>
      </c>
      <c r="CB35" s="70"/>
      <c r="CC35" s="70"/>
      <c r="CD35" s="70"/>
      <c r="CE35" s="70"/>
      <c r="CF35" s="70"/>
      <c r="CG35" s="92" t="s">
        <v>427</v>
      </c>
      <c r="CH35" s="92"/>
      <c r="CI35" s="92"/>
      <c r="CJ35" s="92"/>
      <c r="CK35" s="92"/>
      <c r="CL35" s="93"/>
      <c r="CM35" s="98">
        <f>CH33*5</f>
        <v>30</v>
      </c>
      <c r="CN35" s="70"/>
      <c r="CO35" s="70"/>
      <c r="CP35" s="70"/>
      <c r="CQ35" s="70"/>
      <c r="CR35" s="70"/>
      <c r="CS35" s="92" t="s">
        <v>427</v>
      </c>
      <c r="CT35" s="92"/>
      <c r="CU35" s="92"/>
      <c r="CV35" s="92"/>
      <c r="CW35" s="92"/>
      <c r="CX35" s="93"/>
      <c r="CY35" s="98">
        <f>CT33*5</f>
        <v>28.333333333333336</v>
      </c>
      <c r="CZ35" s="70"/>
      <c r="DA35" s="70"/>
      <c r="DB35" s="70"/>
      <c r="DC35" s="70"/>
      <c r="DD35" s="70"/>
      <c r="DE35" s="92" t="s">
        <v>427</v>
      </c>
      <c r="DF35" s="92"/>
      <c r="DG35" s="92"/>
      <c r="DH35" s="92"/>
      <c r="DI35" s="92"/>
      <c r="DJ35" s="93"/>
      <c r="DK35" s="98">
        <f>DF33*5</f>
        <v>29.166666666666664</v>
      </c>
      <c r="DL35" s="70"/>
      <c r="DM35" s="70"/>
      <c r="DN35" s="70"/>
      <c r="DO35" s="70"/>
      <c r="DP35" s="70"/>
      <c r="DQ35" s="92" t="s">
        <v>427</v>
      </c>
      <c r="DR35" s="92"/>
      <c r="DS35" s="92"/>
      <c r="DT35" s="92"/>
      <c r="DU35" s="92"/>
      <c r="DV35" s="93"/>
      <c r="DW35" s="98">
        <f>DR33*5</f>
        <v>24</v>
      </c>
      <c r="DX35" s="70"/>
      <c r="DY35" s="70"/>
      <c r="DZ35" s="70"/>
      <c r="EA35" s="70"/>
      <c r="EB35" s="70"/>
      <c r="EC35" s="92" t="s">
        <v>427</v>
      </c>
      <c r="ED35" s="92"/>
      <c r="EE35" s="92"/>
      <c r="EF35" s="92"/>
      <c r="EG35" s="92"/>
      <c r="EH35" s="93"/>
      <c r="EI35" s="98">
        <f>ED33*5</f>
        <v>29.166666666666664</v>
      </c>
      <c r="EJ35" s="70"/>
      <c r="EK35" s="70"/>
      <c r="EL35" s="70"/>
      <c r="EM35" s="70"/>
      <c r="EN35" s="70"/>
      <c r="EO35" s="92" t="s">
        <v>427</v>
      </c>
      <c r="EP35" s="92"/>
      <c r="EQ35" s="92"/>
      <c r="ER35" s="92"/>
      <c r="ES35" s="92"/>
      <c r="ET35" s="93"/>
      <c r="EU35" s="98">
        <f>EP33*5</f>
        <v>29.166666666666664</v>
      </c>
      <c r="EV35" s="70"/>
      <c r="EW35" s="70"/>
      <c r="EX35" s="70"/>
      <c r="EY35" s="70"/>
      <c r="EZ35" s="70"/>
      <c r="FA35" s="92" t="s">
        <v>427</v>
      </c>
      <c r="FB35" s="92"/>
      <c r="FC35" s="92"/>
      <c r="FD35" s="92"/>
      <c r="FE35" s="92"/>
      <c r="FF35" s="93"/>
      <c r="FG35" s="98">
        <f>FB33*5</f>
        <v>29.833333333333336</v>
      </c>
      <c r="FH35" s="70"/>
      <c r="FI35" s="70"/>
      <c r="FJ35" s="70"/>
      <c r="FK35" s="70"/>
      <c r="FL35" s="70"/>
      <c r="FM35" s="92" t="s">
        <v>427</v>
      </c>
      <c r="FN35" s="92"/>
      <c r="FO35" s="92"/>
      <c r="FP35" s="92"/>
      <c r="FQ35" s="92"/>
      <c r="FR35" s="93"/>
      <c r="FS35" s="98">
        <f>FN33*5</f>
        <v>29.166666666666664</v>
      </c>
      <c r="FT35" s="70"/>
      <c r="FU35" s="70"/>
      <c r="FV35" s="70"/>
      <c r="FW35" s="70"/>
      <c r="FX35" s="70"/>
      <c r="FY35" s="92" t="s">
        <v>427</v>
      </c>
      <c r="FZ35" s="92"/>
      <c r="GA35" s="92"/>
      <c r="GB35" s="92"/>
      <c r="GC35" s="92"/>
      <c r="GD35" s="93"/>
      <c r="GE35" s="98">
        <f>FZ33*5</f>
        <v>30</v>
      </c>
      <c r="GF35" s="70"/>
      <c r="GG35" s="70"/>
      <c r="GH35" s="70"/>
      <c r="GI35" s="70"/>
      <c r="GJ35" s="70"/>
      <c r="GK35" s="92" t="s">
        <v>427</v>
      </c>
      <c r="GL35" s="92"/>
      <c r="GM35" s="92"/>
      <c r="GN35" s="92"/>
      <c r="GO35" s="92"/>
      <c r="GP35" s="93"/>
      <c r="GQ35" s="98">
        <f>GL33*5</f>
        <v>29</v>
      </c>
      <c r="GR35" s="70"/>
      <c r="GS35" s="70"/>
      <c r="GT35" s="70"/>
      <c r="GU35" s="70"/>
      <c r="GV35" s="70"/>
      <c r="GW35" s="92" t="s">
        <v>427</v>
      </c>
      <c r="GX35" s="92"/>
      <c r="GY35" s="92"/>
      <c r="GZ35" s="92"/>
      <c r="HA35" s="92"/>
      <c r="HB35" s="93"/>
      <c r="HC35" s="98">
        <f>GX33*5</f>
        <v>27.666666666666664</v>
      </c>
      <c r="HD35" s="70"/>
      <c r="HE35" s="70"/>
      <c r="HF35" s="70"/>
      <c r="HG35" s="70"/>
      <c r="HH35" s="70"/>
      <c r="HI35" s="92" t="s">
        <v>427</v>
      </c>
      <c r="HJ35" s="92"/>
      <c r="HK35" s="92"/>
      <c r="HL35" s="92"/>
      <c r="HM35" s="92"/>
      <c r="HN35" s="93"/>
      <c r="HO35" s="98">
        <f>HJ33*5</f>
        <v>30</v>
      </c>
      <c r="HP35" s="70"/>
      <c r="HQ35" s="70"/>
      <c r="HR35" s="70"/>
      <c r="HS35" s="70"/>
      <c r="HT35" s="70"/>
      <c r="HU35" s="92" t="s">
        <v>427</v>
      </c>
      <c r="HV35" s="92"/>
      <c r="HW35" s="92"/>
      <c r="HX35" s="92"/>
      <c r="HY35" s="92"/>
      <c r="HZ35" s="93"/>
      <c r="IA35" s="98">
        <f>HV33*5</f>
        <v>29</v>
      </c>
      <c r="IB35" s="70"/>
      <c r="IC35" s="70"/>
      <c r="ID35" s="70"/>
      <c r="IE35" s="70"/>
      <c r="IF35" s="70"/>
      <c r="IG35" s="92" t="s">
        <v>427</v>
      </c>
      <c r="IH35" s="92"/>
      <c r="II35" s="92"/>
      <c r="IJ35" s="92"/>
      <c r="IK35" s="92"/>
      <c r="IL35" s="93"/>
      <c r="IM35" s="98">
        <f>IH33*5</f>
        <v>29.166666666666664</v>
      </c>
      <c r="IN35" s="70"/>
      <c r="IO35" s="70"/>
      <c r="IP35" s="70"/>
      <c r="IQ35" s="70"/>
      <c r="IR35" s="70"/>
      <c r="IS35" s="92" t="s">
        <v>427</v>
      </c>
      <c r="IT35" s="92"/>
      <c r="IU35" s="92"/>
      <c r="IV35" s="92"/>
      <c r="IW35" s="92"/>
      <c r="IX35" s="93"/>
      <c r="IY35" s="98">
        <f>IT33*5</f>
        <v>24.833333333333336</v>
      </c>
      <c r="IZ35" s="70"/>
      <c r="JA35" s="70"/>
      <c r="JB35" s="70"/>
      <c r="JC35" s="70"/>
      <c r="JD35" s="70"/>
      <c r="JE35" s="92" t="s">
        <v>427</v>
      </c>
      <c r="JF35" s="92"/>
      <c r="JG35" s="92"/>
      <c r="JH35" s="92"/>
      <c r="JI35" s="92"/>
      <c r="JJ35" s="93"/>
      <c r="JK35" s="98">
        <f>JF33*5</f>
        <v>29</v>
      </c>
      <c r="JL35" s="70"/>
      <c r="JM35" s="70"/>
      <c r="JN35" s="70"/>
      <c r="JO35" s="70"/>
      <c r="JP35" s="70"/>
      <c r="JQ35" s="92" t="s">
        <v>427</v>
      </c>
      <c r="JR35" s="92"/>
      <c r="JS35" s="92"/>
      <c r="JT35" s="92"/>
      <c r="JU35" s="92"/>
      <c r="JV35" s="93"/>
      <c r="JW35" s="98">
        <f>JR33*5</f>
        <v>29.333333333333332</v>
      </c>
      <c r="JX35" s="70"/>
      <c r="JY35" s="70"/>
      <c r="JZ35" s="70"/>
      <c r="KA35" s="70"/>
      <c r="KB35" s="70"/>
      <c r="KC35" s="92" t="s">
        <v>427</v>
      </c>
      <c r="KD35" s="92"/>
      <c r="KE35" s="92"/>
      <c r="KF35" s="92"/>
      <c r="KG35" s="92"/>
      <c r="KH35" s="93"/>
      <c r="KI35" s="98">
        <f>KD33*5</f>
        <v>29.166666666666664</v>
      </c>
      <c r="KJ35" s="70"/>
      <c r="KK35" s="70"/>
      <c r="KL35" s="70"/>
      <c r="KM35" s="70"/>
      <c r="KN35" s="70"/>
      <c r="KO35" s="92" t="s">
        <v>427</v>
      </c>
      <c r="KP35" s="92"/>
      <c r="KQ35" s="92"/>
      <c r="KR35" s="92"/>
      <c r="KS35" s="92"/>
      <c r="KT35" s="93"/>
      <c r="KU35" s="98">
        <f>KP33*5</f>
        <v>29.166666666666664</v>
      </c>
      <c r="KV35" s="70"/>
      <c r="KW35" s="70"/>
      <c r="KX35" s="70"/>
      <c r="KY35" s="70"/>
      <c r="KZ35" s="70"/>
      <c r="LA35" s="92" t="s">
        <v>427</v>
      </c>
      <c r="LB35" s="92"/>
      <c r="LC35" s="92"/>
      <c r="LD35" s="92"/>
      <c r="LE35" s="92"/>
      <c r="LF35" s="93"/>
      <c r="LG35" s="98">
        <f>LB33*5</f>
        <v>0</v>
      </c>
      <c r="LH35" s="70"/>
      <c r="LI35" s="70"/>
      <c r="LJ35" s="70"/>
      <c r="LK35" s="70"/>
      <c r="LL35" s="70"/>
      <c r="LM35" s="92" t="s">
        <v>427</v>
      </c>
      <c r="LN35" s="92"/>
      <c r="LO35" s="92"/>
      <c r="LP35" s="92"/>
      <c r="LQ35" s="92"/>
      <c r="LR35" s="93"/>
      <c r="LS35" s="98">
        <f>LN33*5</f>
        <v>0</v>
      </c>
      <c r="LT35" s="70"/>
      <c r="LU35" s="70"/>
      <c r="LV35" s="70"/>
      <c r="LW35" s="70"/>
      <c r="LX35" s="70"/>
      <c r="LY35" s="92" t="s">
        <v>427</v>
      </c>
      <c r="LZ35" s="92"/>
      <c r="MA35" s="92"/>
      <c r="MB35" s="92"/>
      <c r="MC35" s="92"/>
      <c r="MD35" s="93"/>
      <c r="ME35" s="98">
        <f>LZ33*5</f>
        <v>0</v>
      </c>
      <c r="MF35" s="70"/>
      <c r="MG35" s="70"/>
      <c r="MH35" s="70"/>
      <c r="MI35" s="70"/>
      <c r="MJ35" s="70"/>
      <c r="MK35" s="92" t="s">
        <v>427</v>
      </c>
      <c r="ML35" s="92"/>
      <c r="MM35" s="92"/>
      <c r="MN35" s="92"/>
      <c r="MO35" s="92"/>
      <c r="MP35" s="93"/>
      <c r="MQ35" s="98">
        <f>ML33*5</f>
        <v>0</v>
      </c>
      <c r="MR35" s="70"/>
      <c r="MS35" s="70"/>
      <c r="MT35" s="70"/>
      <c r="MU35" s="70"/>
      <c r="MV35" s="70"/>
      <c r="MW35" s="92" t="s">
        <v>427</v>
      </c>
      <c r="MX35" s="92"/>
      <c r="MY35" s="92"/>
      <c r="MZ35" s="92"/>
      <c r="NA35" s="92"/>
      <c r="NB35" s="93"/>
      <c r="NC35" s="98">
        <f>MX33*5</f>
        <v>0</v>
      </c>
      <c r="ND35" s="70"/>
      <c r="NE35" s="70"/>
      <c r="NF35" s="70"/>
      <c r="NG35" s="70"/>
      <c r="NH35" s="70"/>
      <c r="NI35" s="92" t="s">
        <v>427</v>
      </c>
      <c r="NJ35" s="92"/>
      <c r="NK35" s="92"/>
      <c r="NL35" s="92"/>
      <c r="NM35" s="92"/>
      <c r="NN35" s="93"/>
      <c r="NO35" s="98">
        <f>NJ33*5</f>
        <v>0</v>
      </c>
      <c r="NP35" s="70"/>
      <c r="NQ35" s="70"/>
      <c r="NR35" s="70"/>
      <c r="NS35" s="70"/>
      <c r="NT35" s="70"/>
      <c r="NU35" s="92" t="s">
        <v>427</v>
      </c>
      <c r="NV35" s="92"/>
      <c r="NW35" s="92"/>
      <c r="NX35" s="92"/>
      <c r="NY35" s="92"/>
      <c r="NZ35" s="93"/>
      <c r="OA35" s="98">
        <f>NV33*5</f>
        <v>0</v>
      </c>
      <c r="OB35" s="70"/>
      <c r="OC35" s="70"/>
      <c r="OD35" s="70"/>
      <c r="OE35" s="70"/>
      <c r="OF35" s="70"/>
      <c r="OG35" s="92" t="s">
        <v>427</v>
      </c>
      <c r="OH35" s="92"/>
      <c r="OI35" s="92"/>
      <c r="OJ35" s="92"/>
      <c r="OK35" s="92"/>
      <c r="OL35" s="93"/>
      <c r="OM35" s="98">
        <f>OH33*5</f>
        <v>0</v>
      </c>
      <c r="ON35" s="70"/>
      <c r="OO35" s="70"/>
      <c r="OP35" s="70"/>
      <c r="OQ35" s="70"/>
      <c r="OR35" s="70"/>
      <c r="OS35" s="92" t="s">
        <v>427</v>
      </c>
      <c r="OT35" s="92"/>
      <c r="OU35" s="92"/>
      <c r="OV35" s="92"/>
      <c r="OW35" s="92"/>
      <c r="OX35" s="93"/>
      <c r="OY35" s="98">
        <f>OT33*5</f>
        <v>0</v>
      </c>
      <c r="OZ35" s="70"/>
      <c r="PA35" s="70"/>
      <c r="PB35" s="70"/>
      <c r="PC35" s="70"/>
      <c r="PD35" s="70"/>
      <c r="PE35" s="92" t="s">
        <v>427</v>
      </c>
      <c r="PF35" s="92"/>
      <c r="PG35" s="92"/>
      <c r="PH35" s="92"/>
      <c r="PI35" s="92"/>
      <c r="PJ35" s="93"/>
      <c r="PK35" s="98">
        <f>PF33*5</f>
        <v>0</v>
      </c>
      <c r="PL35" s="70"/>
      <c r="PM35" s="70"/>
      <c r="PN35" s="70"/>
      <c r="PO35" s="70"/>
      <c r="PP35" s="70"/>
    </row>
    <row r="36" spans="1:432">
      <c r="A36" s="92" t="s">
        <v>428</v>
      </c>
      <c r="B36" s="92"/>
      <c r="C36" s="92"/>
      <c r="D36" s="92"/>
      <c r="E36" s="92"/>
      <c r="G36" s="97">
        <f>'Gen CP'!B36</f>
        <v>7</v>
      </c>
      <c r="M36" s="92" t="s">
        <v>428</v>
      </c>
      <c r="N36" s="92"/>
      <c r="O36" s="92"/>
      <c r="P36" s="92"/>
      <c r="Q36" s="92"/>
      <c r="S36" s="97">
        <f>'Gen CP'!C36</f>
        <v>7</v>
      </c>
      <c r="U36" t="s">
        <v>51</v>
      </c>
      <c r="Y36" s="92" t="s">
        <v>428</v>
      </c>
      <c r="Z36" s="92"/>
      <c r="AA36" s="92"/>
      <c r="AB36" s="92"/>
      <c r="AC36" s="92"/>
      <c r="AE36" s="97">
        <f>'Gen CP'!D36</f>
        <v>7</v>
      </c>
      <c r="AK36" s="92" t="s">
        <v>428</v>
      </c>
      <c r="AL36" s="92"/>
      <c r="AM36" s="92"/>
      <c r="AN36" s="92"/>
      <c r="AO36" s="92"/>
      <c r="AQ36" s="97">
        <f>'Gen CP'!E36</f>
        <v>7</v>
      </c>
      <c r="AW36" s="92" t="s">
        <v>428</v>
      </c>
      <c r="AX36" s="92"/>
      <c r="AY36" s="92"/>
      <c r="AZ36" s="92"/>
      <c r="BA36" s="92"/>
      <c r="BC36" s="97">
        <f>'Gen CP'!F36</f>
        <v>7</v>
      </c>
      <c r="BI36" s="92" t="s">
        <v>428</v>
      </c>
      <c r="BJ36" s="92"/>
      <c r="BK36" s="92"/>
      <c r="BL36" s="92"/>
      <c r="BM36" s="92"/>
      <c r="BO36" s="97">
        <f>'Gen CP'!G36</f>
        <v>7</v>
      </c>
      <c r="BU36" s="92" t="s">
        <v>428</v>
      </c>
      <c r="BV36" s="92"/>
      <c r="BW36" s="92"/>
      <c r="BX36" s="92"/>
      <c r="BY36" s="92"/>
      <c r="CA36" s="97">
        <f>'Gen CP'!H36</f>
        <v>7</v>
      </c>
      <c r="CG36" s="92" t="s">
        <v>428</v>
      </c>
      <c r="CH36" s="92"/>
      <c r="CI36" s="92"/>
      <c r="CJ36" s="92"/>
      <c r="CK36" s="92"/>
      <c r="CM36" s="97">
        <f>'Gen CP'!I36</f>
        <v>7</v>
      </c>
      <c r="CS36" s="92" t="s">
        <v>428</v>
      </c>
      <c r="CT36" s="92"/>
      <c r="CU36" s="92"/>
      <c r="CV36" s="92"/>
      <c r="CW36" s="92"/>
      <c r="CY36" s="97">
        <f>'Gen CP'!J36</f>
        <v>4</v>
      </c>
      <c r="CZ36" s="128" t="s">
        <v>501</v>
      </c>
      <c r="DA36" s="128"/>
      <c r="DE36" s="92" t="s">
        <v>428</v>
      </c>
      <c r="DF36" s="92"/>
      <c r="DG36" s="92"/>
      <c r="DH36" s="92"/>
      <c r="DI36" s="92"/>
      <c r="DK36" s="97">
        <f>'Gen CP'!K36</f>
        <v>7</v>
      </c>
      <c r="DQ36" s="92" t="s">
        <v>428</v>
      </c>
      <c r="DR36" s="92"/>
      <c r="DS36" s="92"/>
      <c r="DT36" s="92"/>
      <c r="DU36" s="92"/>
      <c r="DW36" s="97">
        <f>'Gen CP'!L36</f>
        <v>6</v>
      </c>
      <c r="EC36" s="92" t="s">
        <v>428</v>
      </c>
      <c r="ED36" s="92"/>
      <c r="EE36" s="92"/>
      <c r="EF36" s="92"/>
      <c r="EG36" s="92"/>
      <c r="EI36" s="97">
        <f>'Gen CP'!B79</f>
        <v>7</v>
      </c>
      <c r="EO36" s="92" t="s">
        <v>428</v>
      </c>
      <c r="EP36" s="92"/>
      <c r="EQ36" s="92"/>
      <c r="ER36" s="92"/>
      <c r="ES36" s="92"/>
      <c r="EU36" s="97">
        <f>'Gen CP'!C79</f>
        <v>7</v>
      </c>
      <c r="FA36" s="92" t="s">
        <v>428</v>
      </c>
      <c r="FB36" s="92"/>
      <c r="FC36" s="92"/>
      <c r="FD36" s="92"/>
      <c r="FE36" s="92"/>
      <c r="FG36" s="97">
        <f>'Gen CP'!D79</f>
        <v>7</v>
      </c>
      <c r="FM36" s="92" t="s">
        <v>428</v>
      </c>
      <c r="FN36" s="92"/>
      <c r="FO36" s="92"/>
      <c r="FP36" s="92"/>
      <c r="FQ36" s="92"/>
      <c r="FS36" s="97">
        <f>'Gen CP'!E79</f>
        <v>7</v>
      </c>
      <c r="FY36" s="92" t="s">
        <v>428</v>
      </c>
      <c r="FZ36" s="92"/>
      <c r="GA36" s="92"/>
      <c r="GB36" s="92"/>
      <c r="GC36" s="92"/>
      <c r="GE36" s="97">
        <f>'Gen CP'!F79</f>
        <v>7</v>
      </c>
      <c r="GK36" s="92" t="s">
        <v>428</v>
      </c>
      <c r="GL36" s="92"/>
      <c r="GM36" s="92"/>
      <c r="GN36" s="92"/>
      <c r="GO36" s="92"/>
      <c r="GQ36" s="97">
        <f>'Gen CP'!G79</f>
        <v>7</v>
      </c>
      <c r="GW36" s="92" t="s">
        <v>428</v>
      </c>
      <c r="GX36" s="92"/>
      <c r="GY36" s="92"/>
      <c r="GZ36" s="92"/>
      <c r="HA36" s="92"/>
      <c r="HC36" s="97">
        <f>'Gen CP'!H79</f>
        <v>5</v>
      </c>
      <c r="HD36" s="128" t="s">
        <v>506</v>
      </c>
      <c r="HE36" s="128"/>
      <c r="HI36" s="92" t="s">
        <v>428</v>
      </c>
      <c r="HJ36" s="92"/>
      <c r="HK36" s="92"/>
      <c r="HL36" s="92"/>
      <c r="HM36" s="92"/>
      <c r="HO36" s="97">
        <f>'Gen CP'!I79</f>
        <v>7</v>
      </c>
      <c r="HU36" s="92" t="s">
        <v>428</v>
      </c>
      <c r="HV36" s="92"/>
      <c r="HW36" s="92"/>
      <c r="HX36" s="92"/>
      <c r="HY36" s="92"/>
      <c r="IA36" s="97">
        <f>'Gen CP'!J79</f>
        <v>7</v>
      </c>
      <c r="IG36" s="92" t="s">
        <v>428</v>
      </c>
      <c r="IH36" s="92"/>
      <c r="II36" s="92"/>
      <c r="IJ36" s="92"/>
      <c r="IK36" s="92"/>
      <c r="IM36" s="97">
        <f>'Gen CP'!K79</f>
        <v>7</v>
      </c>
      <c r="IS36" s="92" t="s">
        <v>428</v>
      </c>
      <c r="IT36" s="92"/>
      <c r="IU36" s="92"/>
      <c r="IV36" s="92"/>
      <c r="IW36" s="92"/>
      <c r="IY36" s="97">
        <f>'Gen CP'!M36</f>
        <v>6</v>
      </c>
      <c r="JE36" s="92" t="s">
        <v>428</v>
      </c>
      <c r="JF36" s="92"/>
      <c r="JG36" s="92"/>
      <c r="JH36" s="92"/>
      <c r="JI36" s="92"/>
      <c r="JK36" s="97">
        <f>'Gen CP'!B80</f>
        <v>7</v>
      </c>
      <c r="JQ36" s="92" t="s">
        <v>428</v>
      </c>
      <c r="JR36" s="92"/>
      <c r="JS36" s="92"/>
      <c r="JT36" s="92"/>
      <c r="JU36" s="92"/>
      <c r="JW36" s="97">
        <f>'Gen CP'!J80</f>
        <v>7</v>
      </c>
      <c r="KC36" s="92" t="s">
        <v>428</v>
      </c>
      <c r="KD36" s="92"/>
      <c r="KE36" s="92"/>
      <c r="KF36" s="92"/>
      <c r="KG36" s="92"/>
      <c r="KI36" s="97">
        <f>'Gen CP'!K37</f>
        <v>7</v>
      </c>
      <c r="KO36" s="92" t="s">
        <v>428</v>
      </c>
      <c r="KP36" s="92"/>
      <c r="KQ36" s="92"/>
      <c r="KR36" s="92"/>
      <c r="KS36" s="92"/>
      <c r="KU36" s="97">
        <f>'Gen CP'!G80</f>
        <v>7</v>
      </c>
      <c r="LA36" s="92" t="s">
        <v>428</v>
      </c>
      <c r="LB36" s="92"/>
      <c r="LC36" s="92"/>
      <c r="LD36" s="92"/>
      <c r="LE36" s="92"/>
      <c r="LG36" s="97">
        <f>COUNT(LB16:LB31)</f>
        <v>0</v>
      </c>
      <c r="LM36" s="92" t="s">
        <v>428</v>
      </c>
      <c r="LN36" s="92"/>
      <c r="LO36" s="92"/>
      <c r="LP36" s="92"/>
      <c r="LQ36" s="92"/>
      <c r="LS36" s="97">
        <f>COUNT(LN16:LN31)</f>
        <v>0</v>
      </c>
      <c r="LY36" s="92" t="s">
        <v>428</v>
      </c>
      <c r="LZ36" s="92"/>
      <c r="MA36" s="92"/>
      <c r="MB36" s="92"/>
      <c r="MC36" s="92"/>
      <c r="ME36" s="97">
        <f>COUNT(LZ16:LZ31)</f>
        <v>0</v>
      </c>
      <c r="MK36" s="92" t="s">
        <v>428</v>
      </c>
      <c r="ML36" s="92"/>
      <c r="MM36" s="92"/>
      <c r="MN36" s="92"/>
      <c r="MO36" s="92"/>
      <c r="MQ36" s="97">
        <f>COUNT(ML16:ML31)</f>
        <v>0</v>
      </c>
      <c r="MW36" s="92" t="s">
        <v>428</v>
      </c>
      <c r="MX36" s="92"/>
      <c r="MY36" s="92"/>
      <c r="MZ36" s="92"/>
      <c r="NA36" s="92"/>
      <c r="NC36" s="97">
        <f>COUNT(MX16:MX31)</f>
        <v>0</v>
      </c>
      <c r="NI36" s="92" t="s">
        <v>428</v>
      </c>
      <c r="NJ36" s="92"/>
      <c r="NK36" s="92"/>
      <c r="NL36" s="92"/>
      <c r="NM36" s="92"/>
      <c r="NO36" s="97">
        <f>COUNT(NJ16:NJ31)</f>
        <v>0</v>
      </c>
      <c r="NU36" s="92" t="s">
        <v>428</v>
      </c>
      <c r="NV36" s="92"/>
      <c r="NW36" s="92"/>
      <c r="NX36" s="92"/>
      <c r="NY36" s="92"/>
      <c r="OA36" s="97">
        <f>COUNT(NV16:NV31)</f>
        <v>0</v>
      </c>
      <c r="OG36" s="92" t="s">
        <v>428</v>
      </c>
      <c r="OH36" s="92"/>
      <c r="OI36" s="92"/>
      <c r="OJ36" s="92"/>
      <c r="OK36" s="92"/>
      <c r="OM36" s="97">
        <f>COUNT(OH16:OH31)</f>
        <v>0</v>
      </c>
      <c r="OS36" s="92" t="s">
        <v>428</v>
      </c>
      <c r="OT36" s="92"/>
      <c r="OU36" s="92"/>
      <c r="OV36" s="92"/>
      <c r="OW36" s="92"/>
      <c r="OY36" s="97">
        <f>COUNT(OT16:OT31)</f>
        <v>0</v>
      </c>
      <c r="PE36" s="92" t="s">
        <v>428</v>
      </c>
      <c r="PF36" s="92"/>
      <c r="PG36" s="92"/>
      <c r="PH36" s="92"/>
      <c r="PI36" s="92"/>
      <c r="PK36" s="97">
        <f>COUNT(PF16:PF31)</f>
        <v>0</v>
      </c>
    </row>
    <row r="37" spans="1:432">
      <c r="A37" t="s">
        <v>429</v>
      </c>
      <c r="G37" s="97">
        <v>4</v>
      </c>
      <c r="M37" t="s">
        <v>429</v>
      </c>
      <c r="S37" s="97">
        <v>2</v>
      </c>
      <c r="Y37" t="s">
        <v>429</v>
      </c>
      <c r="AE37" s="97">
        <v>1</v>
      </c>
      <c r="AK37" t="s">
        <v>429</v>
      </c>
      <c r="AQ37" s="97">
        <v>1</v>
      </c>
      <c r="AW37" t="s">
        <v>429</v>
      </c>
      <c r="BC37" s="97">
        <v>1</v>
      </c>
      <c r="BI37" t="s">
        <v>429</v>
      </c>
      <c r="BO37" s="97">
        <v>3</v>
      </c>
      <c r="BU37" t="s">
        <v>429</v>
      </c>
      <c r="CA37" s="97">
        <v>2</v>
      </c>
      <c r="CG37" t="s">
        <v>429</v>
      </c>
      <c r="CM37" s="97">
        <v>2</v>
      </c>
      <c r="CS37" t="s">
        <v>429</v>
      </c>
      <c r="CY37" s="97">
        <v>4</v>
      </c>
      <c r="DE37" t="s">
        <v>429</v>
      </c>
      <c r="DK37" s="97">
        <v>3</v>
      </c>
      <c r="DQ37" t="s">
        <v>429</v>
      </c>
      <c r="DW37" s="97">
        <v>4</v>
      </c>
      <c r="EC37" t="s">
        <v>429</v>
      </c>
      <c r="EI37" s="97">
        <v>2</v>
      </c>
      <c r="EO37" t="s">
        <v>429</v>
      </c>
      <c r="EU37" s="97">
        <v>3</v>
      </c>
      <c r="FA37" t="s">
        <v>429</v>
      </c>
      <c r="FG37" s="97">
        <v>3</v>
      </c>
      <c r="FM37" t="s">
        <v>429</v>
      </c>
      <c r="FS37" s="97">
        <v>3</v>
      </c>
      <c r="FY37" t="s">
        <v>429</v>
      </c>
      <c r="GE37" s="97">
        <v>2</v>
      </c>
      <c r="GK37" t="s">
        <v>429</v>
      </c>
      <c r="GQ37" s="97">
        <v>3</v>
      </c>
      <c r="GW37" t="s">
        <v>429</v>
      </c>
      <c r="HC37" s="97">
        <v>4</v>
      </c>
      <c r="HI37" t="s">
        <v>429</v>
      </c>
      <c r="HO37" s="97">
        <v>2</v>
      </c>
      <c r="HU37" t="s">
        <v>429</v>
      </c>
      <c r="IA37" s="97">
        <v>2</v>
      </c>
      <c r="IG37" t="s">
        <v>429</v>
      </c>
      <c r="IM37" s="97">
        <v>2</v>
      </c>
      <c r="IS37" t="s">
        <v>429</v>
      </c>
      <c r="IY37" s="97">
        <v>2</v>
      </c>
      <c r="JE37" t="s">
        <v>429</v>
      </c>
      <c r="JK37" s="97">
        <v>1</v>
      </c>
      <c r="JQ37" t="s">
        <v>429</v>
      </c>
      <c r="JW37" s="97">
        <v>2</v>
      </c>
      <c r="KC37" t="s">
        <v>429</v>
      </c>
      <c r="KI37" s="97">
        <v>2</v>
      </c>
      <c r="KO37" t="s">
        <v>429</v>
      </c>
      <c r="KU37" s="97">
        <v>3</v>
      </c>
      <c r="LA37" t="s">
        <v>429</v>
      </c>
      <c r="LG37" s="97">
        <v>3</v>
      </c>
      <c r="LM37" t="s">
        <v>429</v>
      </c>
      <c r="LS37" s="97">
        <v>3</v>
      </c>
      <c r="LY37" t="s">
        <v>429</v>
      </c>
      <c r="ME37" s="97">
        <v>3</v>
      </c>
      <c r="MK37" t="s">
        <v>429</v>
      </c>
      <c r="MQ37" s="97">
        <v>3</v>
      </c>
      <c r="MW37" t="s">
        <v>429</v>
      </c>
      <c r="NC37" s="97">
        <v>3</v>
      </c>
      <c r="NI37" t="s">
        <v>429</v>
      </c>
      <c r="NO37" s="97">
        <v>3</v>
      </c>
      <c r="NU37" t="s">
        <v>429</v>
      </c>
      <c r="OA37" s="97">
        <v>3</v>
      </c>
      <c r="OG37" t="s">
        <v>429</v>
      </c>
      <c r="OM37" s="97">
        <v>3</v>
      </c>
      <c r="OS37" t="s">
        <v>429</v>
      </c>
      <c r="OY37" s="97">
        <v>3</v>
      </c>
      <c r="PE37" t="s">
        <v>429</v>
      </c>
      <c r="PK37" s="97">
        <v>3</v>
      </c>
    </row>
    <row r="38" spans="1:432">
      <c r="A38" t="s">
        <v>430</v>
      </c>
      <c r="G38" s="94"/>
      <c r="J38" t="s">
        <v>251</v>
      </c>
      <c r="M38" t="s">
        <v>430</v>
      </c>
      <c r="S38" s="94"/>
      <c r="Y38" t="s">
        <v>430</v>
      </c>
      <c r="AE38" s="94"/>
      <c r="AK38" t="s">
        <v>430</v>
      </c>
      <c r="AQ38" s="94"/>
      <c r="AW38" t="s">
        <v>430</v>
      </c>
      <c r="BC38" s="94"/>
      <c r="BI38" t="s">
        <v>430</v>
      </c>
      <c r="BO38" s="94"/>
      <c r="BU38" t="s">
        <v>430</v>
      </c>
      <c r="CA38" s="94"/>
      <c r="CG38" t="s">
        <v>430</v>
      </c>
      <c r="CM38" s="94"/>
      <c r="CS38" t="s">
        <v>430</v>
      </c>
      <c r="CY38" s="94"/>
      <c r="DE38" t="s">
        <v>430</v>
      </c>
      <c r="DK38" s="94"/>
      <c r="DQ38" t="s">
        <v>430</v>
      </c>
      <c r="DW38" s="94"/>
      <c r="EC38" t="s">
        <v>430</v>
      </c>
      <c r="EI38" s="94"/>
      <c r="EO38" t="s">
        <v>430</v>
      </c>
      <c r="EU38" s="94"/>
      <c r="FA38" t="s">
        <v>430</v>
      </c>
      <c r="FG38" s="94"/>
      <c r="FM38" t="s">
        <v>430</v>
      </c>
      <c r="FS38" s="94"/>
      <c r="FY38" t="s">
        <v>430</v>
      </c>
      <c r="GE38" s="94"/>
      <c r="GK38" t="s">
        <v>430</v>
      </c>
      <c r="GQ38" s="94"/>
      <c r="GW38" t="s">
        <v>430</v>
      </c>
      <c r="HC38" s="94"/>
      <c r="HI38" t="s">
        <v>430</v>
      </c>
      <c r="HO38" s="94"/>
      <c r="HU38" t="s">
        <v>430</v>
      </c>
      <c r="IA38" s="94"/>
      <c r="IG38" t="s">
        <v>430</v>
      </c>
      <c r="IM38" s="94"/>
      <c r="IS38" t="s">
        <v>430</v>
      </c>
      <c r="IY38" s="94"/>
      <c r="JE38" t="s">
        <v>430</v>
      </c>
      <c r="JK38" s="94"/>
      <c r="JQ38" t="s">
        <v>430</v>
      </c>
      <c r="JW38" s="94"/>
      <c r="KC38" t="s">
        <v>430</v>
      </c>
      <c r="KI38" s="94"/>
      <c r="KO38" t="s">
        <v>430</v>
      </c>
      <c r="KU38" s="94"/>
      <c r="LA38" t="s">
        <v>430</v>
      </c>
      <c r="LG38" s="94"/>
      <c r="LM38" t="s">
        <v>430</v>
      </c>
      <c r="LS38" s="94"/>
      <c r="LY38" t="s">
        <v>430</v>
      </c>
      <c r="ME38" s="94"/>
      <c r="MK38" t="s">
        <v>430</v>
      </c>
      <c r="MQ38" s="94"/>
      <c r="MW38" t="s">
        <v>430</v>
      </c>
      <c r="NC38" s="94"/>
      <c r="NI38" t="s">
        <v>430</v>
      </c>
      <c r="NO38" s="94"/>
      <c r="NU38" t="s">
        <v>430</v>
      </c>
      <c r="OA38" s="94"/>
      <c r="OG38" t="s">
        <v>430</v>
      </c>
      <c r="OM38" s="94"/>
      <c r="OS38" t="s">
        <v>430</v>
      </c>
      <c r="OY38" s="94"/>
      <c r="PE38" t="s">
        <v>430</v>
      </c>
      <c r="PK38" s="94"/>
    </row>
    <row r="39" spans="1:432" ht="10.5" customHeight="1"/>
    <row r="40" spans="1:432">
      <c r="A40" s="1" t="s">
        <v>158</v>
      </c>
      <c r="B40" s="90"/>
      <c r="C40" s="1"/>
      <c r="D40" s="1"/>
      <c r="E40" s="1" t="s">
        <v>182</v>
      </c>
      <c r="F40" s="1"/>
      <c r="G40" s="1" t="s">
        <v>51</v>
      </c>
      <c r="H40" s="1"/>
      <c r="I40" s="1" t="s">
        <v>181</v>
      </c>
      <c r="J40" s="1"/>
      <c r="K40" s="1"/>
      <c r="L40" s="1"/>
      <c r="M40" s="1" t="s">
        <v>158</v>
      </c>
      <c r="N40" s="90"/>
      <c r="O40" s="1"/>
      <c r="P40" s="1"/>
      <c r="Q40" s="1" t="s">
        <v>182</v>
      </c>
      <c r="R40" s="1"/>
      <c r="S40" s="1" t="s">
        <v>51</v>
      </c>
      <c r="T40" s="1"/>
      <c r="U40" s="1" t="s">
        <v>181</v>
      </c>
      <c r="V40" s="1"/>
      <c r="W40" s="1"/>
      <c r="X40" s="1"/>
      <c r="Y40" s="1" t="s">
        <v>158</v>
      </c>
      <c r="Z40" s="90"/>
      <c r="AA40" s="1"/>
      <c r="AB40" s="1"/>
      <c r="AC40" s="1" t="s">
        <v>182</v>
      </c>
      <c r="AD40" s="1"/>
      <c r="AE40" s="1" t="s">
        <v>51</v>
      </c>
      <c r="AF40" s="1"/>
      <c r="AG40" s="1" t="s">
        <v>181</v>
      </c>
      <c r="AH40" s="1"/>
      <c r="AI40" s="1"/>
      <c r="AJ40" s="1"/>
      <c r="AK40" s="1" t="s">
        <v>158</v>
      </c>
      <c r="AL40" s="90"/>
      <c r="AM40" s="1"/>
      <c r="AN40" s="1"/>
      <c r="AO40" s="1" t="s">
        <v>182</v>
      </c>
      <c r="AP40" s="1"/>
      <c r="AQ40" s="1" t="s">
        <v>51</v>
      </c>
      <c r="AR40" s="1"/>
      <c r="AS40" s="1" t="s">
        <v>181</v>
      </c>
      <c r="AT40" s="1"/>
      <c r="AU40" s="1"/>
      <c r="AV40" s="1"/>
      <c r="AW40" s="1" t="s">
        <v>158</v>
      </c>
      <c r="AX40" s="90"/>
      <c r="AY40" s="1"/>
      <c r="AZ40" s="1"/>
      <c r="BA40" s="1" t="s">
        <v>182</v>
      </c>
      <c r="BB40" s="1"/>
      <c r="BC40" s="1" t="s">
        <v>51</v>
      </c>
      <c r="BD40" s="1"/>
      <c r="BE40" s="1" t="s">
        <v>181</v>
      </c>
      <c r="BF40" s="1"/>
      <c r="BG40" s="1"/>
      <c r="BH40" s="1"/>
      <c r="BI40" s="1" t="s">
        <v>158</v>
      </c>
      <c r="BJ40" s="90"/>
      <c r="BK40" s="1"/>
      <c r="BL40" s="1"/>
      <c r="BM40" s="1" t="s">
        <v>182</v>
      </c>
      <c r="BN40" s="1"/>
      <c r="BO40" s="1" t="s">
        <v>51</v>
      </c>
      <c r="BP40" s="1"/>
      <c r="BQ40" s="1" t="s">
        <v>181</v>
      </c>
      <c r="BR40" s="1"/>
      <c r="BS40" s="1"/>
      <c r="BT40" s="1"/>
      <c r="BU40" s="1" t="s">
        <v>158</v>
      </c>
      <c r="BV40" s="90"/>
      <c r="BW40" s="1"/>
      <c r="BX40" s="1"/>
      <c r="BY40" s="1" t="s">
        <v>182</v>
      </c>
      <c r="BZ40" s="1"/>
      <c r="CA40" s="1" t="s">
        <v>51</v>
      </c>
      <c r="CB40" s="1"/>
      <c r="CC40" s="1" t="s">
        <v>181</v>
      </c>
      <c r="CD40" s="1"/>
      <c r="CE40" s="1"/>
      <c r="CF40" s="1"/>
      <c r="CG40" s="1" t="s">
        <v>158</v>
      </c>
      <c r="CH40" s="90"/>
      <c r="CI40" s="1"/>
      <c r="CJ40" s="1"/>
      <c r="CK40" s="1" t="s">
        <v>182</v>
      </c>
      <c r="CL40" s="1"/>
      <c r="CM40" s="1" t="s">
        <v>51</v>
      </c>
      <c r="CN40" s="1"/>
      <c r="CO40" s="1" t="s">
        <v>181</v>
      </c>
      <c r="CP40" s="1"/>
      <c r="CQ40" s="1"/>
      <c r="CR40" s="1"/>
      <c r="CS40" s="1" t="s">
        <v>158</v>
      </c>
      <c r="CT40" s="90"/>
      <c r="CU40" s="1"/>
      <c r="CV40" s="1"/>
      <c r="CW40" s="1" t="s">
        <v>182</v>
      </c>
      <c r="CX40" s="1"/>
      <c r="CY40" s="1" t="s">
        <v>51</v>
      </c>
      <c r="CZ40" s="1"/>
      <c r="DA40" s="1" t="s">
        <v>181</v>
      </c>
      <c r="DB40" s="1"/>
      <c r="DC40" s="1"/>
      <c r="DD40" s="1"/>
      <c r="DE40" s="1" t="s">
        <v>158</v>
      </c>
      <c r="DF40" s="90"/>
      <c r="DG40" s="1"/>
      <c r="DH40" s="1"/>
      <c r="DI40" s="1" t="s">
        <v>182</v>
      </c>
      <c r="DJ40" s="1"/>
      <c r="DK40" s="1" t="s">
        <v>51</v>
      </c>
      <c r="DL40" s="1"/>
      <c r="DM40" s="1" t="s">
        <v>181</v>
      </c>
      <c r="DN40" s="1"/>
      <c r="DO40" s="1"/>
      <c r="DP40" s="1"/>
      <c r="DQ40" s="1" t="s">
        <v>158</v>
      </c>
      <c r="DR40" s="90"/>
      <c r="DS40" s="1"/>
      <c r="DT40" s="1"/>
      <c r="DU40" s="1" t="s">
        <v>182</v>
      </c>
      <c r="DV40" s="1"/>
      <c r="DW40" s="1" t="s">
        <v>51</v>
      </c>
      <c r="DX40" s="1"/>
      <c r="DY40" s="1" t="s">
        <v>181</v>
      </c>
      <c r="DZ40" s="1"/>
      <c r="EA40" s="1"/>
      <c r="EB40" s="1"/>
      <c r="EC40" s="1" t="s">
        <v>158</v>
      </c>
      <c r="ED40" s="90"/>
      <c r="EE40" s="1"/>
      <c r="EF40" s="1"/>
      <c r="EG40" s="1" t="s">
        <v>182</v>
      </c>
      <c r="EH40" s="1"/>
      <c r="EI40" s="1" t="s">
        <v>51</v>
      </c>
      <c r="EJ40" s="1"/>
      <c r="EK40" s="1" t="s">
        <v>181</v>
      </c>
      <c r="EL40" s="1"/>
      <c r="EM40" s="1"/>
      <c r="EN40" s="1"/>
      <c r="EO40" s="1" t="s">
        <v>158</v>
      </c>
      <c r="EP40" s="90"/>
      <c r="EQ40" s="1"/>
      <c r="ER40" s="1"/>
      <c r="ES40" s="1" t="s">
        <v>182</v>
      </c>
      <c r="ET40" s="1"/>
      <c r="EU40" s="1" t="s">
        <v>51</v>
      </c>
      <c r="EV40" s="1"/>
      <c r="EW40" s="1" t="s">
        <v>181</v>
      </c>
      <c r="EX40" s="1"/>
      <c r="EY40" s="1"/>
      <c r="EZ40" s="1"/>
      <c r="FA40" s="1" t="s">
        <v>158</v>
      </c>
      <c r="FB40" s="90"/>
      <c r="FC40" s="1"/>
      <c r="FD40" s="1"/>
      <c r="FE40" s="1" t="s">
        <v>182</v>
      </c>
      <c r="FF40" s="1"/>
      <c r="FG40" s="1" t="s">
        <v>51</v>
      </c>
      <c r="FH40" s="1"/>
      <c r="FI40" s="1" t="s">
        <v>181</v>
      </c>
      <c r="FJ40" s="1"/>
      <c r="FK40" s="1"/>
      <c r="FL40" s="1"/>
      <c r="FM40" s="1" t="s">
        <v>158</v>
      </c>
      <c r="FN40" s="90"/>
      <c r="FO40" s="1"/>
      <c r="FP40" s="1"/>
      <c r="FQ40" s="1" t="s">
        <v>182</v>
      </c>
      <c r="FR40" s="1"/>
      <c r="FS40" s="1" t="s">
        <v>51</v>
      </c>
      <c r="FT40" s="1"/>
      <c r="FU40" s="1" t="s">
        <v>181</v>
      </c>
      <c r="FV40" s="1"/>
      <c r="FW40" s="1"/>
      <c r="FX40" s="1"/>
      <c r="FY40" s="1" t="s">
        <v>158</v>
      </c>
      <c r="FZ40" s="90"/>
      <c r="GA40" s="1"/>
      <c r="GB40" s="1"/>
      <c r="GC40" s="1" t="s">
        <v>182</v>
      </c>
      <c r="GD40" s="1"/>
      <c r="GE40" s="1" t="s">
        <v>51</v>
      </c>
      <c r="GF40" s="1"/>
      <c r="GG40" s="1" t="s">
        <v>181</v>
      </c>
      <c r="GH40" s="1"/>
      <c r="GI40" s="1"/>
      <c r="GJ40" s="1"/>
      <c r="GK40" s="1" t="s">
        <v>158</v>
      </c>
      <c r="GL40" s="90"/>
      <c r="GM40" s="1"/>
      <c r="GN40" s="1"/>
      <c r="GO40" s="1" t="s">
        <v>182</v>
      </c>
      <c r="GP40" s="1"/>
      <c r="GQ40" s="1" t="s">
        <v>51</v>
      </c>
      <c r="GR40" s="1"/>
      <c r="GS40" s="1" t="s">
        <v>181</v>
      </c>
      <c r="GT40" s="1"/>
      <c r="GU40" s="1"/>
      <c r="GV40" s="1"/>
      <c r="GW40" s="1" t="s">
        <v>158</v>
      </c>
      <c r="GX40" s="90"/>
      <c r="GY40" s="1"/>
      <c r="GZ40" s="1"/>
      <c r="HA40" s="1" t="s">
        <v>182</v>
      </c>
      <c r="HB40" s="1"/>
      <c r="HC40" s="1" t="s">
        <v>51</v>
      </c>
      <c r="HD40" s="1"/>
      <c r="HE40" s="1" t="s">
        <v>181</v>
      </c>
      <c r="HF40" s="1"/>
      <c r="HG40" s="1"/>
      <c r="HH40" s="1"/>
      <c r="HI40" s="1" t="s">
        <v>158</v>
      </c>
      <c r="HJ40" s="90"/>
      <c r="HK40" s="1"/>
      <c r="HL40" s="1"/>
      <c r="HM40" s="1" t="s">
        <v>182</v>
      </c>
      <c r="HN40" s="1"/>
      <c r="HO40" s="1" t="s">
        <v>51</v>
      </c>
      <c r="HP40" s="1"/>
      <c r="HQ40" s="1" t="s">
        <v>181</v>
      </c>
      <c r="HR40" s="1"/>
      <c r="HS40" s="1"/>
      <c r="HT40" s="1"/>
      <c r="HU40" s="1" t="s">
        <v>158</v>
      </c>
      <c r="HV40" s="90"/>
      <c r="HW40" s="1"/>
      <c r="HX40" s="1"/>
      <c r="HY40" s="1" t="s">
        <v>182</v>
      </c>
      <c r="HZ40" s="1"/>
      <c r="IA40" s="1" t="s">
        <v>51</v>
      </c>
      <c r="IB40" s="1"/>
      <c r="IC40" s="1" t="s">
        <v>181</v>
      </c>
      <c r="ID40" s="1"/>
      <c r="IE40" s="1"/>
      <c r="IF40" s="1"/>
      <c r="IG40" s="1" t="s">
        <v>158</v>
      </c>
      <c r="IH40" s="90"/>
      <c r="II40" s="1"/>
      <c r="IJ40" s="1"/>
      <c r="IK40" s="1" t="s">
        <v>182</v>
      </c>
      <c r="IL40" s="1"/>
      <c r="IM40" s="1" t="s">
        <v>51</v>
      </c>
      <c r="IN40" s="1"/>
      <c r="IO40" s="1" t="s">
        <v>181</v>
      </c>
      <c r="IP40" s="1"/>
      <c r="IQ40" s="1"/>
      <c r="IR40" s="1"/>
      <c r="IS40" s="1" t="s">
        <v>158</v>
      </c>
      <c r="IT40" s="90"/>
      <c r="IU40" s="1"/>
      <c r="IV40" s="1"/>
      <c r="IW40" s="1" t="s">
        <v>182</v>
      </c>
      <c r="IX40" s="1"/>
      <c r="IY40" s="1" t="s">
        <v>51</v>
      </c>
      <c r="IZ40" s="1"/>
      <c r="JA40" s="1" t="s">
        <v>181</v>
      </c>
      <c r="JB40" s="1"/>
      <c r="JC40" s="1"/>
      <c r="JD40" s="1"/>
      <c r="JE40" s="1" t="s">
        <v>158</v>
      </c>
      <c r="JF40" s="90"/>
      <c r="JG40" s="1"/>
      <c r="JH40" s="1"/>
      <c r="JI40" s="1" t="s">
        <v>182</v>
      </c>
      <c r="JJ40" s="1"/>
      <c r="JK40" s="1" t="s">
        <v>51</v>
      </c>
      <c r="JL40" s="1"/>
      <c r="JM40" s="1" t="s">
        <v>181</v>
      </c>
      <c r="JN40" s="1"/>
      <c r="JO40" s="1"/>
      <c r="JP40" s="1"/>
      <c r="JQ40" s="1" t="s">
        <v>158</v>
      </c>
      <c r="JR40" s="90"/>
      <c r="JS40" s="1"/>
      <c r="JT40" s="1"/>
      <c r="JU40" s="1" t="s">
        <v>182</v>
      </c>
      <c r="JV40" s="1"/>
      <c r="JW40" s="1" t="s">
        <v>51</v>
      </c>
      <c r="JX40" s="1"/>
      <c r="JY40" s="1" t="s">
        <v>181</v>
      </c>
      <c r="JZ40" s="1"/>
      <c r="KA40" s="1"/>
      <c r="KB40" s="1"/>
      <c r="KC40" s="1" t="s">
        <v>158</v>
      </c>
      <c r="KD40" s="90"/>
      <c r="KE40" s="1"/>
      <c r="KF40" s="1"/>
      <c r="KG40" s="1" t="s">
        <v>182</v>
      </c>
      <c r="KH40" s="1"/>
      <c r="KI40" s="1" t="s">
        <v>51</v>
      </c>
      <c r="KJ40" s="1"/>
      <c r="KK40" s="1" t="s">
        <v>181</v>
      </c>
      <c r="KL40" s="1"/>
      <c r="KM40" s="1"/>
      <c r="KN40" s="1"/>
      <c r="KO40" s="1" t="s">
        <v>158</v>
      </c>
      <c r="KP40" s="90"/>
      <c r="KQ40" s="1"/>
      <c r="KR40" s="1"/>
      <c r="KS40" s="1" t="s">
        <v>182</v>
      </c>
      <c r="KT40" s="1"/>
      <c r="KU40" s="1" t="s">
        <v>51</v>
      </c>
      <c r="KV40" s="1"/>
      <c r="KW40" s="1" t="s">
        <v>181</v>
      </c>
      <c r="KX40" s="1"/>
      <c r="KY40" s="1"/>
      <c r="KZ40" s="1"/>
      <c r="LA40" s="1" t="s">
        <v>158</v>
      </c>
      <c r="LB40" s="90"/>
      <c r="LC40" s="1"/>
      <c r="LD40" s="1"/>
      <c r="LE40" s="1" t="s">
        <v>182</v>
      </c>
      <c r="LF40" s="1"/>
      <c r="LG40" s="1" t="s">
        <v>51</v>
      </c>
      <c r="LH40" s="1"/>
      <c r="LI40" s="1" t="s">
        <v>181</v>
      </c>
      <c r="LJ40" s="1"/>
      <c r="LK40" s="1"/>
      <c r="LL40" s="1"/>
      <c r="LM40" s="1" t="s">
        <v>158</v>
      </c>
      <c r="LN40" s="90"/>
      <c r="LO40" s="1"/>
      <c r="LP40" s="1"/>
      <c r="LQ40" s="1" t="s">
        <v>182</v>
      </c>
      <c r="LR40" s="1"/>
      <c r="LS40" s="1" t="s">
        <v>51</v>
      </c>
      <c r="LT40" s="1"/>
      <c r="LU40" s="1" t="s">
        <v>181</v>
      </c>
      <c r="LV40" s="1"/>
      <c r="LW40" s="1"/>
      <c r="LX40" s="1"/>
      <c r="LY40" s="1" t="s">
        <v>158</v>
      </c>
      <c r="LZ40" s="90"/>
      <c r="MA40" s="1"/>
      <c r="MB40" s="1"/>
      <c r="MC40" s="1" t="s">
        <v>182</v>
      </c>
      <c r="MD40" s="1"/>
      <c r="ME40" s="1" t="s">
        <v>51</v>
      </c>
      <c r="MF40" s="1"/>
      <c r="MG40" s="1" t="s">
        <v>181</v>
      </c>
      <c r="MH40" s="1"/>
      <c r="MI40" s="1"/>
      <c r="MJ40" s="1"/>
      <c r="MK40" s="1" t="s">
        <v>158</v>
      </c>
      <c r="ML40" s="90"/>
      <c r="MM40" s="1"/>
      <c r="MN40" s="1"/>
      <c r="MO40" s="1" t="s">
        <v>182</v>
      </c>
      <c r="MP40" s="1"/>
      <c r="MQ40" s="1" t="s">
        <v>51</v>
      </c>
      <c r="MR40" s="1"/>
      <c r="MS40" s="1" t="s">
        <v>181</v>
      </c>
      <c r="MT40" s="1"/>
      <c r="MU40" s="1"/>
      <c r="MV40" s="1"/>
      <c r="MW40" s="1" t="s">
        <v>158</v>
      </c>
      <c r="MX40" s="90"/>
      <c r="MY40" s="1"/>
      <c r="MZ40" s="1"/>
      <c r="NA40" s="1" t="s">
        <v>182</v>
      </c>
      <c r="NB40" s="1"/>
      <c r="NC40" s="1" t="s">
        <v>51</v>
      </c>
      <c r="ND40" s="1"/>
      <c r="NE40" s="1" t="s">
        <v>181</v>
      </c>
      <c r="NF40" s="1"/>
      <c r="NG40" s="1"/>
      <c r="NH40" s="1"/>
      <c r="NI40" s="1" t="s">
        <v>158</v>
      </c>
      <c r="NJ40" s="90"/>
      <c r="NK40" s="1"/>
      <c r="NL40" s="1"/>
      <c r="NM40" s="1" t="s">
        <v>182</v>
      </c>
      <c r="NN40" s="1"/>
      <c r="NO40" s="1" t="s">
        <v>51</v>
      </c>
      <c r="NP40" s="1"/>
      <c r="NQ40" s="1" t="s">
        <v>181</v>
      </c>
      <c r="NR40" s="1"/>
      <c r="NS40" s="1"/>
      <c r="NT40" s="1"/>
      <c r="NU40" s="1" t="s">
        <v>158</v>
      </c>
      <c r="NV40" s="90"/>
      <c r="NW40" s="1"/>
      <c r="NX40" s="1"/>
      <c r="NY40" s="1" t="s">
        <v>182</v>
      </c>
      <c r="NZ40" s="1"/>
      <c r="OA40" s="1" t="s">
        <v>51</v>
      </c>
      <c r="OB40" s="1"/>
      <c r="OC40" s="1" t="s">
        <v>181</v>
      </c>
      <c r="OD40" s="1"/>
      <c r="OE40" s="1"/>
      <c r="OF40" s="1"/>
      <c r="OG40" s="1" t="s">
        <v>158</v>
      </c>
      <c r="OH40" s="90"/>
      <c r="OI40" s="1"/>
      <c r="OJ40" s="1"/>
      <c r="OK40" s="1" t="s">
        <v>182</v>
      </c>
      <c r="OL40" s="1"/>
      <c r="OM40" s="1" t="s">
        <v>51</v>
      </c>
      <c r="ON40" s="1"/>
      <c r="OO40" s="1" t="s">
        <v>181</v>
      </c>
      <c r="OP40" s="1"/>
      <c r="OQ40" s="1"/>
      <c r="OR40" s="1"/>
      <c r="OS40" s="1" t="s">
        <v>158</v>
      </c>
      <c r="OT40" s="90"/>
      <c r="OU40" s="1"/>
      <c r="OV40" s="1"/>
      <c r="OW40" s="1" t="s">
        <v>182</v>
      </c>
      <c r="OX40" s="1"/>
      <c r="OY40" s="1" t="s">
        <v>51</v>
      </c>
      <c r="OZ40" s="1"/>
      <c r="PA40" s="1" t="s">
        <v>181</v>
      </c>
      <c r="PB40" s="1"/>
      <c r="PC40" s="1"/>
      <c r="PD40" s="1"/>
      <c r="PE40" s="1" t="s">
        <v>158</v>
      </c>
      <c r="PF40" s="90"/>
      <c r="PG40" s="1"/>
      <c r="PH40" s="1"/>
      <c r="PI40" s="1" t="s">
        <v>182</v>
      </c>
      <c r="PJ40" s="1"/>
      <c r="PK40" s="1" t="s">
        <v>51</v>
      </c>
      <c r="PL40" s="1"/>
      <c r="PM40" s="1" t="s">
        <v>181</v>
      </c>
      <c r="PN40" s="1"/>
      <c r="PO40" s="1"/>
      <c r="PP40" s="1"/>
    </row>
    <row r="41" spans="1:432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</row>
    <row r="42" spans="1:432">
      <c r="A42" s="43"/>
      <c r="B42" s="307" t="str">
        <f>'Gen CP'!$H$42</f>
        <v>MELANIE J. YAMBOT</v>
      </c>
      <c r="C42" s="307"/>
      <c r="D42" s="307"/>
      <c r="E42" s="43"/>
      <c r="F42" s="307" t="str">
        <f>'Gen CP'!$N$42</f>
        <v>AURORA T. AGUILA</v>
      </c>
      <c r="G42" s="307"/>
      <c r="H42" s="307"/>
      <c r="I42" s="96"/>
      <c r="J42" s="307" t="str">
        <f>C10</f>
        <v>MAUREEN A. HIERCO</v>
      </c>
      <c r="K42" s="307"/>
      <c r="L42" s="307"/>
      <c r="M42" s="43"/>
      <c r="N42" s="307" t="str">
        <f>'Gen CP'!$H$42</f>
        <v>MELANIE J. YAMBOT</v>
      </c>
      <c r="O42" s="307"/>
      <c r="P42" s="307"/>
      <c r="Q42" s="43"/>
      <c r="R42" s="307" t="str">
        <f>'Gen CP'!$N$42</f>
        <v>AURORA T. AGUILA</v>
      </c>
      <c r="S42" s="307"/>
      <c r="T42" s="307"/>
      <c r="U42" s="96"/>
      <c r="V42" s="307" t="str">
        <f>O10</f>
        <v>ROMARC B CORONEL</v>
      </c>
      <c r="W42" s="307"/>
      <c r="X42" s="307"/>
      <c r="Y42" s="43"/>
      <c r="Z42" s="307" t="str">
        <f>'Gen CP'!$H$42</f>
        <v>MELANIE J. YAMBOT</v>
      </c>
      <c r="AA42" s="307"/>
      <c r="AB42" s="307"/>
      <c r="AC42" s="43"/>
      <c r="AD42" s="307" t="str">
        <f>'Gen CP'!$N$42</f>
        <v>AURORA T. AGUILA</v>
      </c>
      <c r="AE42" s="307"/>
      <c r="AF42" s="307"/>
      <c r="AG42" s="96"/>
      <c r="AH42" s="307" t="str">
        <f>AA10</f>
        <v>MARIEFE M SAGNIP</v>
      </c>
      <c r="AI42" s="307"/>
      <c r="AJ42" s="307"/>
      <c r="AK42" s="43"/>
      <c r="AL42" s="307" t="str">
        <f>'Gen CP'!$H$42</f>
        <v>MELANIE J. YAMBOT</v>
      </c>
      <c r="AM42" s="307"/>
      <c r="AN42" s="307"/>
      <c r="AO42" s="43"/>
      <c r="AP42" s="307" t="str">
        <f>'Gen CP'!$N$42</f>
        <v>AURORA T. AGUILA</v>
      </c>
      <c r="AQ42" s="307"/>
      <c r="AR42" s="307"/>
      <c r="AS42" s="96"/>
      <c r="AT42" s="307" t="str">
        <f>AM10</f>
        <v>ROMNICK T. ESTRELLA</v>
      </c>
      <c r="AU42" s="307"/>
      <c r="AV42" s="307"/>
      <c r="AW42" s="43"/>
      <c r="AX42" s="307" t="str">
        <f>'Gen CP'!$H$42</f>
        <v>MELANIE J. YAMBOT</v>
      </c>
      <c r="AY42" s="307"/>
      <c r="AZ42" s="307"/>
      <c r="BA42" s="43"/>
      <c r="BB42" s="307" t="str">
        <f>'Gen CP'!$N$42</f>
        <v>AURORA T. AGUILA</v>
      </c>
      <c r="BC42" s="307"/>
      <c r="BD42" s="307"/>
      <c r="BE42" s="96"/>
      <c r="BF42" s="307" t="str">
        <f>AY10</f>
        <v>ELENA MARIE A AGUILAR</v>
      </c>
      <c r="BG42" s="307"/>
      <c r="BH42" s="307"/>
      <c r="BI42" s="43"/>
      <c r="BJ42" s="307" t="str">
        <f>'Gen CP'!$H$42</f>
        <v>MELANIE J. YAMBOT</v>
      </c>
      <c r="BK42" s="307"/>
      <c r="BL42" s="307"/>
      <c r="BM42" s="43"/>
      <c r="BN42" s="307" t="str">
        <f>'Gen CP'!$N$42</f>
        <v>AURORA T. AGUILA</v>
      </c>
      <c r="BO42" s="307"/>
      <c r="BP42" s="307"/>
      <c r="BQ42" s="96"/>
      <c r="BR42" s="307" t="str">
        <f>BK10</f>
        <v>MERRY CHRISTINE B. MAMAID</v>
      </c>
      <c r="BS42" s="307"/>
      <c r="BT42" s="307"/>
      <c r="BU42" s="43"/>
      <c r="BV42" s="307" t="str">
        <f>'Gen CP'!$H$42</f>
        <v>MELANIE J. YAMBOT</v>
      </c>
      <c r="BW42" s="307"/>
      <c r="BX42" s="307"/>
      <c r="BY42" s="43"/>
      <c r="BZ42" s="307" t="str">
        <f>'Gen CP'!$N$42</f>
        <v>AURORA T. AGUILA</v>
      </c>
      <c r="CA42" s="307"/>
      <c r="CB42" s="307"/>
      <c r="CC42" s="96"/>
      <c r="CD42" s="307" t="str">
        <f>BW10</f>
        <v>DARWIN E, REYES</v>
      </c>
      <c r="CE42" s="307"/>
      <c r="CF42" s="307"/>
      <c r="CG42" s="43"/>
      <c r="CH42" s="307" t="str">
        <f>'Gen CP'!$H$42</f>
        <v>MELANIE J. YAMBOT</v>
      </c>
      <c r="CI42" s="307"/>
      <c r="CJ42" s="307"/>
      <c r="CK42" s="43"/>
      <c r="CL42" s="307" t="str">
        <f>'Gen CP'!$N$42</f>
        <v>AURORA T. AGUILA</v>
      </c>
      <c r="CM42" s="307"/>
      <c r="CN42" s="307"/>
      <c r="CO42" s="96"/>
      <c r="CP42" s="307" t="str">
        <f>CI10</f>
        <v>ANGEL JOY DIANNE ALMAZAN</v>
      </c>
      <c r="CQ42" s="307"/>
      <c r="CR42" s="307"/>
      <c r="CS42" s="43"/>
      <c r="CT42" s="307" t="str">
        <f>'Gen CP'!$H$42</f>
        <v>MELANIE J. YAMBOT</v>
      </c>
      <c r="CU42" s="307"/>
      <c r="CV42" s="307"/>
      <c r="CW42" s="43"/>
      <c r="CX42" s="307" t="str">
        <f>'Gen CP'!$N$42</f>
        <v>AURORA T. AGUILA</v>
      </c>
      <c r="CY42" s="307"/>
      <c r="CZ42" s="307"/>
      <c r="DA42" s="96"/>
      <c r="DB42" s="307" t="str">
        <f>CU10</f>
        <v>LOVELY GRACE GUERRERO</v>
      </c>
      <c r="DC42" s="307"/>
      <c r="DD42" s="307"/>
      <c r="DE42" s="43"/>
      <c r="DF42" s="307" t="str">
        <f>'Gen CP'!$H$42</f>
        <v>MELANIE J. YAMBOT</v>
      </c>
      <c r="DG42" s="307"/>
      <c r="DH42" s="307"/>
      <c r="DI42" s="43"/>
      <c r="DJ42" s="307" t="str">
        <f>'Gen CP'!$N$42</f>
        <v>AURORA T. AGUILA</v>
      </c>
      <c r="DK42" s="307"/>
      <c r="DL42" s="307"/>
      <c r="DM42" s="96"/>
      <c r="DN42" s="307" t="str">
        <f>DG10</f>
        <v>REALINE S VALDEZ</v>
      </c>
      <c r="DO42" s="307"/>
      <c r="DP42" s="307"/>
      <c r="DQ42" s="43"/>
      <c r="DR42" s="307" t="str">
        <f>'Gen CP'!$H$42</f>
        <v>MELANIE J. YAMBOT</v>
      </c>
      <c r="DS42" s="307"/>
      <c r="DT42" s="307"/>
      <c r="DU42" s="43"/>
      <c r="DV42" s="307" t="str">
        <f>'Gen CP'!$N$42</f>
        <v>AURORA T. AGUILA</v>
      </c>
      <c r="DW42" s="307"/>
      <c r="DX42" s="307"/>
      <c r="DY42" s="96"/>
      <c r="DZ42" s="307" t="str">
        <f>DS10</f>
        <v>TERESITA N. MANIQUIZ</v>
      </c>
      <c r="EA42" s="307"/>
      <c r="EB42" s="307"/>
      <c r="EC42" s="43"/>
      <c r="ED42" s="307" t="str">
        <f>'Gen CP'!$H$42</f>
        <v>MELANIE J. YAMBOT</v>
      </c>
      <c r="EE42" s="307"/>
      <c r="EF42" s="307"/>
      <c r="EG42" s="43"/>
      <c r="EH42" s="307" t="str">
        <f>'Gen CP'!$N$42</f>
        <v>AURORA T. AGUILA</v>
      </c>
      <c r="EI42" s="307"/>
      <c r="EJ42" s="307"/>
      <c r="EK42" s="96"/>
      <c r="EL42" s="307" t="str">
        <f>EE10</f>
        <v>HAROLD A BARTOLOME,Ph,D,</v>
      </c>
      <c r="EM42" s="307"/>
      <c r="EN42" s="307"/>
      <c r="EO42" s="43"/>
      <c r="EP42" s="307" t="str">
        <f>'Gen CP'!$H$42</f>
        <v>MELANIE J. YAMBOT</v>
      </c>
      <c r="EQ42" s="307"/>
      <c r="ER42" s="307"/>
      <c r="ES42" s="43"/>
      <c r="ET42" s="307" t="str">
        <f>'Gen CP'!$N$42</f>
        <v>AURORA T. AGUILA</v>
      </c>
      <c r="EU42" s="307"/>
      <c r="EV42" s="307"/>
      <c r="EW42" s="96"/>
      <c r="EX42" s="307" t="str">
        <f>EQ10</f>
        <v>EDISON V. ORGIL</v>
      </c>
      <c r="EY42" s="307"/>
      <c r="EZ42" s="307"/>
      <c r="FA42" s="43"/>
      <c r="FB42" s="307" t="str">
        <f>'Gen CP'!$H$42</f>
        <v>MELANIE J. YAMBOT</v>
      </c>
      <c r="FC42" s="307"/>
      <c r="FD42" s="307"/>
      <c r="FE42" s="43"/>
      <c r="FF42" s="307" t="str">
        <f>'Gen CP'!$N$42</f>
        <v>AURORA T. AGUILA</v>
      </c>
      <c r="FG42" s="307"/>
      <c r="FH42" s="307"/>
      <c r="FI42" s="96"/>
      <c r="FJ42" s="307" t="str">
        <f>FC10</f>
        <v>FERDINAND A SARMIENTO</v>
      </c>
      <c r="FK42" s="307"/>
      <c r="FL42" s="307"/>
      <c r="FM42" s="43"/>
      <c r="FN42" s="307" t="str">
        <f>'Gen CP'!$H$42</f>
        <v>MELANIE J. YAMBOT</v>
      </c>
      <c r="FO42" s="307"/>
      <c r="FP42" s="307"/>
      <c r="FQ42" s="43"/>
      <c r="FR42" s="307" t="str">
        <f>'Gen CP'!$N$42</f>
        <v>AURORA T. AGUILA</v>
      </c>
      <c r="FS42" s="307"/>
      <c r="FT42" s="307"/>
      <c r="FU42" s="96"/>
      <c r="FV42" s="307" t="str">
        <f>FO10</f>
        <v>HANNAH JHANE C ALMADIN</v>
      </c>
      <c r="FW42" s="307"/>
      <c r="FX42" s="307"/>
      <c r="FY42" s="43"/>
      <c r="FZ42" s="307" t="str">
        <f>'Gen CP'!$H$42</f>
        <v>MELANIE J. YAMBOT</v>
      </c>
      <c r="GA42" s="307"/>
      <c r="GB42" s="307"/>
      <c r="GC42" s="43"/>
      <c r="GD42" s="307" t="str">
        <f>'Gen CP'!$N$42</f>
        <v>AURORA T. AGUILA</v>
      </c>
      <c r="GE42" s="307"/>
      <c r="GF42" s="307"/>
      <c r="GG42" s="96"/>
      <c r="GH42" s="307" t="str">
        <f>GA10</f>
        <v>IMEEE R PASCUA</v>
      </c>
      <c r="GI42" s="307"/>
      <c r="GJ42" s="307"/>
      <c r="GK42" s="43"/>
      <c r="GL42" s="307" t="str">
        <f>'Gen CP'!$H$42</f>
        <v>MELANIE J. YAMBOT</v>
      </c>
      <c r="GM42" s="307"/>
      <c r="GN42" s="307"/>
      <c r="GO42" s="43"/>
      <c r="GP42" s="307" t="str">
        <f>'Gen CP'!$N$42</f>
        <v>AURORA T. AGUILA</v>
      </c>
      <c r="GQ42" s="307"/>
      <c r="GR42" s="307"/>
      <c r="GS42" s="96"/>
      <c r="GT42" s="307" t="str">
        <f>GM10</f>
        <v>RICHARD T CARILLO</v>
      </c>
      <c r="GU42" s="307"/>
      <c r="GV42" s="307"/>
      <c r="GW42" s="43"/>
      <c r="GX42" s="307" t="str">
        <f>'Gen CP'!$H$42</f>
        <v>MELANIE J. YAMBOT</v>
      </c>
      <c r="GY42" s="307"/>
      <c r="GZ42" s="307"/>
      <c r="HA42" s="43"/>
      <c r="HB42" s="307" t="str">
        <f>'Gen CP'!$N$42</f>
        <v>AURORA T. AGUILA</v>
      </c>
      <c r="HC42" s="307"/>
      <c r="HD42" s="307"/>
      <c r="HE42" s="96"/>
      <c r="HF42" s="307" t="str">
        <f>GY10</f>
        <v>IRENEO L DE LEON</v>
      </c>
      <c r="HG42" s="307"/>
      <c r="HH42" s="307"/>
      <c r="HI42" s="43"/>
      <c r="HJ42" s="307" t="str">
        <f>'Gen CP'!$H$42</f>
        <v>MELANIE J. YAMBOT</v>
      </c>
      <c r="HK42" s="307"/>
      <c r="HL42" s="307"/>
      <c r="HM42" s="43"/>
      <c r="HN42" s="307" t="str">
        <f>'Gen CP'!$N$42</f>
        <v>AURORA T. AGUILA</v>
      </c>
      <c r="HO42" s="307"/>
      <c r="HP42" s="307"/>
      <c r="HQ42" s="96"/>
      <c r="HR42" s="307" t="str">
        <f>HK10</f>
        <v>RAYMOND DL MERCADO</v>
      </c>
      <c r="HS42" s="307"/>
      <c r="HT42" s="307"/>
      <c r="HU42" s="43"/>
      <c r="HV42" s="307" t="str">
        <f>'Gen CP'!$H$42</f>
        <v>MELANIE J. YAMBOT</v>
      </c>
      <c r="HW42" s="307"/>
      <c r="HX42" s="307"/>
      <c r="HY42" s="43"/>
      <c r="HZ42" s="307" t="str">
        <f>'Gen CP'!$N$42</f>
        <v>AURORA T. AGUILA</v>
      </c>
      <c r="IA42" s="307"/>
      <c r="IB42" s="307"/>
      <c r="IC42" s="96"/>
      <c r="ID42" s="307" t="str">
        <f>HW10</f>
        <v>VICTORINO B DOMINGO</v>
      </c>
      <c r="IE42" s="307"/>
      <c r="IF42" s="307"/>
      <c r="IG42" s="43"/>
      <c r="IH42" s="307" t="str">
        <f>'Gen CP'!$H$42</f>
        <v>MELANIE J. YAMBOT</v>
      </c>
      <c r="II42" s="307"/>
      <c r="IJ42" s="307"/>
      <c r="IK42" s="43"/>
      <c r="IL42" s="307" t="str">
        <f>'Gen CP'!$N$42</f>
        <v>AURORA T. AGUILA</v>
      </c>
      <c r="IM42" s="307"/>
      <c r="IN42" s="307"/>
      <c r="IO42" s="96"/>
      <c r="IP42" s="307" t="str">
        <f>II10</f>
        <v>JOY P GARDOCE</v>
      </c>
      <c r="IQ42" s="307"/>
      <c r="IR42" s="307"/>
      <c r="IS42" s="43"/>
      <c r="IT42" s="307" t="str">
        <f>'Gen CP'!$H$42</f>
        <v>MELANIE J. YAMBOT</v>
      </c>
      <c r="IU42" s="307"/>
      <c r="IV42" s="307"/>
      <c r="IW42" s="43"/>
      <c r="IX42" s="307" t="str">
        <f>'Gen CP'!$N$42</f>
        <v>AURORA T. AGUILA</v>
      </c>
      <c r="IY42" s="307"/>
      <c r="IZ42" s="307"/>
      <c r="JA42" s="96"/>
      <c r="JB42" s="307" t="str">
        <f>IU10</f>
        <v>CRISTITUTO P. LORENZANA</v>
      </c>
      <c r="JC42" s="307"/>
      <c r="JD42" s="307"/>
      <c r="JE42" s="43"/>
      <c r="JF42" s="307" t="str">
        <f>'Gen CP'!$H$42</f>
        <v>MELANIE J. YAMBOT</v>
      </c>
      <c r="JG42" s="307"/>
      <c r="JH42" s="307"/>
      <c r="JI42" s="43"/>
      <c r="JJ42" s="307" t="str">
        <f>'Gen CP'!$N$42</f>
        <v>AURORA T. AGUILA</v>
      </c>
      <c r="JK42" s="307"/>
      <c r="JL42" s="307"/>
      <c r="JM42" s="96"/>
      <c r="JN42" s="307" t="str">
        <f>JG10</f>
        <v>CYRAH H LORENZO</v>
      </c>
      <c r="JO42" s="307"/>
      <c r="JP42" s="307"/>
      <c r="JQ42" s="43"/>
      <c r="JR42" s="307" t="str">
        <f>'Gen CP'!$H$42</f>
        <v>MELANIE J. YAMBOT</v>
      </c>
      <c r="JS42" s="307"/>
      <c r="JT42" s="307"/>
      <c r="JU42" s="43"/>
      <c r="JV42" s="307" t="str">
        <f>'Gen CP'!$N$42</f>
        <v>AURORA T. AGUILA</v>
      </c>
      <c r="JW42" s="307"/>
      <c r="JX42" s="307"/>
      <c r="JY42" s="96"/>
      <c r="JZ42" s="307" t="str">
        <f>JS10</f>
        <v>OLEN JOHN V MARCELO, Ph.D.</v>
      </c>
      <c r="KA42" s="307"/>
      <c r="KB42" s="307"/>
      <c r="KC42" s="43"/>
      <c r="KD42" s="307" t="str">
        <f>'Gen CP'!$H$42</f>
        <v>MELANIE J. YAMBOT</v>
      </c>
      <c r="KE42" s="307"/>
      <c r="KF42" s="307"/>
      <c r="KG42" s="43"/>
      <c r="KH42" s="307" t="str">
        <f>'Gen CP'!$N$42</f>
        <v>AURORA T. AGUILA</v>
      </c>
      <c r="KI42" s="307"/>
      <c r="KJ42" s="307"/>
      <c r="KK42" s="96"/>
      <c r="KL42" s="307" t="str">
        <f>KE10</f>
        <v>ROMEO DR. CRISOSTOMO</v>
      </c>
      <c r="KM42" s="307"/>
      <c r="KN42" s="307"/>
      <c r="KO42" s="43"/>
      <c r="KP42" s="307" t="str">
        <f>'Gen CP'!$H$42</f>
        <v>MELANIE J. YAMBOT</v>
      </c>
      <c r="KQ42" s="307"/>
      <c r="KR42" s="307"/>
      <c r="KS42" s="43"/>
      <c r="KT42" s="307" t="str">
        <f>'Gen CP'!$N$42</f>
        <v>AURORA T. AGUILA</v>
      </c>
      <c r="KU42" s="307"/>
      <c r="KV42" s="307"/>
      <c r="KW42" s="96"/>
      <c r="KX42" s="307" t="str">
        <f>KQ10</f>
        <v>ACHRISTALYN A.TAMONDONG</v>
      </c>
      <c r="KY42" s="307"/>
      <c r="KZ42" s="307"/>
      <c r="LA42" s="43"/>
      <c r="LB42" s="307" t="str">
        <f>'Gen CP'!$H$42</f>
        <v>MELANIE J. YAMBOT</v>
      </c>
      <c r="LC42" s="307"/>
      <c r="LD42" s="307"/>
      <c r="LE42" s="43"/>
      <c r="LF42" s="307" t="str">
        <f>'Gen CP'!$N$42</f>
        <v>AURORA T. AGUILA</v>
      </c>
      <c r="LG42" s="307"/>
      <c r="LH42" s="307"/>
      <c r="LI42" s="96"/>
      <c r="LJ42" s="307">
        <f>LC10</f>
        <v>0</v>
      </c>
      <c r="LK42" s="307"/>
      <c r="LL42" s="307"/>
      <c r="LM42" s="43"/>
      <c r="LN42" s="307" t="str">
        <f>'Gen CP'!$H$42</f>
        <v>MELANIE J. YAMBOT</v>
      </c>
      <c r="LO42" s="307"/>
      <c r="LP42" s="307"/>
      <c r="LQ42" s="43"/>
      <c r="LR42" s="307" t="str">
        <f>'Gen CP'!$N$42</f>
        <v>AURORA T. AGUILA</v>
      </c>
      <c r="LS42" s="307"/>
      <c r="LT42" s="307"/>
      <c r="LU42" s="96"/>
      <c r="LV42" s="307">
        <f>LO10</f>
        <v>0</v>
      </c>
      <c r="LW42" s="307"/>
      <c r="LX42" s="307"/>
      <c r="LY42" s="43"/>
      <c r="LZ42" s="307" t="str">
        <f>'Gen CP'!$H$42</f>
        <v>MELANIE J. YAMBOT</v>
      </c>
      <c r="MA42" s="307"/>
      <c r="MB42" s="307"/>
      <c r="MC42" s="43"/>
      <c r="MD42" s="307" t="str">
        <f>'Gen CP'!$N$42</f>
        <v>AURORA T. AGUILA</v>
      </c>
      <c r="ME42" s="307"/>
      <c r="MF42" s="307"/>
      <c r="MG42" s="96"/>
      <c r="MH42" s="307">
        <f>MA10</f>
        <v>0</v>
      </c>
      <c r="MI42" s="307"/>
      <c r="MJ42" s="307"/>
      <c r="MK42" s="43"/>
      <c r="ML42" s="307" t="str">
        <f>'Gen CP'!$H$42</f>
        <v>MELANIE J. YAMBOT</v>
      </c>
      <c r="MM42" s="307"/>
      <c r="MN42" s="307"/>
      <c r="MO42" s="43"/>
      <c r="MP42" s="307" t="str">
        <f>'Gen CP'!$N$42</f>
        <v>AURORA T. AGUILA</v>
      </c>
      <c r="MQ42" s="307"/>
      <c r="MR42" s="307"/>
      <c r="MS42" s="96"/>
      <c r="MT42" s="307">
        <f>MM10</f>
        <v>0</v>
      </c>
      <c r="MU42" s="307"/>
      <c r="MV42" s="307"/>
      <c r="MW42" s="43"/>
      <c r="MX42" s="307" t="str">
        <f>'Gen CP'!$H$42</f>
        <v>MELANIE J. YAMBOT</v>
      </c>
      <c r="MY42" s="307"/>
      <c r="MZ42" s="307"/>
      <c r="NA42" s="43"/>
      <c r="NB42" s="307" t="str">
        <f>'Gen CP'!$N$42</f>
        <v>AURORA T. AGUILA</v>
      </c>
      <c r="NC42" s="307"/>
      <c r="ND42" s="307"/>
      <c r="NE42" s="96"/>
      <c r="NF42" s="307">
        <f>MY10</f>
        <v>0</v>
      </c>
      <c r="NG42" s="307"/>
      <c r="NH42" s="307"/>
      <c r="NI42" s="43"/>
      <c r="NJ42" s="307" t="str">
        <f>'Gen CP'!$H$42</f>
        <v>MELANIE J. YAMBOT</v>
      </c>
      <c r="NK42" s="307"/>
      <c r="NL42" s="307"/>
      <c r="NM42" s="43"/>
      <c r="NN42" s="307" t="str">
        <f>'Gen CP'!$N$42</f>
        <v>AURORA T. AGUILA</v>
      </c>
      <c r="NO42" s="307"/>
      <c r="NP42" s="307"/>
      <c r="NQ42" s="96"/>
      <c r="NR42" s="307">
        <f>NK10</f>
        <v>0</v>
      </c>
      <c r="NS42" s="307"/>
      <c r="NT42" s="307"/>
      <c r="NU42" s="43"/>
      <c r="NV42" s="307" t="str">
        <f>'Gen CP'!$H$42</f>
        <v>MELANIE J. YAMBOT</v>
      </c>
      <c r="NW42" s="307"/>
      <c r="NX42" s="307"/>
      <c r="NY42" s="43"/>
      <c r="NZ42" s="307" t="str">
        <f>'Gen CP'!$N$42</f>
        <v>AURORA T. AGUILA</v>
      </c>
      <c r="OA42" s="307"/>
      <c r="OB42" s="307"/>
      <c r="OC42" s="96"/>
      <c r="OD42" s="307">
        <f>NW10</f>
        <v>0</v>
      </c>
      <c r="OE42" s="307"/>
      <c r="OF42" s="307"/>
      <c r="OG42" s="43"/>
      <c r="OH42" s="307" t="str">
        <f>'Gen CP'!$H$42</f>
        <v>MELANIE J. YAMBOT</v>
      </c>
      <c r="OI42" s="307"/>
      <c r="OJ42" s="307"/>
      <c r="OK42" s="43"/>
      <c r="OL42" s="307" t="str">
        <f>'Gen CP'!$N$42</f>
        <v>AURORA T. AGUILA</v>
      </c>
      <c r="OM42" s="307"/>
      <c r="ON42" s="307"/>
      <c r="OO42" s="96"/>
      <c r="OP42" s="307">
        <f>OI10</f>
        <v>0</v>
      </c>
      <c r="OQ42" s="307"/>
      <c r="OR42" s="307"/>
      <c r="OS42" s="43"/>
      <c r="OT42" s="307" t="str">
        <f>'Gen CP'!$H$42</f>
        <v>MELANIE J. YAMBOT</v>
      </c>
      <c r="OU42" s="307"/>
      <c r="OV42" s="307"/>
      <c r="OW42" s="43"/>
      <c r="OX42" s="307" t="str">
        <f>'Gen CP'!$N$42</f>
        <v>AURORA T. AGUILA</v>
      </c>
      <c r="OY42" s="307"/>
      <c r="OZ42" s="307"/>
      <c r="PA42" s="96"/>
      <c r="PB42" s="307">
        <f>OU10</f>
        <v>0</v>
      </c>
      <c r="PC42" s="307"/>
      <c r="PD42" s="307"/>
      <c r="PE42" s="43"/>
      <c r="PF42" s="307" t="str">
        <f>'Gen CP'!$H$42</f>
        <v>MELANIE J. YAMBOT</v>
      </c>
      <c r="PG42" s="307"/>
      <c r="PH42" s="307"/>
      <c r="PI42" s="43"/>
      <c r="PJ42" s="307" t="str">
        <f>'Gen CP'!$N$42</f>
        <v>AURORA T. AGUILA</v>
      </c>
      <c r="PK42" s="307"/>
      <c r="PL42" s="307"/>
      <c r="PM42" s="96"/>
      <c r="PN42" s="307">
        <f>PG10</f>
        <v>0</v>
      </c>
      <c r="PO42" s="307"/>
      <c r="PP42" s="307"/>
    </row>
    <row r="43" spans="1:432">
      <c r="A43" s="43"/>
      <c r="B43" s="304" t="str">
        <f>'Gen CP'!$H$43</f>
        <v>OIC Assistant Principal II</v>
      </c>
      <c r="C43" s="304"/>
      <c r="D43" s="304"/>
      <c r="E43" s="95"/>
      <c r="F43" s="304" t="str">
        <f>'Gen CP'!$N$43</f>
        <v>School Principal IV</v>
      </c>
      <c r="G43" s="304"/>
      <c r="H43" s="304"/>
      <c r="I43" s="95"/>
      <c r="J43" s="304" t="str">
        <f>C11</f>
        <v>Teacher III</v>
      </c>
      <c r="K43" s="304"/>
      <c r="L43" s="304"/>
      <c r="M43" s="43"/>
      <c r="N43" s="304" t="str">
        <f>'Gen CP'!$H$43</f>
        <v>OIC Assistant Principal II</v>
      </c>
      <c r="O43" s="304"/>
      <c r="P43" s="304"/>
      <c r="Q43" s="95"/>
      <c r="R43" s="304" t="str">
        <f>'Gen CP'!$N$43</f>
        <v>School Principal IV</v>
      </c>
      <c r="S43" s="304"/>
      <c r="T43" s="304"/>
      <c r="U43" s="95"/>
      <c r="V43" s="304" t="str">
        <f>O11</f>
        <v>Teacher III</v>
      </c>
      <c r="W43" s="304"/>
      <c r="X43" s="304"/>
      <c r="Y43" s="43"/>
      <c r="Z43" s="304" t="str">
        <f>'Gen CP'!$H$43</f>
        <v>OIC Assistant Principal II</v>
      </c>
      <c r="AA43" s="304"/>
      <c r="AB43" s="304"/>
      <c r="AC43" s="95"/>
      <c r="AD43" s="304" t="str">
        <f>'Gen CP'!$N$43</f>
        <v>School Principal IV</v>
      </c>
      <c r="AE43" s="304"/>
      <c r="AF43" s="304"/>
      <c r="AG43" s="95"/>
      <c r="AH43" s="304" t="str">
        <f>AA11</f>
        <v>Teacher II</v>
      </c>
      <c r="AI43" s="304"/>
      <c r="AJ43" s="304"/>
      <c r="AK43" s="43"/>
      <c r="AL43" s="304" t="str">
        <f>'Gen CP'!$H$43</f>
        <v>OIC Assistant Principal II</v>
      </c>
      <c r="AM43" s="304"/>
      <c r="AN43" s="304"/>
      <c r="AO43" s="95"/>
      <c r="AP43" s="304" t="str">
        <f>'Gen CP'!$N$43</f>
        <v>School Principal IV</v>
      </c>
      <c r="AQ43" s="304"/>
      <c r="AR43" s="304"/>
      <c r="AS43" s="95"/>
      <c r="AT43" s="304" t="str">
        <f>AM11</f>
        <v>Teacher II</v>
      </c>
      <c r="AU43" s="304"/>
      <c r="AV43" s="304"/>
      <c r="AW43" s="43"/>
      <c r="AX43" s="304" t="str">
        <f>'Gen CP'!$H$43</f>
        <v>OIC Assistant Principal II</v>
      </c>
      <c r="AY43" s="304"/>
      <c r="AZ43" s="304"/>
      <c r="BA43" s="95"/>
      <c r="BB43" s="304" t="str">
        <f>'Gen CP'!$N$43</f>
        <v>School Principal IV</v>
      </c>
      <c r="BC43" s="304"/>
      <c r="BD43" s="304"/>
      <c r="BE43" s="95"/>
      <c r="BF43" s="304" t="str">
        <f>AY11</f>
        <v>Teacher II</v>
      </c>
      <c r="BG43" s="304"/>
      <c r="BH43" s="304"/>
      <c r="BI43" s="43"/>
      <c r="BJ43" s="304" t="str">
        <f>'Gen CP'!$H$43</f>
        <v>OIC Assistant Principal II</v>
      </c>
      <c r="BK43" s="304"/>
      <c r="BL43" s="304"/>
      <c r="BM43" s="95"/>
      <c r="BN43" s="304" t="str">
        <f>'Gen CP'!$N$43</f>
        <v>School Principal IV</v>
      </c>
      <c r="BO43" s="304"/>
      <c r="BP43" s="304"/>
      <c r="BQ43" s="95"/>
      <c r="BR43" s="304" t="str">
        <f>BK11</f>
        <v>Teacher II</v>
      </c>
      <c r="BS43" s="304"/>
      <c r="BT43" s="304"/>
      <c r="BU43" s="43"/>
      <c r="BV43" s="304" t="str">
        <f>'Gen CP'!$H$43</f>
        <v>OIC Assistant Principal II</v>
      </c>
      <c r="BW43" s="304"/>
      <c r="BX43" s="304"/>
      <c r="BY43" s="95"/>
      <c r="BZ43" s="304" t="str">
        <f>'Gen CP'!$N$43</f>
        <v>School Principal IV</v>
      </c>
      <c r="CA43" s="304"/>
      <c r="CB43" s="304"/>
      <c r="CC43" s="95"/>
      <c r="CD43" s="304" t="str">
        <f>BW11</f>
        <v>Teacher III</v>
      </c>
      <c r="CE43" s="304"/>
      <c r="CF43" s="304"/>
      <c r="CG43" s="43"/>
      <c r="CH43" s="304" t="str">
        <f>'Gen CP'!$H$43</f>
        <v>OIC Assistant Principal II</v>
      </c>
      <c r="CI43" s="304"/>
      <c r="CJ43" s="304"/>
      <c r="CK43" s="95"/>
      <c r="CL43" s="304" t="str">
        <f>'Gen CP'!$N$43</f>
        <v>School Principal IV</v>
      </c>
      <c r="CM43" s="304"/>
      <c r="CN43" s="304"/>
      <c r="CO43" s="95"/>
      <c r="CP43" s="304" t="str">
        <f>CI11</f>
        <v>Teacher II</v>
      </c>
      <c r="CQ43" s="304"/>
      <c r="CR43" s="304"/>
      <c r="CS43" s="43"/>
      <c r="CT43" s="304" t="str">
        <f>'Gen CP'!$H$43</f>
        <v>OIC Assistant Principal II</v>
      </c>
      <c r="CU43" s="304"/>
      <c r="CV43" s="304"/>
      <c r="CW43" s="95"/>
      <c r="CX43" s="304" t="str">
        <f>'Gen CP'!$N$43</f>
        <v>School Principal IV</v>
      </c>
      <c r="CY43" s="304"/>
      <c r="CZ43" s="304"/>
      <c r="DA43" s="95"/>
      <c r="DB43" s="304" t="str">
        <f>CU11</f>
        <v>Teacher II</v>
      </c>
      <c r="DC43" s="304"/>
      <c r="DD43" s="304"/>
      <c r="DE43" s="43"/>
      <c r="DF43" s="304" t="str">
        <f>'Gen CP'!$H$43</f>
        <v>OIC Assistant Principal II</v>
      </c>
      <c r="DG43" s="304"/>
      <c r="DH43" s="304"/>
      <c r="DI43" s="95"/>
      <c r="DJ43" s="304" t="str">
        <f>'Gen CP'!$N$43</f>
        <v>School Principal IV</v>
      </c>
      <c r="DK43" s="304"/>
      <c r="DL43" s="304"/>
      <c r="DM43" s="95"/>
      <c r="DN43" s="304" t="str">
        <f>DG11</f>
        <v>Teacher II</v>
      </c>
      <c r="DO43" s="304"/>
      <c r="DP43" s="304"/>
      <c r="DQ43" s="43"/>
      <c r="DR43" s="304" t="str">
        <f>'Gen CP'!$H$43</f>
        <v>OIC Assistant Principal II</v>
      </c>
      <c r="DS43" s="304"/>
      <c r="DT43" s="304"/>
      <c r="DU43" s="95"/>
      <c r="DV43" s="304" t="str">
        <f>'Gen CP'!$N$43</f>
        <v>School Principal IV</v>
      </c>
      <c r="DW43" s="304"/>
      <c r="DX43" s="304"/>
      <c r="DY43" s="95"/>
      <c r="DZ43" s="304" t="str">
        <f>DS11</f>
        <v>Teacher III</v>
      </c>
      <c r="EA43" s="304"/>
      <c r="EB43" s="304"/>
      <c r="EC43" s="43"/>
      <c r="ED43" s="304" t="str">
        <f>'Gen CP'!$H$43</f>
        <v>OIC Assistant Principal II</v>
      </c>
      <c r="EE43" s="304"/>
      <c r="EF43" s="304"/>
      <c r="EG43" s="95"/>
      <c r="EH43" s="304" t="str">
        <f>'Gen CP'!$N$43</f>
        <v>School Principal IV</v>
      </c>
      <c r="EI43" s="304"/>
      <c r="EJ43" s="304"/>
      <c r="EK43" s="95"/>
      <c r="EL43" s="304" t="str">
        <f>EE11</f>
        <v>Master Teacher I</v>
      </c>
      <c r="EM43" s="304"/>
      <c r="EN43" s="304"/>
      <c r="EO43" s="43"/>
      <c r="EP43" s="304" t="str">
        <f>'Gen CP'!$H$43</f>
        <v>OIC Assistant Principal II</v>
      </c>
      <c r="EQ43" s="304"/>
      <c r="ER43" s="304"/>
      <c r="ES43" s="95"/>
      <c r="ET43" s="304" t="str">
        <f>'Gen CP'!$N$43</f>
        <v>School Principal IV</v>
      </c>
      <c r="EU43" s="304"/>
      <c r="EV43" s="304"/>
      <c r="EW43" s="95"/>
      <c r="EX43" s="304" t="str">
        <f>EQ11</f>
        <v>Master Teacher II</v>
      </c>
      <c r="EY43" s="304"/>
      <c r="EZ43" s="304"/>
      <c r="FA43" s="43"/>
      <c r="FB43" s="304" t="str">
        <f>'Gen CP'!$H$43</f>
        <v>OIC Assistant Principal II</v>
      </c>
      <c r="FC43" s="304"/>
      <c r="FD43" s="304"/>
      <c r="FE43" s="95"/>
      <c r="FF43" s="304" t="str">
        <f>'Gen CP'!$N$43</f>
        <v>School Principal IV</v>
      </c>
      <c r="FG43" s="304"/>
      <c r="FH43" s="304"/>
      <c r="FI43" s="95"/>
      <c r="FJ43" s="304" t="str">
        <f>FC11</f>
        <v xml:space="preserve">Teacher II </v>
      </c>
      <c r="FK43" s="304"/>
      <c r="FL43" s="304"/>
      <c r="FM43" s="43"/>
      <c r="FN43" s="304" t="str">
        <f>'Gen CP'!$H$43</f>
        <v>OIC Assistant Principal II</v>
      </c>
      <c r="FO43" s="304"/>
      <c r="FP43" s="304"/>
      <c r="FQ43" s="95"/>
      <c r="FR43" s="304" t="str">
        <f>'Gen CP'!$N$43</f>
        <v>School Principal IV</v>
      </c>
      <c r="FS43" s="304"/>
      <c r="FT43" s="304"/>
      <c r="FU43" s="95"/>
      <c r="FV43" s="304" t="str">
        <f>FO11</f>
        <v>Teacher II</v>
      </c>
      <c r="FW43" s="304"/>
      <c r="FX43" s="304"/>
      <c r="FY43" s="43"/>
      <c r="FZ43" s="304" t="str">
        <f>'Gen CP'!$H$43</f>
        <v>OIC Assistant Principal II</v>
      </c>
      <c r="GA43" s="304"/>
      <c r="GB43" s="304"/>
      <c r="GC43" s="95"/>
      <c r="GD43" s="304" t="str">
        <f>'Gen CP'!$N$43</f>
        <v>School Principal IV</v>
      </c>
      <c r="GE43" s="304"/>
      <c r="GF43" s="304"/>
      <c r="GG43" s="95"/>
      <c r="GH43" s="304" t="str">
        <f>GA11</f>
        <v xml:space="preserve"> Teacher II</v>
      </c>
      <c r="GI43" s="304"/>
      <c r="GJ43" s="304"/>
      <c r="GK43" s="43"/>
      <c r="GL43" s="304" t="str">
        <f>'Gen CP'!$H$43</f>
        <v>OIC Assistant Principal II</v>
      </c>
      <c r="GM43" s="304"/>
      <c r="GN43" s="304"/>
      <c r="GO43" s="95"/>
      <c r="GP43" s="304" t="str">
        <f>'Gen CP'!$N$43</f>
        <v>School Principal IV</v>
      </c>
      <c r="GQ43" s="304"/>
      <c r="GR43" s="304"/>
      <c r="GS43" s="95"/>
      <c r="GT43" s="304" t="str">
        <f>GM11</f>
        <v>Teacher III</v>
      </c>
      <c r="GU43" s="304"/>
      <c r="GV43" s="304"/>
      <c r="GW43" s="43"/>
      <c r="GX43" s="304" t="str">
        <f>'Gen CP'!$H$43</f>
        <v>OIC Assistant Principal II</v>
      </c>
      <c r="GY43" s="304"/>
      <c r="GZ43" s="304"/>
      <c r="HA43" s="95"/>
      <c r="HB43" s="304" t="str">
        <f>'Gen CP'!$N$43</f>
        <v>School Principal IV</v>
      </c>
      <c r="HC43" s="304"/>
      <c r="HD43" s="304"/>
      <c r="HE43" s="95"/>
      <c r="HF43" s="304" t="str">
        <f>GY11</f>
        <v>Master Teacher II</v>
      </c>
      <c r="HG43" s="304"/>
      <c r="HH43" s="304"/>
      <c r="HI43" s="43"/>
      <c r="HJ43" s="304" t="str">
        <f>'Gen CP'!$H$43</f>
        <v>OIC Assistant Principal II</v>
      </c>
      <c r="HK43" s="304"/>
      <c r="HL43" s="304"/>
      <c r="HM43" s="95"/>
      <c r="HN43" s="304" t="str">
        <f>'Gen CP'!$N$43</f>
        <v>School Principal IV</v>
      </c>
      <c r="HO43" s="304"/>
      <c r="HP43" s="304"/>
      <c r="HQ43" s="95"/>
      <c r="HR43" s="304" t="str">
        <f>HK11</f>
        <v>Teacher II</v>
      </c>
      <c r="HS43" s="304"/>
      <c r="HT43" s="304"/>
      <c r="HU43" s="43"/>
      <c r="HV43" s="304" t="str">
        <f>'Gen CP'!$H$43</f>
        <v>OIC Assistant Principal II</v>
      </c>
      <c r="HW43" s="304"/>
      <c r="HX43" s="304"/>
      <c r="HY43" s="95"/>
      <c r="HZ43" s="304" t="str">
        <f>'Gen CP'!$N$43</f>
        <v>School Principal IV</v>
      </c>
      <c r="IA43" s="304"/>
      <c r="IB43" s="304"/>
      <c r="IC43" s="95"/>
      <c r="ID43" s="304" t="str">
        <f>HW11</f>
        <v>Teacher III</v>
      </c>
      <c r="IE43" s="304"/>
      <c r="IF43" s="304"/>
      <c r="IG43" s="43"/>
      <c r="IH43" s="304" t="str">
        <f>'Gen CP'!$H$43</f>
        <v>OIC Assistant Principal II</v>
      </c>
      <c r="II43" s="304"/>
      <c r="IJ43" s="304"/>
      <c r="IK43" s="95"/>
      <c r="IL43" s="304" t="str">
        <f>'Gen CP'!$N$43</f>
        <v>School Principal IV</v>
      </c>
      <c r="IM43" s="304"/>
      <c r="IN43" s="304"/>
      <c r="IO43" s="95"/>
      <c r="IP43" s="304" t="str">
        <f>II11</f>
        <v>Teacher II</v>
      </c>
      <c r="IQ43" s="304"/>
      <c r="IR43" s="304"/>
      <c r="IS43" s="43"/>
      <c r="IT43" s="304" t="str">
        <f>'Gen CP'!$H$43</f>
        <v>OIC Assistant Principal II</v>
      </c>
      <c r="IU43" s="304"/>
      <c r="IV43" s="304"/>
      <c r="IW43" s="95"/>
      <c r="IX43" s="304" t="str">
        <f>'Gen CP'!$N$43</f>
        <v>School Principal IV</v>
      </c>
      <c r="IY43" s="304"/>
      <c r="IZ43" s="304"/>
      <c r="JA43" s="95"/>
      <c r="JB43" s="304" t="str">
        <f>IU11</f>
        <v>Teacher III</v>
      </c>
      <c r="JC43" s="304"/>
      <c r="JD43" s="304"/>
      <c r="JE43" s="43"/>
      <c r="JF43" s="304" t="str">
        <f>'Gen CP'!$H$43</f>
        <v>OIC Assistant Principal II</v>
      </c>
      <c r="JG43" s="304"/>
      <c r="JH43" s="304"/>
      <c r="JI43" s="95"/>
      <c r="JJ43" s="304" t="str">
        <f>'Gen CP'!$N$43</f>
        <v>School Principal IV</v>
      </c>
      <c r="JK43" s="304"/>
      <c r="JL43" s="304"/>
      <c r="JM43" s="95"/>
      <c r="JN43" s="304" t="str">
        <f>JG11</f>
        <v>Teacher III</v>
      </c>
      <c r="JO43" s="304"/>
      <c r="JP43" s="304"/>
      <c r="JQ43" s="43"/>
      <c r="JR43" s="304" t="str">
        <f>'Gen CP'!$H$43</f>
        <v>OIC Assistant Principal II</v>
      </c>
      <c r="JS43" s="304"/>
      <c r="JT43" s="304"/>
      <c r="JU43" s="95"/>
      <c r="JV43" s="304" t="str">
        <f>'Gen CP'!$N$43</f>
        <v>School Principal IV</v>
      </c>
      <c r="JW43" s="304"/>
      <c r="JX43" s="304"/>
      <c r="JY43" s="95"/>
      <c r="JZ43" s="304" t="str">
        <f>JS11</f>
        <v>Teacher III</v>
      </c>
      <c r="KA43" s="304"/>
      <c r="KB43" s="304"/>
      <c r="KC43" s="43"/>
      <c r="KD43" s="304" t="str">
        <f>'Gen CP'!$H$43</f>
        <v>OIC Assistant Principal II</v>
      </c>
      <c r="KE43" s="304"/>
      <c r="KF43" s="304"/>
      <c r="KG43" s="95"/>
      <c r="KH43" s="304" t="str">
        <f>'Gen CP'!$N$43</f>
        <v>School Principal IV</v>
      </c>
      <c r="KI43" s="304"/>
      <c r="KJ43" s="304"/>
      <c r="KK43" s="95"/>
      <c r="KL43" s="304" t="str">
        <f>KE11</f>
        <v>Teacher II</v>
      </c>
      <c r="KM43" s="304"/>
      <c r="KN43" s="304"/>
      <c r="KO43" s="43"/>
      <c r="KP43" s="304" t="str">
        <f>'Gen CP'!$H$43</f>
        <v>OIC Assistant Principal II</v>
      </c>
      <c r="KQ43" s="304"/>
      <c r="KR43" s="304"/>
      <c r="KS43" s="95"/>
      <c r="KT43" s="304" t="str">
        <f>'Gen CP'!$N$43</f>
        <v>School Principal IV</v>
      </c>
      <c r="KU43" s="304"/>
      <c r="KV43" s="304"/>
      <c r="KW43" s="95"/>
      <c r="KX43" s="304" t="str">
        <f>KQ11</f>
        <v>Teacher II</v>
      </c>
      <c r="KY43" s="304"/>
      <c r="KZ43" s="304"/>
      <c r="LA43" s="43"/>
      <c r="LB43" s="304" t="str">
        <f>'Gen CP'!$H$43</f>
        <v>OIC Assistant Principal II</v>
      </c>
      <c r="LC43" s="304"/>
      <c r="LD43" s="304"/>
      <c r="LE43" s="95"/>
      <c r="LF43" s="304" t="str">
        <f>'Gen CP'!$N$43</f>
        <v>School Principal IV</v>
      </c>
      <c r="LG43" s="304"/>
      <c r="LH43" s="304"/>
      <c r="LI43" s="95"/>
      <c r="LJ43" s="304" t="str">
        <f>LC11</f>
        <v>Teacher III</v>
      </c>
      <c r="LK43" s="304"/>
      <c r="LL43" s="304"/>
      <c r="LM43" s="43"/>
      <c r="LN43" s="304" t="str">
        <f>'Gen CP'!$H$43</f>
        <v>OIC Assistant Principal II</v>
      </c>
      <c r="LO43" s="304"/>
      <c r="LP43" s="304"/>
      <c r="LQ43" s="95"/>
      <c r="LR43" s="304" t="str">
        <f>'Gen CP'!$N$43</f>
        <v>School Principal IV</v>
      </c>
      <c r="LS43" s="304"/>
      <c r="LT43" s="304"/>
      <c r="LU43" s="95"/>
      <c r="LV43" s="304" t="str">
        <f>LO11</f>
        <v>Teacher III</v>
      </c>
      <c r="LW43" s="304"/>
      <c r="LX43" s="304"/>
      <c r="LY43" s="43"/>
      <c r="LZ43" s="304" t="str">
        <f>'Gen CP'!$H$43</f>
        <v>OIC Assistant Principal II</v>
      </c>
      <c r="MA43" s="304"/>
      <c r="MB43" s="304"/>
      <c r="MC43" s="95"/>
      <c r="MD43" s="304" t="str">
        <f>'Gen CP'!$N$43</f>
        <v>School Principal IV</v>
      </c>
      <c r="ME43" s="304"/>
      <c r="MF43" s="304"/>
      <c r="MG43" s="95"/>
      <c r="MH43" s="304" t="str">
        <f>MA11</f>
        <v>Teacher III</v>
      </c>
      <c r="MI43" s="304"/>
      <c r="MJ43" s="304"/>
      <c r="MK43" s="43"/>
      <c r="ML43" s="304" t="str">
        <f>'Gen CP'!$H$43</f>
        <v>OIC Assistant Principal II</v>
      </c>
      <c r="MM43" s="304"/>
      <c r="MN43" s="304"/>
      <c r="MO43" s="95"/>
      <c r="MP43" s="304" t="str">
        <f>'Gen CP'!$N$43</f>
        <v>School Principal IV</v>
      </c>
      <c r="MQ43" s="304"/>
      <c r="MR43" s="304"/>
      <c r="MS43" s="95"/>
      <c r="MT43" s="304" t="str">
        <f>MM11</f>
        <v>Teacher III</v>
      </c>
      <c r="MU43" s="304"/>
      <c r="MV43" s="304"/>
      <c r="MW43" s="43"/>
      <c r="MX43" s="304" t="str">
        <f>'Gen CP'!$H$43</f>
        <v>OIC Assistant Principal II</v>
      </c>
      <c r="MY43" s="304"/>
      <c r="MZ43" s="304"/>
      <c r="NA43" s="95"/>
      <c r="NB43" s="304" t="str">
        <f>'Gen CP'!$N$43</f>
        <v>School Principal IV</v>
      </c>
      <c r="NC43" s="304"/>
      <c r="ND43" s="304"/>
      <c r="NE43" s="95"/>
      <c r="NF43" s="304" t="str">
        <f>MY11</f>
        <v>Teacher III</v>
      </c>
      <c r="NG43" s="304"/>
      <c r="NH43" s="304"/>
      <c r="NI43" s="43"/>
      <c r="NJ43" s="304" t="str">
        <f>'Gen CP'!$H$43</f>
        <v>OIC Assistant Principal II</v>
      </c>
      <c r="NK43" s="304"/>
      <c r="NL43" s="304"/>
      <c r="NM43" s="95"/>
      <c r="NN43" s="304" t="str">
        <f>'Gen CP'!$N$43</f>
        <v>School Principal IV</v>
      </c>
      <c r="NO43" s="304"/>
      <c r="NP43" s="304"/>
      <c r="NQ43" s="95"/>
      <c r="NR43" s="304" t="str">
        <f>NK11</f>
        <v>Teacher III</v>
      </c>
      <c r="NS43" s="304"/>
      <c r="NT43" s="304"/>
      <c r="NU43" s="43"/>
      <c r="NV43" s="304" t="str">
        <f>'Gen CP'!$H$43</f>
        <v>OIC Assistant Principal II</v>
      </c>
      <c r="NW43" s="304"/>
      <c r="NX43" s="304"/>
      <c r="NY43" s="95"/>
      <c r="NZ43" s="304" t="str">
        <f>'Gen CP'!$N$43</f>
        <v>School Principal IV</v>
      </c>
      <c r="OA43" s="304"/>
      <c r="OB43" s="304"/>
      <c r="OC43" s="95"/>
      <c r="OD43" s="304" t="str">
        <f>NW11</f>
        <v>Teacher III</v>
      </c>
      <c r="OE43" s="304"/>
      <c r="OF43" s="304"/>
      <c r="OG43" s="43"/>
      <c r="OH43" s="304" t="str">
        <f>'Gen CP'!$H$43</f>
        <v>OIC Assistant Principal II</v>
      </c>
      <c r="OI43" s="304"/>
      <c r="OJ43" s="304"/>
      <c r="OK43" s="95"/>
      <c r="OL43" s="304" t="str">
        <f>'Gen CP'!$N$43</f>
        <v>School Principal IV</v>
      </c>
      <c r="OM43" s="304"/>
      <c r="ON43" s="304"/>
      <c r="OO43" s="95"/>
      <c r="OP43" s="304" t="str">
        <f>OI11</f>
        <v>Teacher III</v>
      </c>
      <c r="OQ43" s="304"/>
      <c r="OR43" s="304"/>
      <c r="OS43" s="43"/>
      <c r="OT43" s="304" t="str">
        <f>'Gen CP'!$H$43</f>
        <v>OIC Assistant Principal II</v>
      </c>
      <c r="OU43" s="304"/>
      <c r="OV43" s="304"/>
      <c r="OW43" s="95"/>
      <c r="OX43" s="304" t="str">
        <f>'Gen CP'!$N$43</f>
        <v>School Principal IV</v>
      </c>
      <c r="OY43" s="304"/>
      <c r="OZ43" s="304"/>
      <c r="PA43" s="95"/>
      <c r="PB43" s="304" t="str">
        <f>OU11</f>
        <v>Teacher III</v>
      </c>
      <c r="PC43" s="304"/>
      <c r="PD43" s="304"/>
      <c r="PE43" s="43"/>
      <c r="PF43" s="304" t="str">
        <f>'Gen CP'!$H$43</f>
        <v>OIC Assistant Principal II</v>
      </c>
      <c r="PG43" s="304"/>
      <c r="PH43" s="304"/>
      <c r="PI43" s="95"/>
      <c r="PJ43" s="304" t="str">
        <f>'Gen CP'!$N$43</f>
        <v>School Principal IV</v>
      </c>
      <c r="PK43" s="304"/>
      <c r="PL43" s="304"/>
      <c r="PM43" s="95"/>
      <c r="PN43" s="304" t="str">
        <f>PG11</f>
        <v>Teacher III</v>
      </c>
      <c r="PO43" s="304"/>
      <c r="PP43" s="304"/>
    </row>
    <row r="45" spans="1:432">
      <c r="B45" t="s">
        <v>431</v>
      </c>
      <c r="N45" t="s">
        <v>431</v>
      </c>
      <c r="Z45" t="s">
        <v>431</v>
      </c>
      <c r="AL45" t="s">
        <v>431</v>
      </c>
      <c r="AX45" t="s">
        <v>431</v>
      </c>
      <c r="BJ45" t="s">
        <v>431</v>
      </c>
      <c r="BV45" t="s">
        <v>431</v>
      </c>
      <c r="CH45" t="s">
        <v>431</v>
      </c>
      <c r="CT45" t="s">
        <v>431</v>
      </c>
      <c r="DF45" t="s">
        <v>431</v>
      </c>
      <c r="DR45" t="s">
        <v>431</v>
      </c>
      <c r="ED45" t="s">
        <v>431</v>
      </c>
      <c r="EP45" t="s">
        <v>431</v>
      </c>
      <c r="FB45" t="s">
        <v>431</v>
      </c>
      <c r="FN45" t="s">
        <v>431</v>
      </c>
      <c r="FZ45" t="s">
        <v>431</v>
      </c>
      <c r="GL45" t="s">
        <v>431</v>
      </c>
      <c r="GX45" t="s">
        <v>431</v>
      </c>
      <c r="HJ45" t="s">
        <v>431</v>
      </c>
      <c r="HV45" t="s">
        <v>431</v>
      </c>
      <c r="IH45" t="s">
        <v>431</v>
      </c>
      <c r="IT45" t="s">
        <v>431</v>
      </c>
      <c r="JF45" t="s">
        <v>431</v>
      </c>
      <c r="JR45" t="s">
        <v>431</v>
      </c>
      <c r="KD45" t="s">
        <v>431</v>
      </c>
      <c r="KP45" t="s">
        <v>431</v>
      </c>
      <c r="LB45" t="s">
        <v>431</v>
      </c>
      <c r="LN45" t="s">
        <v>431</v>
      </c>
      <c r="LZ45" t="s">
        <v>431</v>
      </c>
      <c r="ML45" t="s">
        <v>431</v>
      </c>
      <c r="MX45" t="s">
        <v>431</v>
      </c>
      <c r="NJ45" t="s">
        <v>431</v>
      </c>
      <c r="NV45" t="s">
        <v>431</v>
      </c>
      <c r="OH45" t="s">
        <v>431</v>
      </c>
      <c r="OT45" t="s">
        <v>431</v>
      </c>
      <c r="PF45" t="s">
        <v>431</v>
      </c>
    </row>
    <row r="47" spans="1:432">
      <c r="J47" t="s">
        <v>251</v>
      </c>
    </row>
    <row r="55" spans="232:286">
      <c r="HX55" t="s">
        <v>51</v>
      </c>
    </row>
    <row r="61" spans="232:286">
      <c r="JZ61" t="s">
        <v>51</v>
      </c>
    </row>
    <row r="68" spans="418:418">
      <c r="PB68" t="s">
        <v>51</v>
      </c>
    </row>
  </sheetData>
  <mergeCells count="4500">
    <mergeCell ref="PO17:PP17"/>
    <mergeCell ref="PF42:PH42"/>
    <mergeCell ref="PJ42:PL42"/>
    <mergeCell ref="PN42:PP42"/>
    <mergeCell ref="PF43:PH43"/>
    <mergeCell ref="PJ43:PL43"/>
    <mergeCell ref="PN43:PP43"/>
    <mergeCell ref="OT42:OV42"/>
    <mergeCell ref="OX42:OZ42"/>
    <mergeCell ref="PB42:PD42"/>
    <mergeCell ref="OT43:OV43"/>
    <mergeCell ref="OX43:OZ43"/>
    <mergeCell ref="PB43:PD43"/>
    <mergeCell ref="PE30:PE31"/>
    <mergeCell ref="PF30:PF31"/>
    <mergeCell ref="PG30:PH30"/>
    <mergeCell ref="PI30:PJ30"/>
    <mergeCell ref="PK30:PL30"/>
    <mergeCell ref="PM30:PN30"/>
    <mergeCell ref="PO30:PP30"/>
    <mergeCell ref="PG31:PH31"/>
    <mergeCell ref="PI31:PJ31"/>
    <mergeCell ref="PK31:PL31"/>
    <mergeCell ref="PM31:PN31"/>
    <mergeCell ref="PO31:PP31"/>
    <mergeCell ref="PE28:PE29"/>
    <mergeCell ref="PF28:PF29"/>
    <mergeCell ref="PG28:PH28"/>
    <mergeCell ref="PI28:PJ28"/>
    <mergeCell ref="PK28:PL28"/>
    <mergeCell ref="PM28:PN28"/>
    <mergeCell ref="PO28:PP28"/>
    <mergeCell ref="PE1:PP1"/>
    <mergeCell ref="PE2:PP2"/>
    <mergeCell ref="PE8:PP8"/>
    <mergeCell ref="PE10:PF10"/>
    <mergeCell ref="PM10:PN10"/>
    <mergeCell ref="PO10:PP10"/>
    <mergeCell ref="PE11:PF11"/>
    <mergeCell ref="PG11:PJ11"/>
    <mergeCell ref="PM11:PN11"/>
    <mergeCell ref="PO11:PP11"/>
    <mergeCell ref="PE13:PE14"/>
    <mergeCell ref="PF13:PF14"/>
    <mergeCell ref="PG13:PH14"/>
    <mergeCell ref="PI13:PJ14"/>
    <mergeCell ref="PK13:PL14"/>
    <mergeCell ref="PM13:PN14"/>
    <mergeCell ref="PO13:PP14"/>
    <mergeCell ref="PE3:PP3"/>
    <mergeCell ref="PE4:PP4"/>
    <mergeCell ref="PE5:PP5"/>
    <mergeCell ref="PE7:PP7"/>
    <mergeCell ref="PE12:PF12"/>
    <mergeCell ref="PG15:PP15"/>
    <mergeCell ref="OS13:OS14"/>
    <mergeCell ref="OT13:OT14"/>
    <mergeCell ref="OU13:OV14"/>
    <mergeCell ref="OW13:OX14"/>
    <mergeCell ref="OY13:OZ14"/>
    <mergeCell ref="PA13:PB14"/>
    <mergeCell ref="PC13:PD14"/>
    <mergeCell ref="OU15:PD15"/>
    <mergeCell ref="OS16:OS17"/>
    <mergeCell ref="OT16:OT17"/>
    <mergeCell ref="OU16:OV16"/>
    <mergeCell ref="OW16:OX16"/>
    <mergeCell ref="OY16:OZ16"/>
    <mergeCell ref="PA16:PB16"/>
    <mergeCell ref="PC16:PD16"/>
    <mergeCell ref="OU17:OV17"/>
    <mergeCell ref="OW17:OX17"/>
    <mergeCell ref="OY17:OZ17"/>
    <mergeCell ref="PA17:PB17"/>
    <mergeCell ref="PC17:PD17"/>
    <mergeCell ref="PE16:PE17"/>
    <mergeCell ref="PF16:PF17"/>
    <mergeCell ref="PG16:PH16"/>
    <mergeCell ref="PI16:PJ16"/>
    <mergeCell ref="PK16:PL16"/>
    <mergeCell ref="PM16:PN16"/>
    <mergeCell ref="PO16:PP16"/>
    <mergeCell ref="PG17:PH17"/>
    <mergeCell ref="PI17:PJ17"/>
    <mergeCell ref="PK17:PL17"/>
    <mergeCell ref="PM17:PN17"/>
    <mergeCell ref="OS1:PD1"/>
    <mergeCell ref="OS2:PD2"/>
    <mergeCell ref="OS8:PD8"/>
    <mergeCell ref="OS10:OT10"/>
    <mergeCell ref="PA10:PB10"/>
    <mergeCell ref="PC10:PD10"/>
    <mergeCell ref="OS11:OT11"/>
    <mergeCell ref="OU11:OX11"/>
    <mergeCell ref="PA11:PB11"/>
    <mergeCell ref="PC11:PD11"/>
    <mergeCell ref="OI17:OJ17"/>
    <mergeCell ref="OK17:OL17"/>
    <mergeCell ref="OM17:ON17"/>
    <mergeCell ref="OO17:OP17"/>
    <mergeCell ref="OQ17:OR17"/>
    <mergeCell ref="OH42:OJ42"/>
    <mergeCell ref="OL42:ON42"/>
    <mergeCell ref="OP42:OR42"/>
    <mergeCell ref="OS30:OS31"/>
    <mergeCell ref="OT30:OT31"/>
    <mergeCell ref="OU30:OV30"/>
    <mergeCell ref="OW30:OX30"/>
    <mergeCell ref="OY30:OZ30"/>
    <mergeCell ref="PA30:PB30"/>
    <mergeCell ref="PC30:PD30"/>
    <mergeCell ref="OU31:OV31"/>
    <mergeCell ref="OW31:OX31"/>
    <mergeCell ref="OY31:OZ31"/>
    <mergeCell ref="PA31:PB31"/>
    <mergeCell ref="PC31:PD31"/>
    <mergeCell ref="OS28:OS29"/>
    <mergeCell ref="OT28:OT29"/>
    <mergeCell ref="OH43:OJ43"/>
    <mergeCell ref="OL43:ON43"/>
    <mergeCell ref="OP43:OR43"/>
    <mergeCell ref="NV42:NX42"/>
    <mergeCell ref="NZ42:OB42"/>
    <mergeCell ref="OD42:OF42"/>
    <mergeCell ref="NV43:NX43"/>
    <mergeCell ref="NZ43:OB43"/>
    <mergeCell ref="OD43:OF43"/>
    <mergeCell ref="OG1:OR1"/>
    <mergeCell ref="OG2:OR2"/>
    <mergeCell ref="OG8:OR8"/>
    <mergeCell ref="OG10:OH10"/>
    <mergeCell ref="OO10:OP10"/>
    <mergeCell ref="OQ10:OR10"/>
    <mergeCell ref="OG11:OH11"/>
    <mergeCell ref="OI11:OL11"/>
    <mergeCell ref="OO11:OP11"/>
    <mergeCell ref="OQ11:OR11"/>
    <mergeCell ref="OG13:OG14"/>
    <mergeCell ref="OH13:OH14"/>
    <mergeCell ref="OI13:OJ14"/>
    <mergeCell ref="OK13:OL14"/>
    <mergeCell ref="OM13:ON14"/>
    <mergeCell ref="OO13:OP14"/>
    <mergeCell ref="OQ13:OR14"/>
    <mergeCell ref="OI15:OR15"/>
    <mergeCell ref="NU1:OF1"/>
    <mergeCell ref="NU2:OF2"/>
    <mergeCell ref="NU8:OF8"/>
    <mergeCell ref="NU10:NV10"/>
    <mergeCell ref="OC10:OD10"/>
    <mergeCell ref="NU13:NU14"/>
    <mergeCell ref="NV13:NV14"/>
    <mergeCell ref="NW13:NX14"/>
    <mergeCell ref="NY13:NZ14"/>
    <mergeCell ref="OA13:OB14"/>
    <mergeCell ref="OC13:OD14"/>
    <mergeCell ref="OE13:OF14"/>
    <mergeCell ref="NW15:OF15"/>
    <mergeCell ref="NU16:NU17"/>
    <mergeCell ref="NV16:NV17"/>
    <mergeCell ref="NW16:NX16"/>
    <mergeCell ref="NY16:NZ16"/>
    <mergeCell ref="OA16:OB16"/>
    <mergeCell ref="OC16:OD16"/>
    <mergeCell ref="OE16:OF16"/>
    <mergeCell ref="NW17:NX17"/>
    <mergeCell ref="NY17:NZ17"/>
    <mergeCell ref="OA17:OB17"/>
    <mergeCell ref="OC17:OD17"/>
    <mergeCell ref="OE17:OF17"/>
    <mergeCell ref="OE10:OF10"/>
    <mergeCell ref="NU11:NV11"/>
    <mergeCell ref="NW11:NZ11"/>
    <mergeCell ref="OC11:OD11"/>
    <mergeCell ref="OE11:OF11"/>
    <mergeCell ref="NK17:NL17"/>
    <mergeCell ref="NM17:NN17"/>
    <mergeCell ref="NO17:NP17"/>
    <mergeCell ref="NQ17:NR17"/>
    <mergeCell ref="NS17:NT17"/>
    <mergeCell ref="NJ42:NL42"/>
    <mergeCell ref="NN42:NP42"/>
    <mergeCell ref="NR42:NT42"/>
    <mergeCell ref="NJ43:NL43"/>
    <mergeCell ref="NN43:NP43"/>
    <mergeCell ref="NR43:NT43"/>
    <mergeCell ref="MX42:MZ42"/>
    <mergeCell ref="NB42:ND42"/>
    <mergeCell ref="NF42:NH42"/>
    <mergeCell ref="MX43:MZ43"/>
    <mergeCell ref="NB43:ND43"/>
    <mergeCell ref="NF43:NH43"/>
    <mergeCell ref="NK15:NT15"/>
    <mergeCell ref="NY26:NZ26"/>
    <mergeCell ref="OA26:OB26"/>
    <mergeCell ref="OC26:OD26"/>
    <mergeCell ref="OE26:OF26"/>
    <mergeCell ref="NW27:NX27"/>
    <mergeCell ref="NY27:NZ27"/>
    <mergeCell ref="OA27:OB27"/>
    <mergeCell ref="OC27:OD27"/>
    <mergeCell ref="OE27:OF27"/>
    <mergeCell ref="NI1:NT1"/>
    <mergeCell ref="NI2:NT2"/>
    <mergeCell ref="NI8:NT8"/>
    <mergeCell ref="NI10:NJ10"/>
    <mergeCell ref="NQ10:NR10"/>
    <mergeCell ref="NS10:NT10"/>
    <mergeCell ref="NI11:NJ11"/>
    <mergeCell ref="NK11:NN11"/>
    <mergeCell ref="NQ11:NR11"/>
    <mergeCell ref="NS11:NT11"/>
    <mergeCell ref="NI13:NI14"/>
    <mergeCell ref="NJ13:NJ14"/>
    <mergeCell ref="NK13:NL14"/>
    <mergeCell ref="NM13:NN14"/>
    <mergeCell ref="NO13:NP14"/>
    <mergeCell ref="NQ13:NR14"/>
    <mergeCell ref="NS13:NT14"/>
    <mergeCell ref="NI3:NT3"/>
    <mergeCell ref="NI4:NT4"/>
    <mergeCell ref="NI5:NT5"/>
    <mergeCell ref="NI7:NT7"/>
    <mergeCell ref="NI12:NJ12"/>
    <mergeCell ref="MW13:MW14"/>
    <mergeCell ref="MX13:MX14"/>
    <mergeCell ref="MY13:MZ14"/>
    <mergeCell ref="NA13:NB14"/>
    <mergeCell ref="NC13:ND14"/>
    <mergeCell ref="NE13:NF14"/>
    <mergeCell ref="NG13:NH14"/>
    <mergeCell ref="MY15:NH15"/>
    <mergeCell ref="MW16:MW17"/>
    <mergeCell ref="MX16:MX17"/>
    <mergeCell ref="MY16:MZ16"/>
    <mergeCell ref="NA16:NB16"/>
    <mergeCell ref="NC16:ND16"/>
    <mergeCell ref="NE16:NF16"/>
    <mergeCell ref="NG16:NH16"/>
    <mergeCell ref="MY17:MZ17"/>
    <mergeCell ref="NA17:NB17"/>
    <mergeCell ref="NC17:ND17"/>
    <mergeCell ref="NE17:NF17"/>
    <mergeCell ref="NG17:NH17"/>
    <mergeCell ref="MW1:NH1"/>
    <mergeCell ref="MW2:NH2"/>
    <mergeCell ref="MW8:NH8"/>
    <mergeCell ref="MW10:MX10"/>
    <mergeCell ref="NE10:NF10"/>
    <mergeCell ref="NG10:NH10"/>
    <mergeCell ref="MW11:MX11"/>
    <mergeCell ref="MY11:NB11"/>
    <mergeCell ref="NE11:NF11"/>
    <mergeCell ref="NG11:NH11"/>
    <mergeCell ref="MM17:MN17"/>
    <mergeCell ref="MO17:MP17"/>
    <mergeCell ref="MQ17:MR17"/>
    <mergeCell ref="MS17:MT17"/>
    <mergeCell ref="MU17:MV17"/>
    <mergeCell ref="ML42:MN42"/>
    <mergeCell ref="MP42:MR42"/>
    <mergeCell ref="MT42:MV42"/>
    <mergeCell ref="MW30:MW31"/>
    <mergeCell ref="MX30:MX31"/>
    <mergeCell ref="MY30:MZ30"/>
    <mergeCell ref="NA30:NB30"/>
    <mergeCell ref="NC30:ND30"/>
    <mergeCell ref="NE30:NF30"/>
    <mergeCell ref="NG30:NH30"/>
    <mergeCell ref="MY31:MZ31"/>
    <mergeCell ref="NA31:NB31"/>
    <mergeCell ref="NC31:ND31"/>
    <mergeCell ref="NE31:NF31"/>
    <mergeCell ref="NG31:NH31"/>
    <mergeCell ref="MW28:MW29"/>
    <mergeCell ref="MX28:MX29"/>
    <mergeCell ref="ML43:MN43"/>
    <mergeCell ref="MP43:MR43"/>
    <mergeCell ref="MT43:MV43"/>
    <mergeCell ref="LZ42:MB42"/>
    <mergeCell ref="MD42:MF42"/>
    <mergeCell ref="MH42:MJ42"/>
    <mergeCell ref="LZ43:MB43"/>
    <mergeCell ref="MD43:MF43"/>
    <mergeCell ref="MH43:MJ43"/>
    <mergeCell ref="MK1:MV1"/>
    <mergeCell ref="MK2:MV2"/>
    <mergeCell ref="MK8:MV8"/>
    <mergeCell ref="MK10:ML10"/>
    <mergeCell ref="MS10:MT10"/>
    <mergeCell ref="MU10:MV10"/>
    <mergeCell ref="MK11:ML11"/>
    <mergeCell ref="MM11:MP11"/>
    <mergeCell ref="MS11:MT11"/>
    <mergeCell ref="MU11:MV11"/>
    <mergeCell ref="MK13:MK14"/>
    <mergeCell ref="ML13:ML14"/>
    <mergeCell ref="MM13:MN14"/>
    <mergeCell ref="MO13:MP14"/>
    <mergeCell ref="MQ13:MR14"/>
    <mergeCell ref="MS13:MT14"/>
    <mergeCell ref="MU13:MV14"/>
    <mergeCell ref="MM15:MV15"/>
    <mergeCell ref="LY1:MJ1"/>
    <mergeCell ref="LY2:MJ2"/>
    <mergeCell ref="LY8:MJ8"/>
    <mergeCell ref="LY10:LZ10"/>
    <mergeCell ref="MG10:MH10"/>
    <mergeCell ref="LY13:LY14"/>
    <mergeCell ref="LZ13:LZ14"/>
    <mergeCell ref="MA13:MB14"/>
    <mergeCell ref="MC13:MD14"/>
    <mergeCell ref="ME13:MF14"/>
    <mergeCell ref="MG13:MH14"/>
    <mergeCell ref="MI13:MJ14"/>
    <mergeCell ref="MA15:MJ15"/>
    <mergeCell ref="LY16:LY17"/>
    <mergeCell ref="LZ16:LZ17"/>
    <mergeCell ref="MA16:MB16"/>
    <mergeCell ref="MC16:MD16"/>
    <mergeCell ref="ME16:MF16"/>
    <mergeCell ref="MG16:MH16"/>
    <mergeCell ref="MI16:MJ16"/>
    <mergeCell ref="MA17:MB17"/>
    <mergeCell ref="MC17:MD17"/>
    <mergeCell ref="ME17:MF17"/>
    <mergeCell ref="MG17:MH17"/>
    <mergeCell ref="MI17:MJ17"/>
    <mergeCell ref="MI10:MJ10"/>
    <mergeCell ref="LY11:LZ11"/>
    <mergeCell ref="MA11:MD11"/>
    <mergeCell ref="MG11:MH11"/>
    <mergeCell ref="MI11:MJ11"/>
    <mergeCell ref="LO17:LP17"/>
    <mergeCell ref="LQ17:LR17"/>
    <mergeCell ref="LS17:LT17"/>
    <mergeCell ref="LU17:LV17"/>
    <mergeCell ref="LW17:LX17"/>
    <mergeCell ref="LN42:LP42"/>
    <mergeCell ref="LR42:LT42"/>
    <mergeCell ref="LV42:LX42"/>
    <mergeCell ref="LN43:LP43"/>
    <mergeCell ref="LR43:LT43"/>
    <mergeCell ref="LV43:LX43"/>
    <mergeCell ref="LB42:LD42"/>
    <mergeCell ref="LF42:LH42"/>
    <mergeCell ref="LJ42:LL42"/>
    <mergeCell ref="LB43:LD43"/>
    <mergeCell ref="LF43:LH43"/>
    <mergeCell ref="LJ43:LL43"/>
    <mergeCell ref="LO15:LX15"/>
    <mergeCell ref="MC26:MD26"/>
    <mergeCell ref="ME26:MF26"/>
    <mergeCell ref="MG26:MH26"/>
    <mergeCell ref="MI26:MJ26"/>
    <mergeCell ref="MA27:MB27"/>
    <mergeCell ref="MC27:MD27"/>
    <mergeCell ref="ME27:MF27"/>
    <mergeCell ref="MG27:MH27"/>
    <mergeCell ref="MI27:MJ27"/>
    <mergeCell ref="LM1:LX1"/>
    <mergeCell ref="LM2:LX2"/>
    <mergeCell ref="LM8:LX8"/>
    <mergeCell ref="LM10:LN10"/>
    <mergeCell ref="LU10:LV10"/>
    <mergeCell ref="LW10:LX10"/>
    <mergeCell ref="LM11:LN11"/>
    <mergeCell ref="LO11:LR11"/>
    <mergeCell ref="LU11:LV11"/>
    <mergeCell ref="LW11:LX11"/>
    <mergeCell ref="LM13:LM14"/>
    <mergeCell ref="LN13:LN14"/>
    <mergeCell ref="LO13:LP14"/>
    <mergeCell ref="LQ13:LR14"/>
    <mergeCell ref="LS13:LT14"/>
    <mergeCell ref="LU13:LV14"/>
    <mergeCell ref="LW13:LX14"/>
    <mergeCell ref="LM3:LX3"/>
    <mergeCell ref="LM4:LX4"/>
    <mergeCell ref="LM5:LX5"/>
    <mergeCell ref="LM7:LX7"/>
    <mergeCell ref="LM12:LN12"/>
    <mergeCell ref="LA13:LA14"/>
    <mergeCell ref="LB13:LB14"/>
    <mergeCell ref="LC13:LD14"/>
    <mergeCell ref="LE13:LF14"/>
    <mergeCell ref="LG13:LH14"/>
    <mergeCell ref="LI13:LJ14"/>
    <mergeCell ref="LK13:LL14"/>
    <mergeCell ref="LC15:LL15"/>
    <mergeCell ref="LA16:LA17"/>
    <mergeCell ref="LB16:LB17"/>
    <mergeCell ref="LC16:LD16"/>
    <mergeCell ref="LE16:LF16"/>
    <mergeCell ref="LG16:LH16"/>
    <mergeCell ref="LI16:LJ16"/>
    <mergeCell ref="LK16:LL16"/>
    <mergeCell ref="LC17:LD17"/>
    <mergeCell ref="LE17:LF17"/>
    <mergeCell ref="LG17:LH17"/>
    <mergeCell ref="LI17:LJ17"/>
    <mergeCell ref="LK17:LL17"/>
    <mergeCell ref="LA1:LL1"/>
    <mergeCell ref="LA2:LL2"/>
    <mergeCell ref="LA8:LL8"/>
    <mergeCell ref="LA10:LB10"/>
    <mergeCell ref="LI10:LJ10"/>
    <mergeCell ref="LK10:LL10"/>
    <mergeCell ref="LA11:LB11"/>
    <mergeCell ref="LC11:LF11"/>
    <mergeCell ref="LI11:LJ11"/>
    <mergeCell ref="LK11:LL11"/>
    <mergeCell ref="KQ17:KR17"/>
    <mergeCell ref="KS17:KT17"/>
    <mergeCell ref="KU17:KV17"/>
    <mergeCell ref="KW17:KX17"/>
    <mergeCell ref="KY17:KZ17"/>
    <mergeCell ref="KP42:KR42"/>
    <mergeCell ref="KT42:KV42"/>
    <mergeCell ref="KX42:KZ42"/>
    <mergeCell ref="LA30:LA31"/>
    <mergeCell ref="LB30:LB31"/>
    <mergeCell ref="LC30:LD30"/>
    <mergeCell ref="LE30:LF30"/>
    <mergeCell ref="LG30:LH30"/>
    <mergeCell ref="LI30:LJ30"/>
    <mergeCell ref="LK30:LL30"/>
    <mergeCell ref="LC31:LD31"/>
    <mergeCell ref="LE31:LF31"/>
    <mergeCell ref="LG31:LH31"/>
    <mergeCell ref="LI31:LJ31"/>
    <mergeCell ref="LK31:LL31"/>
    <mergeCell ref="LA28:LA29"/>
    <mergeCell ref="LB28:LB29"/>
    <mergeCell ref="KP43:KR43"/>
    <mergeCell ref="KT43:KV43"/>
    <mergeCell ref="KX43:KZ43"/>
    <mergeCell ref="KD42:KF42"/>
    <mergeCell ref="KH42:KJ42"/>
    <mergeCell ref="KL42:KN42"/>
    <mergeCell ref="KD43:KF43"/>
    <mergeCell ref="KH43:KJ43"/>
    <mergeCell ref="KL43:KN43"/>
    <mergeCell ref="KO1:KZ1"/>
    <mergeCell ref="KO2:KZ2"/>
    <mergeCell ref="KO8:KZ8"/>
    <mergeCell ref="KO10:KP10"/>
    <mergeCell ref="KW10:KX10"/>
    <mergeCell ref="KY10:KZ10"/>
    <mergeCell ref="KO11:KP11"/>
    <mergeCell ref="KQ11:KT11"/>
    <mergeCell ref="KW11:KX11"/>
    <mergeCell ref="KY11:KZ11"/>
    <mergeCell ref="KO13:KO14"/>
    <mergeCell ref="KP13:KP14"/>
    <mergeCell ref="KQ13:KR14"/>
    <mergeCell ref="KS13:KT14"/>
    <mergeCell ref="KU13:KV14"/>
    <mergeCell ref="KW13:KX14"/>
    <mergeCell ref="KY13:KZ14"/>
    <mergeCell ref="KQ15:KZ15"/>
    <mergeCell ref="KC1:KN1"/>
    <mergeCell ref="KC2:KN2"/>
    <mergeCell ref="KC8:KN8"/>
    <mergeCell ref="KC10:KD10"/>
    <mergeCell ref="KK10:KL10"/>
    <mergeCell ref="KC13:KC14"/>
    <mergeCell ref="KD13:KD14"/>
    <mergeCell ref="KE13:KF14"/>
    <mergeCell ref="KG13:KH14"/>
    <mergeCell ref="KI13:KJ14"/>
    <mergeCell ref="KK13:KL14"/>
    <mergeCell ref="KM13:KN14"/>
    <mergeCell ref="KE15:KN15"/>
    <mergeCell ref="KC16:KC17"/>
    <mergeCell ref="KD16:KD17"/>
    <mergeCell ref="KE16:KF16"/>
    <mergeCell ref="KG16:KH16"/>
    <mergeCell ref="KI16:KJ16"/>
    <mergeCell ref="KK16:KL16"/>
    <mergeCell ref="KM16:KN16"/>
    <mergeCell ref="KE17:KF17"/>
    <mergeCell ref="KG17:KH17"/>
    <mergeCell ref="KI17:KJ17"/>
    <mergeCell ref="KK17:KL17"/>
    <mergeCell ref="KM17:KN17"/>
    <mergeCell ref="KM10:KN10"/>
    <mergeCell ref="KC11:KD11"/>
    <mergeCell ref="KE11:KH11"/>
    <mergeCell ref="KK11:KL11"/>
    <mergeCell ref="KM11:KN11"/>
    <mergeCell ref="JS17:JT17"/>
    <mergeCell ref="JU17:JV17"/>
    <mergeCell ref="JW17:JX17"/>
    <mergeCell ref="JY17:JZ17"/>
    <mergeCell ref="KA17:KB17"/>
    <mergeCell ref="JR42:JT42"/>
    <mergeCell ref="JV42:JX42"/>
    <mergeCell ref="JZ42:KB42"/>
    <mergeCell ref="JR43:JT43"/>
    <mergeCell ref="JV43:JX43"/>
    <mergeCell ref="JZ43:KB43"/>
    <mergeCell ref="JF42:JH42"/>
    <mergeCell ref="JJ42:JL42"/>
    <mergeCell ref="JN42:JP42"/>
    <mergeCell ref="JF43:JH43"/>
    <mergeCell ref="JJ43:JL43"/>
    <mergeCell ref="JN43:JP43"/>
    <mergeCell ref="JS15:KB15"/>
    <mergeCell ref="KG26:KH26"/>
    <mergeCell ref="KI26:KJ26"/>
    <mergeCell ref="KK26:KL26"/>
    <mergeCell ref="KM26:KN26"/>
    <mergeCell ref="KE27:KF27"/>
    <mergeCell ref="KG27:KH27"/>
    <mergeCell ref="KI27:KJ27"/>
    <mergeCell ref="KK27:KL27"/>
    <mergeCell ref="KM27:KN27"/>
    <mergeCell ref="JQ1:KB1"/>
    <mergeCell ref="JQ2:KB2"/>
    <mergeCell ref="JQ8:KB8"/>
    <mergeCell ref="JQ10:JR10"/>
    <mergeCell ref="JY10:JZ10"/>
    <mergeCell ref="KA10:KB10"/>
    <mergeCell ref="JQ11:JR11"/>
    <mergeCell ref="JS11:JV11"/>
    <mergeCell ref="JY11:JZ11"/>
    <mergeCell ref="KA11:KB11"/>
    <mergeCell ref="JQ13:JQ14"/>
    <mergeCell ref="JR13:JR14"/>
    <mergeCell ref="JS13:JT14"/>
    <mergeCell ref="JU13:JV14"/>
    <mergeCell ref="JW13:JX14"/>
    <mergeCell ref="JY13:JZ14"/>
    <mergeCell ref="KA13:KB14"/>
    <mergeCell ref="JQ3:KB3"/>
    <mergeCell ref="JQ4:KB4"/>
    <mergeCell ref="JQ5:KB5"/>
    <mergeCell ref="JQ7:KB7"/>
    <mergeCell ref="JQ12:JR12"/>
    <mergeCell ref="JE13:JE14"/>
    <mergeCell ref="JF13:JF14"/>
    <mergeCell ref="JG13:JH14"/>
    <mergeCell ref="JI13:JJ14"/>
    <mergeCell ref="JK13:JL14"/>
    <mergeCell ref="JM13:JN14"/>
    <mergeCell ref="JO13:JP14"/>
    <mergeCell ref="JG15:JP15"/>
    <mergeCell ref="JE16:JE17"/>
    <mergeCell ref="JF16:JF17"/>
    <mergeCell ref="JG16:JH16"/>
    <mergeCell ref="JI16:JJ16"/>
    <mergeCell ref="JK16:JL16"/>
    <mergeCell ref="JM16:JN16"/>
    <mergeCell ref="JO16:JP16"/>
    <mergeCell ref="JG17:JH17"/>
    <mergeCell ref="JI17:JJ17"/>
    <mergeCell ref="JK17:JL17"/>
    <mergeCell ref="JM17:JN17"/>
    <mergeCell ref="JO17:JP17"/>
    <mergeCell ref="JE1:JP1"/>
    <mergeCell ref="JE2:JP2"/>
    <mergeCell ref="JE8:JP8"/>
    <mergeCell ref="JE10:JF10"/>
    <mergeCell ref="JM10:JN10"/>
    <mergeCell ref="JO10:JP10"/>
    <mergeCell ref="JE11:JF11"/>
    <mergeCell ref="JG11:JJ11"/>
    <mergeCell ref="JM11:JN11"/>
    <mergeCell ref="JO11:JP11"/>
    <mergeCell ref="IU17:IV17"/>
    <mergeCell ref="IW17:IX17"/>
    <mergeCell ref="IY17:IZ17"/>
    <mergeCell ref="JA17:JB17"/>
    <mergeCell ref="JC17:JD17"/>
    <mergeCell ref="IT42:IV42"/>
    <mergeCell ref="IX42:IZ42"/>
    <mergeCell ref="JB42:JD42"/>
    <mergeCell ref="JE30:JE31"/>
    <mergeCell ref="JF30:JF31"/>
    <mergeCell ref="JG30:JH30"/>
    <mergeCell ref="JI30:JJ30"/>
    <mergeCell ref="JK30:JL30"/>
    <mergeCell ref="JM30:JN30"/>
    <mergeCell ref="JO30:JP30"/>
    <mergeCell ref="JG31:JH31"/>
    <mergeCell ref="JI31:JJ31"/>
    <mergeCell ref="JK31:JL31"/>
    <mergeCell ref="JM31:JN31"/>
    <mergeCell ref="JO31:JP31"/>
    <mergeCell ref="JE28:JE29"/>
    <mergeCell ref="JF28:JF29"/>
    <mergeCell ref="IT43:IV43"/>
    <mergeCell ref="IX43:IZ43"/>
    <mergeCell ref="JB43:JD43"/>
    <mergeCell ref="IH42:IJ42"/>
    <mergeCell ref="IL42:IN42"/>
    <mergeCell ref="IP42:IR42"/>
    <mergeCell ref="IH43:IJ43"/>
    <mergeCell ref="IL43:IN43"/>
    <mergeCell ref="IP43:IR43"/>
    <mergeCell ref="IS1:JD1"/>
    <mergeCell ref="IS2:JD2"/>
    <mergeCell ref="IS8:JD8"/>
    <mergeCell ref="IS10:IT10"/>
    <mergeCell ref="JA10:JB10"/>
    <mergeCell ref="JC10:JD10"/>
    <mergeCell ref="IS11:IT11"/>
    <mergeCell ref="IU11:IX11"/>
    <mergeCell ref="JA11:JB11"/>
    <mergeCell ref="JC11:JD11"/>
    <mergeCell ref="IS13:IS14"/>
    <mergeCell ref="IT13:IT14"/>
    <mergeCell ref="IU13:IV14"/>
    <mergeCell ref="IW13:IX14"/>
    <mergeCell ref="IY13:IZ14"/>
    <mergeCell ref="JA13:JB14"/>
    <mergeCell ref="JC13:JD14"/>
    <mergeCell ref="IU15:JD15"/>
    <mergeCell ref="IG1:IR1"/>
    <mergeCell ref="IG2:IR2"/>
    <mergeCell ref="IG8:IR8"/>
    <mergeCell ref="IG10:IH10"/>
    <mergeCell ref="IO10:IP10"/>
    <mergeCell ref="IG13:IG14"/>
    <mergeCell ref="IH13:IH14"/>
    <mergeCell ref="II13:IJ14"/>
    <mergeCell ref="IK13:IL14"/>
    <mergeCell ref="IM13:IN14"/>
    <mergeCell ref="IO13:IP14"/>
    <mergeCell ref="IQ13:IR14"/>
    <mergeCell ref="II15:IR15"/>
    <mergeCell ref="IG16:IG17"/>
    <mergeCell ref="IH16:IH17"/>
    <mergeCell ref="II16:IJ16"/>
    <mergeCell ref="IK16:IL16"/>
    <mergeCell ref="IM16:IN16"/>
    <mergeCell ref="IO16:IP16"/>
    <mergeCell ref="IQ16:IR16"/>
    <mergeCell ref="II17:IJ17"/>
    <mergeCell ref="IK17:IL17"/>
    <mergeCell ref="IM17:IN17"/>
    <mergeCell ref="IO17:IP17"/>
    <mergeCell ref="IQ17:IR17"/>
    <mergeCell ref="IQ10:IR10"/>
    <mergeCell ref="IG11:IH11"/>
    <mergeCell ref="II11:IL11"/>
    <mergeCell ref="IO11:IP11"/>
    <mergeCell ref="IQ11:IR11"/>
    <mergeCell ref="HW17:HX17"/>
    <mergeCell ref="HY17:HZ17"/>
    <mergeCell ref="IA17:IB17"/>
    <mergeCell ref="IC17:ID17"/>
    <mergeCell ref="IE17:IF17"/>
    <mergeCell ref="HV42:HX42"/>
    <mergeCell ref="HZ42:IB42"/>
    <mergeCell ref="ID42:IF42"/>
    <mergeCell ref="HV43:HX43"/>
    <mergeCell ref="HZ43:IB43"/>
    <mergeCell ref="ID43:IF43"/>
    <mergeCell ref="HJ42:HL42"/>
    <mergeCell ref="HN42:HP42"/>
    <mergeCell ref="HR42:HT42"/>
    <mergeCell ref="HJ43:HL43"/>
    <mergeCell ref="HN43:HP43"/>
    <mergeCell ref="HR43:HT43"/>
    <mergeCell ref="HW15:IF15"/>
    <mergeCell ref="IK26:IL26"/>
    <mergeCell ref="IM26:IN26"/>
    <mergeCell ref="IO26:IP26"/>
    <mergeCell ref="IQ26:IR26"/>
    <mergeCell ref="II27:IJ27"/>
    <mergeCell ref="IK27:IL27"/>
    <mergeCell ref="IM27:IN27"/>
    <mergeCell ref="IO27:IP27"/>
    <mergeCell ref="IQ27:IR27"/>
    <mergeCell ref="HU1:IF1"/>
    <mergeCell ref="HU2:IF2"/>
    <mergeCell ref="HU8:IF8"/>
    <mergeCell ref="HU10:HV10"/>
    <mergeCell ref="IC10:ID10"/>
    <mergeCell ref="IE10:IF10"/>
    <mergeCell ref="HU11:HV11"/>
    <mergeCell ref="HW11:HZ11"/>
    <mergeCell ref="IC11:ID11"/>
    <mergeCell ref="IE11:IF11"/>
    <mergeCell ref="HU13:HU14"/>
    <mergeCell ref="HV13:HV14"/>
    <mergeCell ref="HW13:HX14"/>
    <mergeCell ref="HY13:HZ14"/>
    <mergeCell ref="IA13:IB14"/>
    <mergeCell ref="IC13:ID14"/>
    <mergeCell ref="IE13:IF14"/>
    <mergeCell ref="HU3:IF3"/>
    <mergeCell ref="HU4:IF4"/>
    <mergeCell ref="HU5:IF5"/>
    <mergeCell ref="HU7:IF7"/>
    <mergeCell ref="HU12:HV12"/>
    <mergeCell ref="HI30:HI31"/>
    <mergeCell ref="HJ30:HJ31"/>
    <mergeCell ref="HK30:HL30"/>
    <mergeCell ref="HM30:HN30"/>
    <mergeCell ref="HO30:HP30"/>
    <mergeCell ref="HQ30:HR30"/>
    <mergeCell ref="HS30:HT30"/>
    <mergeCell ref="HK31:HL31"/>
    <mergeCell ref="HM31:HN31"/>
    <mergeCell ref="HO31:HP31"/>
    <mergeCell ref="HQ31:HR31"/>
    <mergeCell ref="HS31:HT31"/>
    <mergeCell ref="HI28:HI29"/>
    <mergeCell ref="HJ28:HJ29"/>
    <mergeCell ref="HI13:HI14"/>
    <mergeCell ref="HJ13:HJ14"/>
    <mergeCell ref="HK13:HL14"/>
    <mergeCell ref="HM13:HN14"/>
    <mergeCell ref="HO13:HP14"/>
    <mergeCell ref="HQ13:HR14"/>
    <mergeCell ref="HS13:HT14"/>
    <mergeCell ref="HK15:HT15"/>
    <mergeCell ref="HI16:HI17"/>
    <mergeCell ref="HJ16:HJ17"/>
    <mergeCell ref="HK16:HL16"/>
    <mergeCell ref="HM16:HN16"/>
    <mergeCell ref="HO16:HP16"/>
    <mergeCell ref="HQ16:HR16"/>
    <mergeCell ref="HS16:HT16"/>
    <mergeCell ref="HK17:HL17"/>
    <mergeCell ref="HM17:HN17"/>
    <mergeCell ref="HO17:HP17"/>
    <mergeCell ref="GK1:GV1"/>
    <mergeCell ref="GK2:GV2"/>
    <mergeCell ref="GK8:GV8"/>
    <mergeCell ref="GK10:GL10"/>
    <mergeCell ref="GS10:GT10"/>
    <mergeCell ref="HI1:HT1"/>
    <mergeCell ref="HI2:HT2"/>
    <mergeCell ref="HI8:HT8"/>
    <mergeCell ref="HI10:HJ10"/>
    <mergeCell ref="HQ10:HR10"/>
    <mergeCell ref="HS10:HT10"/>
    <mergeCell ref="HI11:HJ11"/>
    <mergeCell ref="HK11:HN11"/>
    <mergeCell ref="HQ11:HR11"/>
    <mergeCell ref="HS11:HT11"/>
    <mergeCell ref="GY17:GZ17"/>
    <mergeCell ref="HA17:HB17"/>
    <mergeCell ref="HC17:HD17"/>
    <mergeCell ref="HE17:HF17"/>
    <mergeCell ref="HG17:HH17"/>
    <mergeCell ref="HQ17:HR17"/>
    <mergeCell ref="HS17:HT17"/>
    <mergeCell ref="GW1:HH1"/>
    <mergeCell ref="GW2:HH2"/>
    <mergeCell ref="GW8:HH8"/>
    <mergeCell ref="GW10:GX10"/>
    <mergeCell ref="HE10:HF10"/>
    <mergeCell ref="HG10:HH10"/>
    <mergeCell ref="GW11:GX11"/>
    <mergeCell ref="GY11:HB11"/>
    <mergeCell ref="HE11:HF11"/>
    <mergeCell ref="HG11:HH11"/>
    <mergeCell ref="GW13:GW14"/>
    <mergeCell ref="GX13:GX14"/>
    <mergeCell ref="GY13:GZ14"/>
    <mergeCell ref="HA13:HB14"/>
    <mergeCell ref="HC13:HD14"/>
    <mergeCell ref="HE13:HF14"/>
    <mergeCell ref="HG13:HH14"/>
    <mergeCell ref="GM16:GN16"/>
    <mergeCell ref="GO16:GP16"/>
    <mergeCell ref="GQ16:GR16"/>
    <mergeCell ref="GS16:GT16"/>
    <mergeCell ref="GU16:GV16"/>
    <mergeCell ref="GM17:GN17"/>
    <mergeCell ref="GO17:GP17"/>
    <mergeCell ref="GQ17:GR17"/>
    <mergeCell ref="GS17:GT17"/>
    <mergeCell ref="GU17:GV17"/>
    <mergeCell ref="GY15:HH15"/>
    <mergeCell ref="GX43:GZ43"/>
    <mergeCell ref="HB43:HD43"/>
    <mergeCell ref="HF43:HH43"/>
    <mergeCell ref="GL42:GN42"/>
    <mergeCell ref="GP42:GR42"/>
    <mergeCell ref="GT42:GV42"/>
    <mergeCell ref="GL43:GN43"/>
    <mergeCell ref="GP43:GR43"/>
    <mergeCell ref="GT43:GV43"/>
    <mergeCell ref="GX42:GZ42"/>
    <mergeCell ref="HB42:HD42"/>
    <mergeCell ref="HF42:HH42"/>
    <mergeCell ref="FZ42:GB42"/>
    <mergeCell ref="GD42:GF42"/>
    <mergeCell ref="GH42:GJ42"/>
    <mergeCell ref="FZ43:GB43"/>
    <mergeCell ref="GD43:GF43"/>
    <mergeCell ref="GH43:GJ43"/>
    <mergeCell ref="FN42:FP42"/>
    <mergeCell ref="FR42:FT42"/>
    <mergeCell ref="FV42:FX42"/>
    <mergeCell ref="FN43:FP43"/>
    <mergeCell ref="FR43:FT43"/>
    <mergeCell ref="FV43:FX43"/>
    <mergeCell ref="GA15:GJ15"/>
    <mergeCell ref="FQ13:FR14"/>
    <mergeCell ref="FS13:FT14"/>
    <mergeCell ref="FU13:FV14"/>
    <mergeCell ref="FW13:FX14"/>
    <mergeCell ref="FO15:FX15"/>
    <mergeCell ref="FY1:GJ1"/>
    <mergeCell ref="FY2:GJ2"/>
    <mergeCell ref="FY8:GJ8"/>
    <mergeCell ref="FY10:FZ10"/>
    <mergeCell ref="GG10:GH10"/>
    <mergeCell ref="GI10:GJ10"/>
    <mergeCell ref="FY11:FZ11"/>
    <mergeCell ref="GA11:GD11"/>
    <mergeCell ref="GG11:GH11"/>
    <mergeCell ref="GI11:GJ11"/>
    <mergeCell ref="FY13:FY14"/>
    <mergeCell ref="FZ13:FZ14"/>
    <mergeCell ref="GA13:GB14"/>
    <mergeCell ref="GC13:GD14"/>
    <mergeCell ref="GE13:GF14"/>
    <mergeCell ref="GG13:GH14"/>
    <mergeCell ref="GI13:GJ14"/>
    <mergeCell ref="FY3:GJ3"/>
    <mergeCell ref="FY4:GJ4"/>
    <mergeCell ref="FY5:GJ5"/>
    <mergeCell ref="FY7:GJ7"/>
    <mergeCell ref="FY12:FZ12"/>
    <mergeCell ref="FM16:FM17"/>
    <mergeCell ref="FN16:FN17"/>
    <mergeCell ref="FO16:FP16"/>
    <mergeCell ref="FQ16:FR16"/>
    <mergeCell ref="FS16:FT16"/>
    <mergeCell ref="FU16:FV16"/>
    <mergeCell ref="FW16:FX16"/>
    <mergeCell ref="FO17:FP17"/>
    <mergeCell ref="FQ17:FR17"/>
    <mergeCell ref="FS17:FT17"/>
    <mergeCell ref="FU17:FV17"/>
    <mergeCell ref="FW17:FX17"/>
    <mergeCell ref="FM1:FX1"/>
    <mergeCell ref="FM2:FX2"/>
    <mergeCell ref="FM3:FX3"/>
    <mergeCell ref="FM4:FX4"/>
    <mergeCell ref="FM5:FX5"/>
    <mergeCell ref="FM7:FX7"/>
    <mergeCell ref="FM8:FX8"/>
    <mergeCell ref="FM10:FN10"/>
    <mergeCell ref="FU10:FV10"/>
    <mergeCell ref="FW10:FX10"/>
    <mergeCell ref="FM11:FN11"/>
    <mergeCell ref="FO11:FR11"/>
    <mergeCell ref="FU11:FV11"/>
    <mergeCell ref="FW11:FX11"/>
    <mergeCell ref="FM12:FN12"/>
    <mergeCell ref="FM13:FM14"/>
    <mergeCell ref="FN13:FN14"/>
    <mergeCell ref="FO13:FP14"/>
    <mergeCell ref="PG29:PH29"/>
    <mergeCell ref="PI29:PJ29"/>
    <mergeCell ref="PK29:PL29"/>
    <mergeCell ref="PM29:PN29"/>
    <mergeCell ref="PO29:PP29"/>
    <mergeCell ref="PE26:PE27"/>
    <mergeCell ref="PF26:PF27"/>
    <mergeCell ref="PG26:PH26"/>
    <mergeCell ref="PI26:PJ26"/>
    <mergeCell ref="PK26:PL26"/>
    <mergeCell ref="PM26:PN26"/>
    <mergeCell ref="PO26:PP26"/>
    <mergeCell ref="PG27:PH27"/>
    <mergeCell ref="PI27:PJ27"/>
    <mergeCell ref="PK27:PL27"/>
    <mergeCell ref="PM27:PN27"/>
    <mergeCell ref="PO27:PP27"/>
    <mergeCell ref="PE24:PE25"/>
    <mergeCell ref="PF24:PF25"/>
    <mergeCell ref="PG24:PH24"/>
    <mergeCell ref="PI24:PJ24"/>
    <mergeCell ref="PK24:PL24"/>
    <mergeCell ref="PM24:PN24"/>
    <mergeCell ref="PO24:PP24"/>
    <mergeCell ref="PG25:PH25"/>
    <mergeCell ref="PI25:PJ25"/>
    <mergeCell ref="PK25:PL25"/>
    <mergeCell ref="PM25:PN25"/>
    <mergeCell ref="PO25:PP25"/>
    <mergeCell ref="PE22:PE23"/>
    <mergeCell ref="PF22:PF23"/>
    <mergeCell ref="PG22:PH22"/>
    <mergeCell ref="PI22:PJ22"/>
    <mergeCell ref="PK22:PL22"/>
    <mergeCell ref="PM22:PN22"/>
    <mergeCell ref="PO22:PP22"/>
    <mergeCell ref="PG23:PH23"/>
    <mergeCell ref="PI23:PJ23"/>
    <mergeCell ref="PK23:PL23"/>
    <mergeCell ref="PM23:PN23"/>
    <mergeCell ref="PO23:PP23"/>
    <mergeCell ref="PE20:PE21"/>
    <mergeCell ref="PF20:PF21"/>
    <mergeCell ref="PG20:PH20"/>
    <mergeCell ref="PI20:PJ20"/>
    <mergeCell ref="PK20:PL20"/>
    <mergeCell ref="PM20:PN20"/>
    <mergeCell ref="PO20:PP20"/>
    <mergeCell ref="PG21:PH21"/>
    <mergeCell ref="PI21:PJ21"/>
    <mergeCell ref="PK21:PL21"/>
    <mergeCell ref="PM21:PN21"/>
    <mergeCell ref="PO21:PP21"/>
    <mergeCell ref="PE18:PE19"/>
    <mergeCell ref="PF18:PF19"/>
    <mergeCell ref="PG18:PH18"/>
    <mergeCell ref="PI18:PJ18"/>
    <mergeCell ref="PK18:PL18"/>
    <mergeCell ref="PM18:PN18"/>
    <mergeCell ref="PO18:PP18"/>
    <mergeCell ref="PG19:PH19"/>
    <mergeCell ref="PI19:PJ19"/>
    <mergeCell ref="PK19:PL19"/>
    <mergeCell ref="PM19:PN19"/>
    <mergeCell ref="PO19:PP19"/>
    <mergeCell ref="OU28:OV28"/>
    <mergeCell ref="OW28:OX28"/>
    <mergeCell ref="OY28:OZ28"/>
    <mergeCell ref="PA28:PB28"/>
    <mergeCell ref="PC28:PD28"/>
    <mergeCell ref="OU29:OV29"/>
    <mergeCell ref="OW29:OX29"/>
    <mergeCell ref="OY29:OZ29"/>
    <mergeCell ref="PA29:PB29"/>
    <mergeCell ref="PC29:PD29"/>
    <mergeCell ref="OS26:OS27"/>
    <mergeCell ref="OT26:OT27"/>
    <mergeCell ref="OU26:OV26"/>
    <mergeCell ref="OW26:OX26"/>
    <mergeCell ref="OY26:OZ26"/>
    <mergeCell ref="PA26:PB26"/>
    <mergeCell ref="PC26:PD26"/>
    <mergeCell ref="OU27:OV27"/>
    <mergeCell ref="OW27:OX27"/>
    <mergeCell ref="OY27:OZ27"/>
    <mergeCell ref="PA27:PB27"/>
    <mergeCell ref="PC27:PD27"/>
    <mergeCell ref="OS24:OS25"/>
    <mergeCell ref="OT24:OT25"/>
    <mergeCell ref="OU24:OV24"/>
    <mergeCell ref="OW24:OX24"/>
    <mergeCell ref="OY24:OZ24"/>
    <mergeCell ref="PA24:PB24"/>
    <mergeCell ref="PC24:PD24"/>
    <mergeCell ref="OU25:OV25"/>
    <mergeCell ref="OW25:OX25"/>
    <mergeCell ref="OY25:OZ25"/>
    <mergeCell ref="PA25:PB25"/>
    <mergeCell ref="PC25:PD25"/>
    <mergeCell ref="OS22:OS23"/>
    <mergeCell ref="OT22:OT23"/>
    <mergeCell ref="OU22:OV22"/>
    <mergeCell ref="OW22:OX22"/>
    <mergeCell ref="OY22:OZ22"/>
    <mergeCell ref="PA22:PB22"/>
    <mergeCell ref="PC22:PD22"/>
    <mergeCell ref="OU23:OV23"/>
    <mergeCell ref="OW23:OX23"/>
    <mergeCell ref="OY23:OZ23"/>
    <mergeCell ref="PA23:PB23"/>
    <mergeCell ref="PC23:PD23"/>
    <mergeCell ref="OS20:OS21"/>
    <mergeCell ref="OT20:OT21"/>
    <mergeCell ref="OU20:OV20"/>
    <mergeCell ref="OW20:OX20"/>
    <mergeCell ref="OY20:OZ20"/>
    <mergeCell ref="PA20:PB20"/>
    <mergeCell ref="PC20:PD20"/>
    <mergeCell ref="OU21:OV21"/>
    <mergeCell ref="OW21:OX21"/>
    <mergeCell ref="OY21:OZ21"/>
    <mergeCell ref="PA21:PB21"/>
    <mergeCell ref="PC21:PD21"/>
    <mergeCell ref="OS18:OS19"/>
    <mergeCell ref="OT18:OT19"/>
    <mergeCell ref="OU18:OV18"/>
    <mergeCell ref="OW18:OX18"/>
    <mergeCell ref="OY18:OZ18"/>
    <mergeCell ref="PA18:PB18"/>
    <mergeCell ref="PC18:PD18"/>
    <mergeCell ref="OU19:OV19"/>
    <mergeCell ref="OW19:OX19"/>
    <mergeCell ref="OY19:OZ19"/>
    <mergeCell ref="PA19:PB19"/>
    <mergeCell ref="PC19:PD19"/>
    <mergeCell ref="OS3:PD3"/>
    <mergeCell ref="OS4:PD4"/>
    <mergeCell ref="OS5:PD5"/>
    <mergeCell ref="OS7:PD7"/>
    <mergeCell ref="OS12:OT12"/>
    <mergeCell ref="OG30:OG31"/>
    <mergeCell ref="OH30:OH31"/>
    <mergeCell ref="OI30:OJ30"/>
    <mergeCell ref="OK30:OL30"/>
    <mergeCell ref="OM30:ON30"/>
    <mergeCell ref="OO30:OP30"/>
    <mergeCell ref="OQ30:OR30"/>
    <mergeCell ref="OI31:OJ31"/>
    <mergeCell ref="OK31:OL31"/>
    <mergeCell ref="OM31:ON31"/>
    <mergeCell ref="OO31:OP31"/>
    <mergeCell ref="OQ31:OR31"/>
    <mergeCell ref="OG28:OG29"/>
    <mergeCell ref="OH28:OH29"/>
    <mergeCell ref="OI28:OJ28"/>
    <mergeCell ref="OK28:OL28"/>
    <mergeCell ref="OM28:ON28"/>
    <mergeCell ref="OO28:OP28"/>
    <mergeCell ref="OQ28:OR28"/>
    <mergeCell ref="OI29:OJ29"/>
    <mergeCell ref="OK29:OL29"/>
    <mergeCell ref="OM29:ON29"/>
    <mergeCell ref="OO29:OP29"/>
    <mergeCell ref="OQ29:OR29"/>
    <mergeCell ref="OG26:OG27"/>
    <mergeCell ref="OH26:OH27"/>
    <mergeCell ref="OI26:OJ26"/>
    <mergeCell ref="OK26:OL26"/>
    <mergeCell ref="OM26:ON26"/>
    <mergeCell ref="OO26:OP26"/>
    <mergeCell ref="OQ26:OR26"/>
    <mergeCell ref="OI27:OJ27"/>
    <mergeCell ref="OK27:OL27"/>
    <mergeCell ref="OM27:ON27"/>
    <mergeCell ref="OO27:OP27"/>
    <mergeCell ref="OQ27:OR27"/>
    <mergeCell ref="OG24:OG25"/>
    <mergeCell ref="OH24:OH25"/>
    <mergeCell ref="OI24:OJ24"/>
    <mergeCell ref="OK24:OL24"/>
    <mergeCell ref="OM24:ON24"/>
    <mergeCell ref="OO24:OP24"/>
    <mergeCell ref="OQ24:OR24"/>
    <mergeCell ref="OI25:OJ25"/>
    <mergeCell ref="OK25:OL25"/>
    <mergeCell ref="OM25:ON25"/>
    <mergeCell ref="OO25:OP25"/>
    <mergeCell ref="OQ25:OR25"/>
    <mergeCell ref="OG22:OG23"/>
    <mergeCell ref="OH22:OH23"/>
    <mergeCell ref="OI22:OJ22"/>
    <mergeCell ref="OK22:OL22"/>
    <mergeCell ref="OM22:ON22"/>
    <mergeCell ref="OO22:OP22"/>
    <mergeCell ref="OQ22:OR22"/>
    <mergeCell ref="OI23:OJ23"/>
    <mergeCell ref="OK23:OL23"/>
    <mergeCell ref="OM23:ON23"/>
    <mergeCell ref="OO23:OP23"/>
    <mergeCell ref="OQ23:OR23"/>
    <mergeCell ref="OG20:OG21"/>
    <mergeCell ref="OH20:OH21"/>
    <mergeCell ref="OI20:OJ20"/>
    <mergeCell ref="OK20:OL20"/>
    <mergeCell ref="OM20:ON20"/>
    <mergeCell ref="OO20:OP20"/>
    <mergeCell ref="OQ20:OR20"/>
    <mergeCell ref="OI21:OJ21"/>
    <mergeCell ref="OK21:OL21"/>
    <mergeCell ref="OM21:ON21"/>
    <mergeCell ref="OO21:OP21"/>
    <mergeCell ref="OQ21:OR21"/>
    <mergeCell ref="OG18:OG19"/>
    <mergeCell ref="OH18:OH19"/>
    <mergeCell ref="OI18:OJ18"/>
    <mergeCell ref="OK18:OL18"/>
    <mergeCell ref="OM18:ON18"/>
    <mergeCell ref="OO18:OP18"/>
    <mergeCell ref="OQ18:OR18"/>
    <mergeCell ref="OI19:OJ19"/>
    <mergeCell ref="OK19:OL19"/>
    <mergeCell ref="OM19:ON19"/>
    <mergeCell ref="OO19:OP19"/>
    <mergeCell ref="OQ19:OR19"/>
    <mergeCell ref="OG16:OG17"/>
    <mergeCell ref="OH16:OH17"/>
    <mergeCell ref="OI16:OJ16"/>
    <mergeCell ref="OK16:OL16"/>
    <mergeCell ref="OM16:ON16"/>
    <mergeCell ref="OO16:OP16"/>
    <mergeCell ref="OQ16:OR16"/>
    <mergeCell ref="OG3:OR3"/>
    <mergeCell ref="OG4:OR4"/>
    <mergeCell ref="OG5:OR5"/>
    <mergeCell ref="OG7:OR7"/>
    <mergeCell ref="OG12:OH12"/>
    <mergeCell ref="NU30:NU31"/>
    <mergeCell ref="NV30:NV31"/>
    <mergeCell ref="NW30:NX30"/>
    <mergeCell ref="NY30:NZ30"/>
    <mergeCell ref="OA30:OB30"/>
    <mergeCell ref="OC30:OD30"/>
    <mergeCell ref="OE30:OF30"/>
    <mergeCell ref="NW31:NX31"/>
    <mergeCell ref="NY31:NZ31"/>
    <mergeCell ref="OA31:OB31"/>
    <mergeCell ref="OC31:OD31"/>
    <mergeCell ref="OE31:OF31"/>
    <mergeCell ref="NU28:NU29"/>
    <mergeCell ref="NV28:NV29"/>
    <mergeCell ref="NW28:NX28"/>
    <mergeCell ref="NY28:NZ28"/>
    <mergeCell ref="OA28:OB28"/>
    <mergeCell ref="OC28:OD28"/>
    <mergeCell ref="OE28:OF28"/>
    <mergeCell ref="NW29:NX29"/>
    <mergeCell ref="NY29:NZ29"/>
    <mergeCell ref="OA29:OB29"/>
    <mergeCell ref="OC29:OD29"/>
    <mergeCell ref="OE29:OF29"/>
    <mergeCell ref="NU26:NU27"/>
    <mergeCell ref="NV26:NV27"/>
    <mergeCell ref="NW26:NX26"/>
    <mergeCell ref="NU24:NU25"/>
    <mergeCell ref="NV24:NV25"/>
    <mergeCell ref="NW24:NX24"/>
    <mergeCell ref="NY24:NZ24"/>
    <mergeCell ref="OA24:OB24"/>
    <mergeCell ref="OC24:OD24"/>
    <mergeCell ref="OE24:OF24"/>
    <mergeCell ref="NW25:NX25"/>
    <mergeCell ref="NY25:NZ25"/>
    <mergeCell ref="OA25:OB25"/>
    <mergeCell ref="OC25:OD25"/>
    <mergeCell ref="OE25:OF25"/>
    <mergeCell ref="NU22:NU23"/>
    <mergeCell ref="NV22:NV23"/>
    <mergeCell ref="NW22:NX22"/>
    <mergeCell ref="NY22:NZ22"/>
    <mergeCell ref="OA22:OB22"/>
    <mergeCell ref="OC22:OD22"/>
    <mergeCell ref="OE22:OF22"/>
    <mergeCell ref="NW23:NX23"/>
    <mergeCell ref="NY23:NZ23"/>
    <mergeCell ref="OA23:OB23"/>
    <mergeCell ref="OC23:OD23"/>
    <mergeCell ref="OE23:OF23"/>
    <mergeCell ref="NU20:NU21"/>
    <mergeCell ref="NV20:NV21"/>
    <mergeCell ref="NW20:NX20"/>
    <mergeCell ref="NY20:NZ20"/>
    <mergeCell ref="OA20:OB20"/>
    <mergeCell ref="OC20:OD20"/>
    <mergeCell ref="OE20:OF20"/>
    <mergeCell ref="NW21:NX21"/>
    <mergeCell ref="NY21:NZ21"/>
    <mergeCell ref="OA21:OB21"/>
    <mergeCell ref="OC21:OD21"/>
    <mergeCell ref="OE21:OF21"/>
    <mergeCell ref="NU18:NU19"/>
    <mergeCell ref="NV18:NV19"/>
    <mergeCell ref="NW18:NX18"/>
    <mergeCell ref="NY18:NZ18"/>
    <mergeCell ref="OA18:OB18"/>
    <mergeCell ref="OC18:OD18"/>
    <mergeCell ref="OE18:OF18"/>
    <mergeCell ref="NW19:NX19"/>
    <mergeCell ref="NY19:NZ19"/>
    <mergeCell ref="OA19:OB19"/>
    <mergeCell ref="OC19:OD19"/>
    <mergeCell ref="OE19:OF19"/>
    <mergeCell ref="NU3:OF3"/>
    <mergeCell ref="NU4:OF4"/>
    <mergeCell ref="NU5:OF5"/>
    <mergeCell ref="NU7:OF7"/>
    <mergeCell ref="NU12:NV12"/>
    <mergeCell ref="NI30:NI31"/>
    <mergeCell ref="NJ30:NJ31"/>
    <mergeCell ref="NK30:NL30"/>
    <mergeCell ref="NM30:NN30"/>
    <mergeCell ref="NO30:NP30"/>
    <mergeCell ref="NQ30:NR30"/>
    <mergeCell ref="NS30:NT30"/>
    <mergeCell ref="NK31:NL31"/>
    <mergeCell ref="NM31:NN31"/>
    <mergeCell ref="NO31:NP31"/>
    <mergeCell ref="NQ31:NR31"/>
    <mergeCell ref="NS31:NT31"/>
    <mergeCell ref="NI28:NI29"/>
    <mergeCell ref="NJ28:NJ29"/>
    <mergeCell ref="NK28:NL28"/>
    <mergeCell ref="NM28:NN28"/>
    <mergeCell ref="NO28:NP28"/>
    <mergeCell ref="NQ28:NR28"/>
    <mergeCell ref="NS28:NT28"/>
    <mergeCell ref="NK29:NL29"/>
    <mergeCell ref="NM29:NN29"/>
    <mergeCell ref="NO29:NP29"/>
    <mergeCell ref="NQ29:NR29"/>
    <mergeCell ref="NS29:NT29"/>
    <mergeCell ref="NI26:NI27"/>
    <mergeCell ref="NJ26:NJ27"/>
    <mergeCell ref="NK26:NL26"/>
    <mergeCell ref="NM26:NN26"/>
    <mergeCell ref="NO26:NP26"/>
    <mergeCell ref="NQ26:NR26"/>
    <mergeCell ref="NS26:NT26"/>
    <mergeCell ref="NK27:NL27"/>
    <mergeCell ref="NM27:NN27"/>
    <mergeCell ref="NO27:NP27"/>
    <mergeCell ref="NQ27:NR27"/>
    <mergeCell ref="NS27:NT27"/>
    <mergeCell ref="NI24:NI25"/>
    <mergeCell ref="NJ24:NJ25"/>
    <mergeCell ref="NK24:NL24"/>
    <mergeCell ref="NM24:NN24"/>
    <mergeCell ref="NO24:NP24"/>
    <mergeCell ref="NQ24:NR24"/>
    <mergeCell ref="NS24:NT24"/>
    <mergeCell ref="NK25:NL25"/>
    <mergeCell ref="NM25:NN25"/>
    <mergeCell ref="NO25:NP25"/>
    <mergeCell ref="NQ25:NR25"/>
    <mergeCell ref="NS25:NT25"/>
    <mergeCell ref="NI22:NI23"/>
    <mergeCell ref="NJ22:NJ23"/>
    <mergeCell ref="NK22:NL22"/>
    <mergeCell ref="NM22:NN22"/>
    <mergeCell ref="NO22:NP22"/>
    <mergeCell ref="NQ22:NR22"/>
    <mergeCell ref="NS22:NT22"/>
    <mergeCell ref="NK23:NL23"/>
    <mergeCell ref="NM23:NN23"/>
    <mergeCell ref="NO23:NP23"/>
    <mergeCell ref="NQ23:NR23"/>
    <mergeCell ref="NS23:NT23"/>
    <mergeCell ref="NI20:NI21"/>
    <mergeCell ref="NJ20:NJ21"/>
    <mergeCell ref="NK20:NL20"/>
    <mergeCell ref="NM20:NN20"/>
    <mergeCell ref="NO20:NP20"/>
    <mergeCell ref="NQ20:NR20"/>
    <mergeCell ref="NS20:NT20"/>
    <mergeCell ref="NK21:NL21"/>
    <mergeCell ref="NM21:NN21"/>
    <mergeCell ref="NO21:NP21"/>
    <mergeCell ref="NQ21:NR21"/>
    <mergeCell ref="NS21:NT21"/>
    <mergeCell ref="NI18:NI19"/>
    <mergeCell ref="NJ18:NJ19"/>
    <mergeCell ref="NK18:NL18"/>
    <mergeCell ref="NM18:NN18"/>
    <mergeCell ref="NO18:NP18"/>
    <mergeCell ref="NQ18:NR18"/>
    <mergeCell ref="NS18:NT18"/>
    <mergeCell ref="NK19:NL19"/>
    <mergeCell ref="NM19:NN19"/>
    <mergeCell ref="NO19:NP19"/>
    <mergeCell ref="NQ19:NR19"/>
    <mergeCell ref="NS19:NT19"/>
    <mergeCell ref="NI16:NI17"/>
    <mergeCell ref="NJ16:NJ17"/>
    <mergeCell ref="NK16:NL16"/>
    <mergeCell ref="NM16:NN16"/>
    <mergeCell ref="NO16:NP16"/>
    <mergeCell ref="NQ16:NR16"/>
    <mergeCell ref="NS16:NT16"/>
    <mergeCell ref="MY28:MZ28"/>
    <mergeCell ref="NA28:NB28"/>
    <mergeCell ref="NC28:ND28"/>
    <mergeCell ref="NE28:NF28"/>
    <mergeCell ref="NG28:NH28"/>
    <mergeCell ref="MY29:MZ29"/>
    <mergeCell ref="NA29:NB29"/>
    <mergeCell ref="NC29:ND29"/>
    <mergeCell ref="NE29:NF29"/>
    <mergeCell ref="NG29:NH29"/>
    <mergeCell ref="MW26:MW27"/>
    <mergeCell ref="MX26:MX27"/>
    <mergeCell ref="MY26:MZ26"/>
    <mergeCell ref="NA26:NB26"/>
    <mergeCell ref="NC26:ND26"/>
    <mergeCell ref="NE26:NF26"/>
    <mergeCell ref="NG26:NH26"/>
    <mergeCell ref="MY27:MZ27"/>
    <mergeCell ref="NA27:NB27"/>
    <mergeCell ref="NC27:ND27"/>
    <mergeCell ref="NE27:NF27"/>
    <mergeCell ref="NG27:NH27"/>
    <mergeCell ref="MW24:MW25"/>
    <mergeCell ref="MX24:MX25"/>
    <mergeCell ref="MY24:MZ24"/>
    <mergeCell ref="NA24:NB24"/>
    <mergeCell ref="NC24:ND24"/>
    <mergeCell ref="NE24:NF24"/>
    <mergeCell ref="NG24:NH24"/>
    <mergeCell ref="MY25:MZ25"/>
    <mergeCell ref="NA25:NB25"/>
    <mergeCell ref="NC25:ND25"/>
    <mergeCell ref="NE25:NF25"/>
    <mergeCell ref="NG25:NH25"/>
    <mergeCell ref="MW22:MW23"/>
    <mergeCell ref="MX22:MX23"/>
    <mergeCell ref="MY22:MZ22"/>
    <mergeCell ref="NA22:NB22"/>
    <mergeCell ref="NC22:ND22"/>
    <mergeCell ref="NE22:NF22"/>
    <mergeCell ref="NG22:NH22"/>
    <mergeCell ref="MY23:MZ23"/>
    <mergeCell ref="NA23:NB23"/>
    <mergeCell ref="NC23:ND23"/>
    <mergeCell ref="NE23:NF23"/>
    <mergeCell ref="NG23:NH23"/>
    <mergeCell ref="MW20:MW21"/>
    <mergeCell ref="MX20:MX21"/>
    <mergeCell ref="MY20:MZ20"/>
    <mergeCell ref="NA20:NB20"/>
    <mergeCell ref="NC20:ND20"/>
    <mergeCell ref="NE20:NF20"/>
    <mergeCell ref="NG20:NH20"/>
    <mergeCell ref="MY21:MZ21"/>
    <mergeCell ref="NA21:NB21"/>
    <mergeCell ref="NC21:ND21"/>
    <mergeCell ref="NE21:NF21"/>
    <mergeCell ref="NG21:NH21"/>
    <mergeCell ref="MW18:MW19"/>
    <mergeCell ref="MX18:MX19"/>
    <mergeCell ref="MY18:MZ18"/>
    <mergeCell ref="NA18:NB18"/>
    <mergeCell ref="NC18:ND18"/>
    <mergeCell ref="NE18:NF18"/>
    <mergeCell ref="NG18:NH18"/>
    <mergeCell ref="MY19:MZ19"/>
    <mergeCell ref="NA19:NB19"/>
    <mergeCell ref="NC19:ND19"/>
    <mergeCell ref="NE19:NF19"/>
    <mergeCell ref="NG19:NH19"/>
    <mergeCell ref="MW3:NH3"/>
    <mergeCell ref="MW4:NH4"/>
    <mergeCell ref="MW5:NH5"/>
    <mergeCell ref="MW7:NH7"/>
    <mergeCell ref="MW12:MX12"/>
    <mergeCell ref="MK30:MK31"/>
    <mergeCell ref="ML30:ML31"/>
    <mergeCell ref="MM30:MN30"/>
    <mergeCell ref="MO30:MP30"/>
    <mergeCell ref="MQ30:MR30"/>
    <mergeCell ref="MS30:MT30"/>
    <mergeCell ref="MU30:MV30"/>
    <mergeCell ref="MM31:MN31"/>
    <mergeCell ref="MO31:MP31"/>
    <mergeCell ref="MQ31:MR31"/>
    <mergeCell ref="MS31:MT31"/>
    <mergeCell ref="MU31:MV31"/>
    <mergeCell ref="MK28:MK29"/>
    <mergeCell ref="ML28:ML29"/>
    <mergeCell ref="MM28:MN28"/>
    <mergeCell ref="MO28:MP28"/>
    <mergeCell ref="MQ28:MR28"/>
    <mergeCell ref="MS28:MT28"/>
    <mergeCell ref="MU28:MV28"/>
    <mergeCell ref="MM29:MN29"/>
    <mergeCell ref="MO29:MP29"/>
    <mergeCell ref="MQ29:MR29"/>
    <mergeCell ref="MS29:MT29"/>
    <mergeCell ref="MU29:MV29"/>
    <mergeCell ref="MK26:MK27"/>
    <mergeCell ref="ML26:ML27"/>
    <mergeCell ref="MM26:MN26"/>
    <mergeCell ref="MO26:MP26"/>
    <mergeCell ref="MQ26:MR26"/>
    <mergeCell ref="MS26:MT26"/>
    <mergeCell ref="MU26:MV26"/>
    <mergeCell ref="MM27:MN27"/>
    <mergeCell ref="MO27:MP27"/>
    <mergeCell ref="MQ27:MR27"/>
    <mergeCell ref="MS27:MT27"/>
    <mergeCell ref="MU27:MV27"/>
    <mergeCell ref="MK24:MK25"/>
    <mergeCell ref="ML24:ML25"/>
    <mergeCell ref="MM24:MN24"/>
    <mergeCell ref="MO24:MP24"/>
    <mergeCell ref="MQ24:MR24"/>
    <mergeCell ref="MS24:MT24"/>
    <mergeCell ref="MU24:MV24"/>
    <mergeCell ref="MM25:MN25"/>
    <mergeCell ref="MO25:MP25"/>
    <mergeCell ref="MQ25:MR25"/>
    <mergeCell ref="MS25:MT25"/>
    <mergeCell ref="MU25:MV25"/>
    <mergeCell ref="MK22:MK23"/>
    <mergeCell ref="ML22:ML23"/>
    <mergeCell ref="MM22:MN22"/>
    <mergeCell ref="MO22:MP22"/>
    <mergeCell ref="MQ22:MR22"/>
    <mergeCell ref="MS22:MT22"/>
    <mergeCell ref="MU22:MV22"/>
    <mergeCell ref="MM23:MN23"/>
    <mergeCell ref="MO23:MP23"/>
    <mergeCell ref="MQ23:MR23"/>
    <mergeCell ref="MS23:MT23"/>
    <mergeCell ref="MU23:MV23"/>
    <mergeCell ref="MK20:MK21"/>
    <mergeCell ref="ML20:ML21"/>
    <mergeCell ref="MM20:MN20"/>
    <mergeCell ref="MO20:MP20"/>
    <mergeCell ref="MQ20:MR20"/>
    <mergeCell ref="MS20:MT20"/>
    <mergeCell ref="MU20:MV20"/>
    <mergeCell ref="MM21:MN21"/>
    <mergeCell ref="MO21:MP21"/>
    <mergeCell ref="MQ21:MR21"/>
    <mergeCell ref="MS21:MT21"/>
    <mergeCell ref="MU21:MV21"/>
    <mergeCell ref="MK18:MK19"/>
    <mergeCell ref="ML18:ML19"/>
    <mergeCell ref="MM18:MN18"/>
    <mergeCell ref="MO18:MP18"/>
    <mergeCell ref="MQ18:MR18"/>
    <mergeCell ref="MS18:MT18"/>
    <mergeCell ref="MU18:MV18"/>
    <mergeCell ref="MM19:MN19"/>
    <mergeCell ref="MO19:MP19"/>
    <mergeCell ref="MQ19:MR19"/>
    <mergeCell ref="MS19:MT19"/>
    <mergeCell ref="MU19:MV19"/>
    <mergeCell ref="MK16:MK17"/>
    <mergeCell ref="ML16:ML17"/>
    <mergeCell ref="MM16:MN16"/>
    <mergeCell ref="MO16:MP16"/>
    <mergeCell ref="MQ16:MR16"/>
    <mergeCell ref="MS16:MT16"/>
    <mergeCell ref="MU16:MV16"/>
    <mergeCell ref="MK3:MV3"/>
    <mergeCell ref="MK4:MV4"/>
    <mergeCell ref="MK5:MV5"/>
    <mergeCell ref="MK7:MV7"/>
    <mergeCell ref="MK12:ML12"/>
    <mergeCell ref="LY30:LY31"/>
    <mergeCell ref="LZ30:LZ31"/>
    <mergeCell ref="MA30:MB30"/>
    <mergeCell ref="MC30:MD30"/>
    <mergeCell ref="ME30:MF30"/>
    <mergeCell ref="MG30:MH30"/>
    <mergeCell ref="MI30:MJ30"/>
    <mergeCell ref="MA31:MB31"/>
    <mergeCell ref="MC31:MD31"/>
    <mergeCell ref="ME31:MF31"/>
    <mergeCell ref="MG31:MH31"/>
    <mergeCell ref="MI31:MJ31"/>
    <mergeCell ref="LY28:LY29"/>
    <mergeCell ref="LZ28:LZ29"/>
    <mergeCell ref="MA28:MB28"/>
    <mergeCell ref="MC28:MD28"/>
    <mergeCell ref="ME28:MF28"/>
    <mergeCell ref="MG28:MH28"/>
    <mergeCell ref="MI28:MJ28"/>
    <mergeCell ref="MA29:MB29"/>
    <mergeCell ref="MC29:MD29"/>
    <mergeCell ref="ME29:MF29"/>
    <mergeCell ref="MG29:MH29"/>
    <mergeCell ref="MI29:MJ29"/>
    <mergeCell ref="LY26:LY27"/>
    <mergeCell ref="LZ26:LZ27"/>
    <mergeCell ref="MA26:MB26"/>
    <mergeCell ref="LY24:LY25"/>
    <mergeCell ref="LZ24:LZ25"/>
    <mergeCell ref="MA24:MB24"/>
    <mergeCell ref="MC24:MD24"/>
    <mergeCell ref="ME24:MF24"/>
    <mergeCell ref="MG24:MH24"/>
    <mergeCell ref="MI24:MJ24"/>
    <mergeCell ref="MA25:MB25"/>
    <mergeCell ref="MC25:MD25"/>
    <mergeCell ref="ME25:MF25"/>
    <mergeCell ref="MG25:MH25"/>
    <mergeCell ref="MI25:MJ25"/>
    <mergeCell ref="LY22:LY23"/>
    <mergeCell ref="LZ22:LZ23"/>
    <mergeCell ref="MA22:MB22"/>
    <mergeCell ref="MC22:MD22"/>
    <mergeCell ref="ME22:MF22"/>
    <mergeCell ref="MG22:MH22"/>
    <mergeCell ref="MI22:MJ22"/>
    <mergeCell ref="MA23:MB23"/>
    <mergeCell ref="MC23:MD23"/>
    <mergeCell ref="ME23:MF23"/>
    <mergeCell ref="MG23:MH23"/>
    <mergeCell ref="MI23:MJ23"/>
    <mergeCell ref="LY20:LY21"/>
    <mergeCell ref="LZ20:LZ21"/>
    <mergeCell ref="MA20:MB20"/>
    <mergeCell ref="MC20:MD20"/>
    <mergeCell ref="ME20:MF20"/>
    <mergeCell ref="MG20:MH20"/>
    <mergeCell ref="MI20:MJ20"/>
    <mergeCell ref="MA21:MB21"/>
    <mergeCell ref="MC21:MD21"/>
    <mergeCell ref="ME21:MF21"/>
    <mergeCell ref="MG21:MH21"/>
    <mergeCell ref="MI21:MJ21"/>
    <mergeCell ref="LY18:LY19"/>
    <mergeCell ref="LZ18:LZ19"/>
    <mergeCell ref="MA18:MB18"/>
    <mergeCell ref="MC18:MD18"/>
    <mergeCell ref="ME18:MF18"/>
    <mergeCell ref="MG18:MH18"/>
    <mergeCell ref="MI18:MJ18"/>
    <mergeCell ref="MA19:MB19"/>
    <mergeCell ref="MC19:MD19"/>
    <mergeCell ref="ME19:MF19"/>
    <mergeCell ref="MG19:MH19"/>
    <mergeCell ref="MI19:MJ19"/>
    <mergeCell ref="LY3:MJ3"/>
    <mergeCell ref="LY4:MJ4"/>
    <mergeCell ref="LY5:MJ5"/>
    <mergeCell ref="LY7:MJ7"/>
    <mergeCell ref="LY12:LZ12"/>
    <mergeCell ref="LM30:LM31"/>
    <mergeCell ref="LN30:LN31"/>
    <mergeCell ref="LO30:LP30"/>
    <mergeCell ref="LQ30:LR30"/>
    <mergeCell ref="LS30:LT30"/>
    <mergeCell ref="LU30:LV30"/>
    <mergeCell ref="LW30:LX30"/>
    <mergeCell ref="LO31:LP31"/>
    <mergeCell ref="LQ31:LR31"/>
    <mergeCell ref="LS31:LT31"/>
    <mergeCell ref="LU31:LV31"/>
    <mergeCell ref="LW31:LX31"/>
    <mergeCell ref="LM28:LM29"/>
    <mergeCell ref="LN28:LN29"/>
    <mergeCell ref="LO28:LP28"/>
    <mergeCell ref="LQ28:LR28"/>
    <mergeCell ref="LS28:LT28"/>
    <mergeCell ref="LU28:LV28"/>
    <mergeCell ref="LW28:LX28"/>
    <mergeCell ref="LO29:LP29"/>
    <mergeCell ref="LQ29:LR29"/>
    <mergeCell ref="LS29:LT29"/>
    <mergeCell ref="LU29:LV29"/>
    <mergeCell ref="LW29:LX29"/>
    <mergeCell ref="LM26:LM27"/>
    <mergeCell ref="LN26:LN27"/>
    <mergeCell ref="LO26:LP26"/>
    <mergeCell ref="LQ26:LR26"/>
    <mergeCell ref="LS26:LT26"/>
    <mergeCell ref="LU26:LV26"/>
    <mergeCell ref="LW26:LX26"/>
    <mergeCell ref="LO27:LP27"/>
    <mergeCell ref="LQ27:LR27"/>
    <mergeCell ref="LS27:LT27"/>
    <mergeCell ref="LU27:LV27"/>
    <mergeCell ref="LW27:LX27"/>
    <mergeCell ref="LM24:LM25"/>
    <mergeCell ref="LN24:LN25"/>
    <mergeCell ref="LO24:LP24"/>
    <mergeCell ref="LQ24:LR24"/>
    <mergeCell ref="LS24:LT24"/>
    <mergeCell ref="LU24:LV24"/>
    <mergeCell ref="LW24:LX24"/>
    <mergeCell ref="LO25:LP25"/>
    <mergeCell ref="LQ25:LR25"/>
    <mergeCell ref="LS25:LT25"/>
    <mergeCell ref="LU25:LV25"/>
    <mergeCell ref="LW25:LX25"/>
    <mergeCell ref="LM22:LM23"/>
    <mergeCell ref="LN22:LN23"/>
    <mergeCell ref="LO22:LP22"/>
    <mergeCell ref="LQ22:LR22"/>
    <mergeCell ref="LS22:LT22"/>
    <mergeCell ref="LU22:LV22"/>
    <mergeCell ref="LW22:LX22"/>
    <mergeCell ref="LO23:LP23"/>
    <mergeCell ref="LQ23:LR23"/>
    <mergeCell ref="LS23:LT23"/>
    <mergeCell ref="LU23:LV23"/>
    <mergeCell ref="LW23:LX23"/>
    <mergeCell ref="LM20:LM21"/>
    <mergeCell ref="LN20:LN21"/>
    <mergeCell ref="LO20:LP20"/>
    <mergeCell ref="LQ20:LR20"/>
    <mergeCell ref="LS20:LT20"/>
    <mergeCell ref="LU20:LV20"/>
    <mergeCell ref="LW20:LX20"/>
    <mergeCell ref="LO21:LP21"/>
    <mergeCell ref="LQ21:LR21"/>
    <mergeCell ref="LS21:LT21"/>
    <mergeCell ref="LU21:LV21"/>
    <mergeCell ref="LW21:LX21"/>
    <mergeCell ref="LM18:LM19"/>
    <mergeCell ref="LN18:LN19"/>
    <mergeCell ref="LO18:LP18"/>
    <mergeCell ref="LQ18:LR18"/>
    <mergeCell ref="LS18:LT18"/>
    <mergeCell ref="LU18:LV18"/>
    <mergeCell ref="LW18:LX18"/>
    <mergeCell ref="LO19:LP19"/>
    <mergeCell ref="LQ19:LR19"/>
    <mergeCell ref="LS19:LT19"/>
    <mergeCell ref="LU19:LV19"/>
    <mergeCell ref="LW19:LX19"/>
    <mergeCell ref="LM16:LM17"/>
    <mergeCell ref="LN16:LN17"/>
    <mergeCell ref="LO16:LP16"/>
    <mergeCell ref="LQ16:LR16"/>
    <mergeCell ref="LS16:LT16"/>
    <mergeCell ref="LU16:LV16"/>
    <mergeCell ref="LW16:LX16"/>
    <mergeCell ref="LC28:LD28"/>
    <mergeCell ref="LE28:LF28"/>
    <mergeCell ref="LG28:LH28"/>
    <mergeCell ref="LI28:LJ28"/>
    <mergeCell ref="LK28:LL28"/>
    <mergeCell ref="LC29:LD29"/>
    <mergeCell ref="LE29:LF29"/>
    <mergeCell ref="LG29:LH29"/>
    <mergeCell ref="LI29:LJ29"/>
    <mergeCell ref="LK29:LL29"/>
    <mergeCell ref="LA26:LA27"/>
    <mergeCell ref="LB26:LB27"/>
    <mergeCell ref="LC26:LD26"/>
    <mergeCell ref="LE26:LF26"/>
    <mergeCell ref="LG26:LH26"/>
    <mergeCell ref="LI26:LJ26"/>
    <mergeCell ref="LK26:LL26"/>
    <mergeCell ref="LC27:LD27"/>
    <mergeCell ref="LE27:LF27"/>
    <mergeCell ref="LG27:LH27"/>
    <mergeCell ref="LI27:LJ27"/>
    <mergeCell ref="LK27:LL27"/>
    <mergeCell ref="LA24:LA25"/>
    <mergeCell ref="LB24:LB25"/>
    <mergeCell ref="LC24:LD24"/>
    <mergeCell ref="LE24:LF24"/>
    <mergeCell ref="LG24:LH24"/>
    <mergeCell ref="LI24:LJ24"/>
    <mergeCell ref="LK24:LL24"/>
    <mergeCell ref="LC25:LD25"/>
    <mergeCell ref="LE25:LF25"/>
    <mergeCell ref="LG25:LH25"/>
    <mergeCell ref="LI25:LJ25"/>
    <mergeCell ref="LK25:LL25"/>
    <mergeCell ref="LA22:LA23"/>
    <mergeCell ref="LB22:LB23"/>
    <mergeCell ref="LC22:LD22"/>
    <mergeCell ref="LE22:LF22"/>
    <mergeCell ref="LG22:LH22"/>
    <mergeCell ref="LI22:LJ22"/>
    <mergeCell ref="LK22:LL22"/>
    <mergeCell ref="LC23:LD23"/>
    <mergeCell ref="LE23:LF23"/>
    <mergeCell ref="LG23:LH23"/>
    <mergeCell ref="LI23:LJ23"/>
    <mergeCell ref="LK23:LL23"/>
    <mergeCell ref="LA20:LA21"/>
    <mergeCell ref="LB20:LB21"/>
    <mergeCell ref="LC20:LD20"/>
    <mergeCell ref="LE20:LF20"/>
    <mergeCell ref="LG20:LH20"/>
    <mergeCell ref="LI20:LJ20"/>
    <mergeCell ref="LK20:LL20"/>
    <mergeCell ref="LC21:LD21"/>
    <mergeCell ref="LE21:LF21"/>
    <mergeCell ref="LG21:LH21"/>
    <mergeCell ref="LI21:LJ21"/>
    <mergeCell ref="LK21:LL21"/>
    <mergeCell ref="LA18:LA19"/>
    <mergeCell ref="LB18:LB19"/>
    <mergeCell ref="LC18:LD18"/>
    <mergeCell ref="LE18:LF18"/>
    <mergeCell ref="LG18:LH18"/>
    <mergeCell ref="LI18:LJ18"/>
    <mergeCell ref="LK18:LL18"/>
    <mergeCell ref="LC19:LD19"/>
    <mergeCell ref="LE19:LF19"/>
    <mergeCell ref="LG19:LH19"/>
    <mergeCell ref="LI19:LJ19"/>
    <mergeCell ref="LK19:LL19"/>
    <mergeCell ref="LA3:LL3"/>
    <mergeCell ref="LA4:LL4"/>
    <mergeCell ref="LA5:LL5"/>
    <mergeCell ref="LA7:LL7"/>
    <mergeCell ref="LA12:LB12"/>
    <mergeCell ref="KO30:KO31"/>
    <mergeCell ref="KP30:KP31"/>
    <mergeCell ref="KQ30:KR30"/>
    <mergeCell ref="KS30:KT30"/>
    <mergeCell ref="KU30:KV30"/>
    <mergeCell ref="KW30:KX30"/>
    <mergeCell ref="KY30:KZ30"/>
    <mergeCell ref="KQ31:KR31"/>
    <mergeCell ref="KS31:KT31"/>
    <mergeCell ref="KU31:KV31"/>
    <mergeCell ref="KW31:KX31"/>
    <mergeCell ref="KY31:KZ31"/>
    <mergeCell ref="KO28:KO29"/>
    <mergeCell ref="KP28:KP29"/>
    <mergeCell ref="KQ28:KR28"/>
    <mergeCell ref="KS28:KT28"/>
    <mergeCell ref="KU28:KV28"/>
    <mergeCell ref="KW28:KX28"/>
    <mergeCell ref="KY28:KZ28"/>
    <mergeCell ref="KQ29:KR29"/>
    <mergeCell ref="KS29:KT29"/>
    <mergeCell ref="KU29:KV29"/>
    <mergeCell ref="KW29:KX29"/>
    <mergeCell ref="KY29:KZ29"/>
    <mergeCell ref="KO26:KO27"/>
    <mergeCell ref="KP26:KP27"/>
    <mergeCell ref="KQ26:KR26"/>
    <mergeCell ref="KS26:KT26"/>
    <mergeCell ref="KU26:KV26"/>
    <mergeCell ref="KW26:KX26"/>
    <mergeCell ref="KY26:KZ26"/>
    <mergeCell ref="KQ27:KR27"/>
    <mergeCell ref="KS27:KT27"/>
    <mergeCell ref="KU27:KV27"/>
    <mergeCell ref="KW27:KX27"/>
    <mergeCell ref="KY27:KZ27"/>
    <mergeCell ref="KO24:KO25"/>
    <mergeCell ref="KP24:KP25"/>
    <mergeCell ref="KQ24:KR24"/>
    <mergeCell ref="KS24:KT24"/>
    <mergeCell ref="KU24:KV24"/>
    <mergeCell ref="KW24:KX24"/>
    <mergeCell ref="KY24:KZ24"/>
    <mergeCell ref="KQ25:KR25"/>
    <mergeCell ref="KS25:KT25"/>
    <mergeCell ref="KU25:KV25"/>
    <mergeCell ref="KW25:KX25"/>
    <mergeCell ref="KY25:KZ25"/>
    <mergeCell ref="KO22:KO23"/>
    <mergeCell ref="KP22:KP23"/>
    <mergeCell ref="KQ22:KR22"/>
    <mergeCell ref="KS22:KT22"/>
    <mergeCell ref="KU22:KV22"/>
    <mergeCell ref="KW22:KX22"/>
    <mergeCell ref="KY22:KZ22"/>
    <mergeCell ref="KQ23:KR23"/>
    <mergeCell ref="KS23:KT23"/>
    <mergeCell ref="KU23:KV23"/>
    <mergeCell ref="KW23:KX23"/>
    <mergeCell ref="KY23:KZ23"/>
    <mergeCell ref="KO20:KO21"/>
    <mergeCell ref="KP20:KP21"/>
    <mergeCell ref="KQ20:KR20"/>
    <mergeCell ref="KS20:KT20"/>
    <mergeCell ref="KU20:KV20"/>
    <mergeCell ref="KW20:KX20"/>
    <mergeCell ref="KY20:KZ20"/>
    <mergeCell ref="KQ21:KR21"/>
    <mergeCell ref="KS21:KT21"/>
    <mergeCell ref="KU21:KV21"/>
    <mergeCell ref="KW21:KX21"/>
    <mergeCell ref="KY21:KZ21"/>
    <mergeCell ref="KO18:KO19"/>
    <mergeCell ref="KP18:KP19"/>
    <mergeCell ref="KQ18:KR18"/>
    <mergeCell ref="KS18:KT18"/>
    <mergeCell ref="KU18:KV18"/>
    <mergeCell ref="KW18:KX18"/>
    <mergeCell ref="KY18:KZ18"/>
    <mergeCell ref="KQ19:KR19"/>
    <mergeCell ref="KS19:KT19"/>
    <mergeCell ref="KU19:KV19"/>
    <mergeCell ref="KW19:KX19"/>
    <mergeCell ref="KY19:KZ19"/>
    <mergeCell ref="KO16:KO17"/>
    <mergeCell ref="KP16:KP17"/>
    <mergeCell ref="KQ16:KR16"/>
    <mergeCell ref="KS16:KT16"/>
    <mergeCell ref="KU16:KV16"/>
    <mergeCell ref="KW16:KX16"/>
    <mergeCell ref="KY16:KZ16"/>
    <mergeCell ref="KO3:KZ3"/>
    <mergeCell ref="KO4:KZ4"/>
    <mergeCell ref="KO5:KZ5"/>
    <mergeCell ref="KO7:KZ7"/>
    <mergeCell ref="KO12:KP12"/>
    <mergeCell ref="KC30:KC31"/>
    <mergeCell ref="KD30:KD31"/>
    <mergeCell ref="KE30:KF30"/>
    <mergeCell ref="KG30:KH30"/>
    <mergeCell ref="KI30:KJ30"/>
    <mergeCell ref="KK30:KL30"/>
    <mergeCell ref="KM30:KN30"/>
    <mergeCell ref="KE31:KF31"/>
    <mergeCell ref="KG31:KH31"/>
    <mergeCell ref="KI31:KJ31"/>
    <mergeCell ref="KK31:KL31"/>
    <mergeCell ref="KM31:KN31"/>
    <mergeCell ref="KC28:KC29"/>
    <mergeCell ref="KD28:KD29"/>
    <mergeCell ref="KE28:KF28"/>
    <mergeCell ref="KG28:KH28"/>
    <mergeCell ref="KI28:KJ28"/>
    <mergeCell ref="KK28:KL28"/>
    <mergeCell ref="KM28:KN28"/>
    <mergeCell ref="KE29:KF29"/>
    <mergeCell ref="KG29:KH29"/>
    <mergeCell ref="KI29:KJ29"/>
    <mergeCell ref="KK29:KL29"/>
    <mergeCell ref="KM29:KN29"/>
    <mergeCell ref="KC26:KC27"/>
    <mergeCell ref="KD26:KD27"/>
    <mergeCell ref="KE26:KF26"/>
    <mergeCell ref="KC24:KC25"/>
    <mergeCell ref="KD24:KD25"/>
    <mergeCell ref="KE24:KF24"/>
    <mergeCell ref="KG24:KH24"/>
    <mergeCell ref="KI24:KJ24"/>
    <mergeCell ref="KK24:KL24"/>
    <mergeCell ref="KM24:KN24"/>
    <mergeCell ref="KE25:KF25"/>
    <mergeCell ref="KG25:KH25"/>
    <mergeCell ref="KI25:KJ25"/>
    <mergeCell ref="KK25:KL25"/>
    <mergeCell ref="KM25:KN25"/>
    <mergeCell ref="KC22:KC23"/>
    <mergeCell ref="KD22:KD23"/>
    <mergeCell ref="KE22:KF22"/>
    <mergeCell ref="KG22:KH22"/>
    <mergeCell ref="KI22:KJ22"/>
    <mergeCell ref="KK22:KL22"/>
    <mergeCell ref="KM22:KN22"/>
    <mergeCell ref="KE23:KF23"/>
    <mergeCell ref="KG23:KH23"/>
    <mergeCell ref="KI23:KJ23"/>
    <mergeCell ref="KK23:KL23"/>
    <mergeCell ref="KM23:KN23"/>
    <mergeCell ref="KC20:KC21"/>
    <mergeCell ref="KD20:KD21"/>
    <mergeCell ref="KE20:KF20"/>
    <mergeCell ref="KG20:KH20"/>
    <mergeCell ref="KI20:KJ20"/>
    <mergeCell ref="KK20:KL20"/>
    <mergeCell ref="KM20:KN20"/>
    <mergeCell ref="KE21:KF21"/>
    <mergeCell ref="KG21:KH21"/>
    <mergeCell ref="KI21:KJ21"/>
    <mergeCell ref="KK21:KL21"/>
    <mergeCell ref="KM21:KN21"/>
    <mergeCell ref="KC18:KC19"/>
    <mergeCell ref="KD18:KD19"/>
    <mergeCell ref="KE18:KF18"/>
    <mergeCell ref="KG18:KH18"/>
    <mergeCell ref="KI18:KJ18"/>
    <mergeCell ref="KK18:KL18"/>
    <mergeCell ref="KM18:KN18"/>
    <mergeCell ref="KE19:KF19"/>
    <mergeCell ref="KG19:KH19"/>
    <mergeCell ref="KI19:KJ19"/>
    <mergeCell ref="KK19:KL19"/>
    <mergeCell ref="KM19:KN19"/>
    <mergeCell ref="KC3:KN3"/>
    <mergeCell ref="KC4:KN4"/>
    <mergeCell ref="KC5:KN5"/>
    <mergeCell ref="KC7:KN7"/>
    <mergeCell ref="KC12:KD12"/>
    <mergeCell ref="JQ30:JQ31"/>
    <mergeCell ref="JR30:JR31"/>
    <mergeCell ref="JS30:JT30"/>
    <mergeCell ref="JU30:JV30"/>
    <mergeCell ref="JW30:JX30"/>
    <mergeCell ref="JY30:JZ30"/>
    <mergeCell ref="KA30:KB30"/>
    <mergeCell ref="JS31:JT31"/>
    <mergeCell ref="JU31:JV31"/>
    <mergeCell ref="JW31:JX31"/>
    <mergeCell ref="JY31:JZ31"/>
    <mergeCell ref="KA31:KB31"/>
    <mergeCell ref="JQ28:JQ29"/>
    <mergeCell ref="JR28:JR29"/>
    <mergeCell ref="JS28:JT28"/>
    <mergeCell ref="JU28:JV28"/>
    <mergeCell ref="JW28:JX28"/>
    <mergeCell ref="JY28:JZ28"/>
    <mergeCell ref="KA28:KB28"/>
    <mergeCell ref="JS29:JT29"/>
    <mergeCell ref="JU29:JV29"/>
    <mergeCell ref="JW29:JX29"/>
    <mergeCell ref="JY29:JZ29"/>
    <mergeCell ref="KA29:KB29"/>
    <mergeCell ref="JQ26:JQ27"/>
    <mergeCell ref="JR26:JR27"/>
    <mergeCell ref="JS26:JT26"/>
    <mergeCell ref="JU26:JV26"/>
    <mergeCell ref="JW26:JX26"/>
    <mergeCell ref="JY26:JZ26"/>
    <mergeCell ref="KA26:KB26"/>
    <mergeCell ref="JS27:JT27"/>
    <mergeCell ref="JU27:JV27"/>
    <mergeCell ref="JW27:JX27"/>
    <mergeCell ref="JY27:JZ27"/>
    <mergeCell ref="KA27:KB27"/>
    <mergeCell ref="JQ24:JQ25"/>
    <mergeCell ref="JR24:JR25"/>
    <mergeCell ref="JS24:JT24"/>
    <mergeCell ref="JU24:JV24"/>
    <mergeCell ref="JW24:JX24"/>
    <mergeCell ref="JY24:JZ24"/>
    <mergeCell ref="KA24:KB24"/>
    <mergeCell ref="JS25:JT25"/>
    <mergeCell ref="JU25:JV25"/>
    <mergeCell ref="JW25:JX25"/>
    <mergeCell ref="JY25:JZ25"/>
    <mergeCell ref="KA25:KB25"/>
    <mergeCell ref="JQ22:JQ23"/>
    <mergeCell ref="JR22:JR23"/>
    <mergeCell ref="JS22:JT22"/>
    <mergeCell ref="JU22:JV22"/>
    <mergeCell ref="JW22:JX22"/>
    <mergeCell ref="JY22:JZ22"/>
    <mergeCell ref="KA22:KB22"/>
    <mergeCell ref="JS23:JT23"/>
    <mergeCell ref="JU23:JV23"/>
    <mergeCell ref="JW23:JX23"/>
    <mergeCell ref="JY23:JZ23"/>
    <mergeCell ref="KA23:KB23"/>
    <mergeCell ref="JQ20:JQ21"/>
    <mergeCell ref="JR20:JR21"/>
    <mergeCell ref="JS20:JT20"/>
    <mergeCell ref="JU20:JV20"/>
    <mergeCell ref="JW20:JX20"/>
    <mergeCell ref="JY20:JZ20"/>
    <mergeCell ref="KA20:KB20"/>
    <mergeCell ref="JS21:JT21"/>
    <mergeCell ref="JU21:JV21"/>
    <mergeCell ref="JW21:JX21"/>
    <mergeCell ref="JY21:JZ21"/>
    <mergeCell ref="KA21:KB21"/>
    <mergeCell ref="JQ18:JQ19"/>
    <mergeCell ref="JR18:JR19"/>
    <mergeCell ref="JS18:JT18"/>
    <mergeCell ref="JU18:JV18"/>
    <mergeCell ref="JW18:JX18"/>
    <mergeCell ref="JY18:JZ18"/>
    <mergeCell ref="KA18:KB18"/>
    <mergeCell ref="JS19:JT19"/>
    <mergeCell ref="JU19:JV19"/>
    <mergeCell ref="JW19:JX19"/>
    <mergeCell ref="JY19:JZ19"/>
    <mergeCell ref="KA19:KB19"/>
    <mergeCell ref="JQ16:JQ17"/>
    <mergeCell ref="JR16:JR17"/>
    <mergeCell ref="JS16:JT16"/>
    <mergeCell ref="JU16:JV16"/>
    <mergeCell ref="JW16:JX16"/>
    <mergeCell ref="JY16:JZ16"/>
    <mergeCell ref="KA16:KB16"/>
    <mergeCell ref="JG28:JH28"/>
    <mergeCell ref="JI28:JJ28"/>
    <mergeCell ref="JK28:JL28"/>
    <mergeCell ref="JM28:JN28"/>
    <mergeCell ref="JO28:JP28"/>
    <mergeCell ref="JG29:JH29"/>
    <mergeCell ref="JI29:JJ29"/>
    <mergeCell ref="JK29:JL29"/>
    <mergeCell ref="JM29:JN29"/>
    <mergeCell ref="JO29:JP29"/>
    <mergeCell ref="JE26:JE27"/>
    <mergeCell ref="JF26:JF27"/>
    <mergeCell ref="JG26:JH26"/>
    <mergeCell ref="JI26:JJ26"/>
    <mergeCell ref="JK26:JL26"/>
    <mergeCell ref="JM26:JN26"/>
    <mergeCell ref="JO26:JP26"/>
    <mergeCell ref="JG27:JH27"/>
    <mergeCell ref="JI27:JJ27"/>
    <mergeCell ref="JK27:JL27"/>
    <mergeCell ref="JM27:JN27"/>
    <mergeCell ref="JO27:JP27"/>
    <mergeCell ref="JE24:JE25"/>
    <mergeCell ref="JF24:JF25"/>
    <mergeCell ref="JG24:JH24"/>
    <mergeCell ref="JI24:JJ24"/>
    <mergeCell ref="JK24:JL24"/>
    <mergeCell ref="JM24:JN24"/>
    <mergeCell ref="JO24:JP24"/>
    <mergeCell ref="JG25:JH25"/>
    <mergeCell ref="JI25:JJ25"/>
    <mergeCell ref="JK25:JL25"/>
    <mergeCell ref="JM25:JN25"/>
    <mergeCell ref="JO25:JP25"/>
    <mergeCell ref="JE22:JE23"/>
    <mergeCell ref="JF22:JF23"/>
    <mergeCell ref="JG22:JH22"/>
    <mergeCell ref="JI22:JJ22"/>
    <mergeCell ref="JK22:JL22"/>
    <mergeCell ref="JM22:JN22"/>
    <mergeCell ref="JO22:JP22"/>
    <mergeCell ref="JG23:JH23"/>
    <mergeCell ref="JI23:JJ23"/>
    <mergeCell ref="JK23:JL23"/>
    <mergeCell ref="JM23:JN23"/>
    <mergeCell ref="JO23:JP23"/>
    <mergeCell ref="JE20:JE21"/>
    <mergeCell ref="JF20:JF21"/>
    <mergeCell ref="JG20:JH20"/>
    <mergeCell ref="JI20:JJ20"/>
    <mergeCell ref="JK20:JL20"/>
    <mergeCell ref="JM20:JN20"/>
    <mergeCell ref="JO20:JP20"/>
    <mergeCell ref="JG21:JH21"/>
    <mergeCell ref="JI21:JJ21"/>
    <mergeCell ref="JK21:JL21"/>
    <mergeCell ref="JM21:JN21"/>
    <mergeCell ref="JO21:JP21"/>
    <mergeCell ref="JE18:JE19"/>
    <mergeCell ref="JF18:JF19"/>
    <mergeCell ref="JG18:JH18"/>
    <mergeCell ref="JI18:JJ18"/>
    <mergeCell ref="JK18:JL18"/>
    <mergeCell ref="JM18:JN18"/>
    <mergeCell ref="JO18:JP18"/>
    <mergeCell ref="JG19:JH19"/>
    <mergeCell ref="JI19:JJ19"/>
    <mergeCell ref="JK19:JL19"/>
    <mergeCell ref="JM19:JN19"/>
    <mergeCell ref="JO19:JP19"/>
    <mergeCell ref="JE3:JP3"/>
    <mergeCell ref="JE4:JP4"/>
    <mergeCell ref="JE5:JP5"/>
    <mergeCell ref="JE7:JP7"/>
    <mergeCell ref="JE12:JF12"/>
    <mergeCell ref="IS30:IS31"/>
    <mergeCell ref="IT30:IT31"/>
    <mergeCell ref="IU30:IV30"/>
    <mergeCell ref="IW30:IX30"/>
    <mergeCell ref="IY30:IZ30"/>
    <mergeCell ref="JA30:JB30"/>
    <mergeCell ref="JC30:JD30"/>
    <mergeCell ref="IU31:IV31"/>
    <mergeCell ref="IW31:IX31"/>
    <mergeCell ref="IY31:IZ31"/>
    <mergeCell ref="JA31:JB31"/>
    <mergeCell ref="JC31:JD31"/>
    <mergeCell ref="IS28:IS29"/>
    <mergeCell ref="IT28:IT29"/>
    <mergeCell ref="IU28:IV28"/>
    <mergeCell ref="IW28:IX28"/>
    <mergeCell ref="IY28:IZ28"/>
    <mergeCell ref="JA28:JB28"/>
    <mergeCell ref="JC28:JD28"/>
    <mergeCell ref="IU29:IV29"/>
    <mergeCell ref="IW29:IX29"/>
    <mergeCell ref="IY29:IZ29"/>
    <mergeCell ref="JA29:JB29"/>
    <mergeCell ref="JC29:JD29"/>
    <mergeCell ref="IS26:IS27"/>
    <mergeCell ref="IT26:IT27"/>
    <mergeCell ref="IU26:IV26"/>
    <mergeCell ref="IW26:IX26"/>
    <mergeCell ref="IY26:IZ26"/>
    <mergeCell ref="JA26:JB26"/>
    <mergeCell ref="JC26:JD26"/>
    <mergeCell ref="IU27:IV27"/>
    <mergeCell ref="IW27:IX27"/>
    <mergeCell ref="IY27:IZ27"/>
    <mergeCell ref="JA27:JB27"/>
    <mergeCell ref="JC27:JD27"/>
    <mergeCell ref="IS24:IS25"/>
    <mergeCell ref="IT24:IT25"/>
    <mergeCell ref="IU24:IV24"/>
    <mergeCell ref="IW24:IX24"/>
    <mergeCell ref="IY24:IZ24"/>
    <mergeCell ref="JA24:JB24"/>
    <mergeCell ref="JC24:JD24"/>
    <mergeCell ref="IU25:IV25"/>
    <mergeCell ref="IW25:IX25"/>
    <mergeCell ref="IY25:IZ25"/>
    <mergeCell ref="JA25:JB25"/>
    <mergeCell ref="JC25:JD25"/>
    <mergeCell ref="IS22:IS23"/>
    <mergeCell ref="IT22:IT23"/>
    <mergeCell ref="IU22:IV22"/>
    <mergeCell ref="IW22:IX22"/>
    <mergeCell ref="IY22:IZ22"/>
    <mergeCell ref="JA22:JB22"/>
    <mergeCell ref="JC22:JD22"/>
    <mergeCell ref="IU23:IV23"/>
    <mergeCell ref="IW23:IX23"/>
    <mergeCell ref="IY23:IZ23"/>
    <mergeCell ref="JA23:JB23"/>
    <mergeCell ref="JC23:JD23"/>
    <mergeCell ref="IS20:IS21"/>
    <mergeCell ref="IT20:IT21"/>
    <mergeCell ref="IU20:IV20"/>
    <mergeCell ref="IW20:IX20"/>
    <mergeCell ref="IY20:IZ20"/>
    <mergeCell ref="JA20:JB20"/>
    <mergeCell ref="JC20:JD20"/>
    <mergeCell ref="IU21:IV21"/>
    <mergeCell ref="IW21:IX21"/>
    <mergeCell ref="IY21:IZ21"/>
    <mergeCell ref="JA21:JB21"/>
    <mergeCell ref="JC21:JD21"/>
    <mergeCell ref="IS18:IS19"/>
    <mergeCell ref="IT18:IT19"/>
    <mergeCell ref="IU18:IV18"/>
    <mergeCell ref="IW18:IX18"/>
    <mergeCell ref="IY18:IZ18"/>
    <mergeCell ref="JA18:JB18"/>
    <mergeCell ref="JC18:JD18"/>
    <mergeCell ref="IU19:IV19"/>
    <mergeCell ref="IW19:IX19"/>
    <mergeCell ref="IY19:IZ19"/>
    <mergeCell ref="JA19:JB19"/>
    <mergeCell ref="JC19:JD19"/>
    <mergeCell ref="IS16:IS17"/>
    <mergeCell ref="IT16:IT17"/>
    <mergeCell ref="IU16:IV16"/>
    <mergeCell ref="IW16:IX16"/>
    <mergeCell ref="IY16:IZ16"/>
    <mergeCell ref="JA16:JB16"/>
    <mergeCell ref="JC16:JD16"/>
    <mergeCell ref="IS3:JD3"/>
    <mergeCell ref="IS4:JD4"/>
    <mergeCell ref="IS5:JD5"/>
    <mergeCell ref="IS7:JD7"/>
    <mergeCell ref="IS12:IT12"/>
    <mergeCell ref="IG30:IG31"/>
    <mergeCell ref="IH30:IH31"/>
    <mergeCell ref="II30:IJ30"/>
    <mergeCell ref="IK30:IL30"/>
    <mergeCell ref="IM30:IN30"/>
    <mergeCell ref="IO30:IP30"/>
    <mergeCell ref="IQ30:IR30"/>
    <mergeCell ref="II31:IJ31"/>
    <mergeCell ref="IK31:IL31"/>
    <mergeCell ref="IM31:IN31"/>
    <mergeCell ref="IO31:IP31"/>
    <mergeCell ref="IQ31:IR31"/>
    <mergeCell ref="IG28:IG29"/>
    <mergeCell ref="IH28:IH29"/>
    <mergeCell ref="II28:IJ28"/>
    <mergeCell ref="IK28:IL28"/>
    <mergeCell ref="IM28:IN28"/>
    <mergeCell ref="IO28:IP28"/>
    <mergeCell ref="IQ28:IR28"/>
    <mergeCell ref="II29:IJ29"/>
    <mergeCell ref="IK29:IL29"/>
    <mergeCell ref="IM29:IN29"/>
    <mergeCell ref="IO29:IP29"/>
    <mergeCell ref="IQ29:IR29"/>
    <mergeCell ref="IG26:IG27"/>
    <mergeCell ref="IH26:IH27"/>
    <mergeCell ref="II26:IJ26"/>
    <mergeCell ref="IG24:IG25"/>
    <mergeCell ref="IH24:IH25"/>
    <mergeCell ref="II24:IJ24"/>
    <mergeCell ref="IK24:IL24"/>
    <mergeCell ref="IM24:IN24"/>
    <mergeCell ref="IO24:IP24"/>
    <mergeCell ref="IQ24:IR24"/>
    <mergeCell ref="II25:IJ25"/>
    <mergeCell ref="IK25:IL25"/>
    <mergeCell ref="IM25:IN25"/>
    <mergeCell ref="IO25:IP25"/>
    <mergeCell ref="IQ25:IR25"/>
    <mergeCell ref="IG22:IG23"/>
    <mergeCell ref="IH22:IH23"/>
    <mergeCell ref="II22:IJ22"/>
    <mergeCell ref="IK22:IL22"/>
    <mergeCell ref="IM22:IN22"/>
    <mergeCell ref="IO22:IP22"/>
    <mergeCell ref="IQ22:IR22"/>
    <mergeCell ref="II23:IJ23"/>
    <mergeCell ref="IK23:IL23"/>
    <mergeCell ref="IM23:IN23"/>
    <mergeCell ref="IO23:IP23"/>
    <mergeCell ref="IQ23:IR23"/>
    <mergeCell ref="IG20:IG21"/>
    <mergeCell ref="IH20:IH21"/>
    <mergeCell ref="II20:IJ20"/>
    <mergeCell ref="IK20:IL20"/>
    <mergeCell ref="IM20:IN20"/>
    <mergeCell ref="IO20:IP20"/>
    <mergeCell ref="IQ20:IR20"/>
    <mergeCell ref="II21:IJ21"/>
    <mergeCell ref="IK21:IL21"/>
    <mergeCell ref="IM21:IN21"/>
    <mergeCell ref="IO21:IP21"/>
    <mergeCell ref="IQ21:IR21"/>
    <mergeCell ref="IG18:IG19"/>
    <mergeCell ref="IH18:IH19"/>
    <mergeCell ref="II18:IJ18"/>
    <mergeCell ref="IK18:IL18"/>
    <mergeCell ref="IM18:IN18"/>
    <mergeCell ref="IO18:IP18"/>
    <mergeCell ref="IQ18:IR18"/>
    <mergeCell ref="II19:IJ19"/>
    <mergeCell ref="IK19:IL19"/>
    <mergeCell ref="IM19:IN19"/>
    <mergeCell ref="IO19:IP19"/>
    <mergeCell ref="IQ19:IR19"/>
    <mergeCell ref="IG3:IR3"/>
    <mergeCell ref="IG4:IR4"/>
    <mergeCell ref="IG5:IR5"/>
    <mergeCell ref="IG7:IR7"/>
    <mergeCell ref="IG12:IH12"/>
    <mergeCell ref="HU30:HU31"/>
    <mergeCell ref="HV30:HV31"/>
    <mergeCell ref="HW30:HX30"/>
    <mergeCell ref="HY30:HZ30"/>
    <mergeCell ref="IA30:IB30"/>
    <mergeCell ref="IC30:ID30"/>
    <mergeCell ref="IE30:IF30"/>
    <mergeCell ref="HW31:HX31"/>
    <mergeCell ref="HY31:HZ31"/>
    <mergeCell ref="IA31:IB31"/>
    <mergeCell ref="IC31:ID31"/>
    <mergeCell ref="IE31:IF31"/>
    <mergeCell ref="HU28:HU29"/>
    <mergeCell ref="HV28:HV29"/>
    <mergeCell ref="HW28:HX28"/>
    <mergeCell ref="HY28:HZ28"/>
    <mergeCell ref="IA28:IB28"/>
    <mergeCell ref="IC28:ID28"/>
    <mergeCell ref="IE28:IF28"/>
    <mergeCell ref="HW29:HX29"/>
    <mergeCell ref="HY29:HZ29"/>
    <mergeCell ref="IA29:IB29"/>
    <mergeCell ref="IC29:ID29"/>
    <mergeCell ref="IE29:IF29"/>
    <mergeCell ref="HU26:HU27"/>
    <mergeCell ref="HV26:HV27"/>
    <mergeCell ref="HW26:HX26"/>
    <mergeCell ref="HY26:HZ26"/>
    <mergeCell ref="IA26:IB26"/>
    <mergeCell ref="IC26:ID26"/>
    <mergeCell ref="IE26:IF26"/>
    <mergeCell ref="HW27:HX27"/>
    <mergeCell ref="HY27:HZ27"/>
    <mergeCell ref="IA27:IB27"/>
    <mergeCell ref="IC27:ID27"/>
    <mergeCell ref="IE27:IF27"/>
    <mergeCell ref="HU24:HU25"/>
    <mergeCell ref="HV24:HV25"/>
    <mergeCell ref="HW24:HX24"/>
    <mergeCell ref="HY24:HZ24"/>
    <mergeCell ref="IA24:IB24"/>
    <mergeCell ref="IC24:ID24"/>
    <mergeCell ref="IE24:IF24"/>
    <mergeCell ref="HW25:HX25"/>
    <mergeCell ref="HY25:HZ25"/>
    <mergeCell ref="IA25:IB25"/>
    <mergeCell ref="IC25:ID25"/>
    <mergeCell ref="IE25:IF25"/>
    <mergeCell ref="HU22:HU23"/>
    <mergeCell ref="HV22:HV23"/>
    <mergeCell ref="HW22:HX22"/>
    <mergeCell ref="HY22:HZ22"/>
    <mergeCell ref="IA22:IB22"/>
    <mergeCell ref="IC22:ID22"/>
    <mergeCell ref="IE22:IF22"/>
    <mergeCell ref="HW23:HX23"/>
    <mergeCell ref="HY23:HZ23"/>
    <mergeCell ref="IA23:IB23"/>
    <mergeCell ref="IC23:ID23"/>
    <mergeCell ref="IE23:IF23"/>
    <mergeCell ref="HU20:HU21"/>
    <mergeCell ref="HV20:HV21"/>
    <mergeCell ref="HW20:HX20"/>
    <mergeCell ref="HY20:HZ20"/>
    <mergeCell ref="IA20:IB20"/>
    <mergeCell ref="IC20:ID20"/>
    <mergeCell ref="IE20:IF20"/>
    <mergeCell ref="HW21:HX21"/>
    <mergeCell ref="HY21:HZ21"/>
    <mergeCell ref="IA21:IB21"/>
    <mergeCell ref="IC21:ID21"/>
    <mergeCell ref="IE21:IF21"/>
    <mergeCell ref="HU18:HU19"/>
    <mergeCell ref="HV18:HV19"/>
    <mergeCell ref="HW18:HX18"/>
    <mergeCell ref="HY18:HZ18"/>
    <mergeCell ref="IA18:IB18"/>
    <mergeCell ref="IC18:ID18"/>
    <mergeCell ref="IE18:IF18"/>
    <mergeCell ref="HW19:HX19"/>
    <mergeCell ref="HY19:HZ19"/>
    <mergeCell ref="IA19:IB19"/>
    <mergeCell ref="IC19:ID19"/>
    <mergeCell ref="IE19:IF19"/>
    <mergeCell ref="HU16:HU17"/>
    <mergeCell ref="HV16:HV17"/>
    <mergeCell ref="HW16:HX16"/>
    <mergeCell ref="HY16:HZ16"/>
    <mergeCell ref="IA16:IB16"/>
    <mergeCell ref="IC16:ID16"/>
    <mergeCell ref="IE16:IF16"/>
    <mergeCell ref="HK28:HL28"/>
    <mergeCell ref="HM28:HN28"/>
    <mergeCell ref="HO28:HP28"/>
    <mergeCell ref="HQ28:HR28"/>
    <mergeCell ref="HS28:HT28"/>
    <mergeCell ref="HK29:HL29"/>
    <mergeCell ref="HM29:HN29"/>
    <mergeCell ref="HO29:HP29"/>
    <mergeCell ref="HQ29:HR29"/>
    <mergeCell ref="HS29:HT29"/>
    <mergeCell ref="HI26:HI27"/>
    <mergeCell ref="HJ26:HJ27"/>
    <mergeCell ref="HK26:HL26"/>
    <mergeCell ref="HM26:HN26"/>
    <mergeCell ref="HO26:HP26"/>
    <mergeCell ref="HQ26:HR26"/>
    <mergeCell ref="HS26:HT26"/>
    <mergeCell ref="HK27:HL27"/>
    <mergeCell ref="HM27:HN27"/>
    <mergeCell ref="HO27:HP27"/>
    <mergeCell ref="HQ27:HR27"/>
    <mergeCell ref="HS27:HT27"/>
    <mergeCell ref="HI24:HI25"/>
    <mergeCell ref="HJ24:HJ25"/>
    <mergeCell ref="HK24:HL24"/>
    <mergeCell ref="HM24:HN24"/>
    <mergeCell ref="HO24:HP24"/>
    <mergeCell ref="HQ24:HR24"/>
    <mergeCell ref="HS24:HT24"/>
    <mergeCell ref="HK25:HL25"/>
    <mergeCell ref="HM25:HN25"/>
    <mergeCell ref="HO25:HP25"/>
    <mergeCell ref="HQ25:HR25"/>
    <mergeCell ref="HS25:HT25"/>
    <mergeCell ref="HI22:HI23"/>
    <mergeCell ref="HJ22:HJ23"/>
    <mergeCell ref="HK22:HL22"/>
    <mergeCell ref="HM22:HN22"/>
    <mergeCell ref="HO22:HP22"/>
    <mergeCell ref="HQ22:HR22"/>
    <mergeCell ref="HS22:HT22"/>
    <mergeCell ref="HK23:HL23"/>
    <mergeCell ref="HM23:HN23"/>
    <mergeCell ref="HO23:HP23"/>
    <mergeCell ref="HQ23:HR23"/>
    <mergeCell ref="HS23:HT23"/>
    <mergeCell ref="HI20:HI21"/>
    <mergeCell ref="HJ20:HJ21"/>
    <mergeCell ref="HK20:HL20"/>
    <mergeCell ref="HM20:HN20"/>
    <mergeCell ref="HO20:HP20"/>
    <mergeCell ref="HQ20:HR20"/>
    <mergeCell ref="HS20:HT20"/>
    <mergeCell ref="HK21:HL21"/>
    <mergeCell ref="HM21:HN21"/>
    <mergeCell ref="HO21:HP21"/>
    <mergeCell ref="HQ21:HR21"/>
    <mergeCell ref="HS21:HT21"/>
    <mergeCell ref="HI18:HI19"/>
    <mergeCell ref="HJ18:HJ19"/>
    <mergeCell ref="HK18:HL18"/>
    <mergeCell ref="HM18:HN18"/>
    <mergeCell ref="HO18:HP18"/>
    <mergeCell ref="HQ18:HR18"/>
    <mergeCell ref="HS18:HT18"/>
    <mergeCell ref="HK19:HL19"/>
    <mergeCell ref="HM19:HN19"/>
    <mergeCell ref="HO19:HP19"/>
    <mergeCell ref="HQ19:HR19"/>
    <mergeCell ref="HS19:HT19"/>
    <mergeCell ref="HI3:HT3"/>
    <mergeCell ref="HI4:HT4"/>
    <mergeCell ref="HI5:HT5"/>
    <mergeCell ref="HI7:HT7"/>
    <mergeCell ref="HI12:HJ12"/>
    <mergeCell ref="GW30:GW31"/>
    <mergeCell ref="GX30:GX31"/>
    <mergeCell ref="GY30:GZ30"/>
    <mergeCell ref="HA30:HB30"/>
    <mergeCell ref="HC30:HD30"/>
    <mergeCell ref="HE30:HF30"/>
    <mergeCell ref="HG30:HH30"/>
    <mergeCell ref="GY31:GZ31"/>
    <mergeCell ref="HA31:HB31"/>
    <mergeCell ref="HC31:HD31"/>
    <mergeCell ref="HE31:HF31"/>
    <mergeCell ref="HG31:HH31"/>
    <mergeCell ref="GW28:GW29"/>
    <mergeCell ref="GX28:GX29"/>
    <mergeCell ref="GY28:GZ28"/>
    <mergeCell ref="HA28:HB28"/>
    <mergeCell ref="HC28:HD28"/>
    <mergeCell ref="HE28:HF28"/>
    <mergeCell ref="HG28:HH28"/>
    <mergeCell ref="GY29:GZ29"/>
    <mergeCell ref="HA29:HB29"/>
    <mergeCell ref="HC29:HD29"/>
    <mergeCell ref="HE29:HF29"/>
    <mergeCell ref="HG29:HH29"/>
    <mergeCell ref="GW26:GW27"/>
    <mergeCell ref="GX26:GX27"/>
    <mergeCell ref="GY26:GZ26"/>
    <mergeCell ref="HA26:HB26"/>
    <mergeCell ref="HC26:HD26"/>
    <mergeCell ref="HE26:HF26"/>
    <mergeCell ref="HG26:HH26"/>
    <mergeCell ref="GY27:GZ27"/>
    <mergeCell ref="HA27:HB27"/>
    <mergeCell ref="HC27:HD27"/>
    <mergeCell ref="HE27:HF27"/>
    <mergeCell ref="HG27:HH27"/>
    <mergeCell ref="GW24:GW25"/>
    <mergeCell ref="GX24:GX25"/>
    <mergeCell ref="GY24:GZ24"/>
    <mergeCell ref="HA24:HB24"/>
    <mergeCell ref="HC24:HD24"/>
    <mergeCell ref="HE24:HF24"/>
    <mergeCell ref="HG24:HH24"/>
    <mergeCell ref="GY25:GZ25"/>
    <mergeCell ref="HA25:HB25"/>
    <mergeCell ref="HC25:HD25"/>
    <mergeCell ref="HE25:HF25"/>
    <mergeCell ref="HG25:HH25"/>
    <mergeCell ref="GW22:GW23"/>
    <mergeCell ref="GX22:GX23"/>
    <mergeCell ref="GY22:GZ22"/>
    <mergeCell ref="HA22:HB22"/>
    <mergeCell ref="HC22:HD22"/>
    <mergeCell ref="HE22:HF22"/>
    <mergeCell ref="HG22:HH22"/>
    <mergeCell ref="GY23:GZ23"/>
    <mergeCell ref="HA23:HB23"/>
    <mergeCell ref="HC23:HD23"/>
    <mergeCell ref="HE23:HF23"/>
    <mergeCell ref="HG23:HH23"/>
    <mergeCell ref="GW20:GW21"/>
    <mergeCell ref="GX20:GX21"/>
    <mergeCell ref="GY20:GZ20"/>
    <mergeCell ref="HA20:HB20"/>
    <mergeCell ref="HC20:HD20"/>
    <mergeCell ref="HE20:HF20"/>
    <mergeCell ref="HG20:HH20"/>
    <mergeCell ref="GY21:GZ21"/>
    <mergeCell ref="HA21:HB21"/>
    <mergeCell ref="HC21:HD21"/>
    <mergeCell ref="HE21:HF21"/>
    <mergeCell ref="HG21:HH21"/>
    <mergeCell ref="GW18:GW19"/>
    <mergeCell ref="GX18:GX19"/>
    <mergeCell ref="GY18:GZ18"/>
    <mergeCell ref="HA18:HB18"/>
    <mergeCell ref="HC18:HD18"/>
    <mergeCell ref="HE18:HF18"/>
    <mergeCell ref="HG18:HH18"/>
    <mergeCell ref="GY19:GZ19"/>
    <mergeCell ref="HA19:HB19"/>
    <mergeCell ref="HC19:HD19"/>
    <mergeCell ref="HE19:HF19"/>
    <mergeCell ref="HG19:HH19"/>
    <mergeCell ref="GW16:GW17"/>
    <mergeCell ref="GX16:GX17"/>
    <mergeCell ref="GY16:GZ16"/>
    <mergeCell ref="HA16:HB16"/>
    <mergeCell ref="HC16:HD16"/>
    <mergeCell ref="HE16:HF16"/>
    <mergeCell ref="HG16:HH16"/>
    <mergeCell ref="GW3:HH3"/>
    <mergeCell ref="GW4:HH4"/>
    <mergeCell ref="GW5:HH5"/>
    <mergeCell ref="GW7:HH7"/>
    <mergeCell ref="GW12:GX12"/>
    <mergeCell ref="GK30:GK31"/>
    <mergeCell ref="GL30:GL31"/>
    <mergeCell ref="GM30:GN30"/>
    <mergeCell ref="GO30:GP30"/>
    <mergeCell ref="GQ30:GR30"/>
    <mergeCell ref="GS30:GT30"/>
    <mergeCell ref="GU30:GV30"/>
    <mergeCell ref="GM31:GN31"/>
    <mergeCell ref="GO31:GP31"/>
    <mergeCell ref="GQ31:GR31"/>
    <mergeCell ref="GS31:GT31"/>
    <mergeCell ref="GU31:GV31"/>
    <mergeCell ref="GK28:GK29"/>
    <mergeCell ref="GL28:GL29"/>
    <mergeCell ref="GM28:GN28"/>
    <mergeCell ref="GO28:GP28"/>
    <mergeCell ref="GQ28:GR28"/>
    <mergeCell ref="GS28:GT28"/>
    <mergeCell ref="GU28:GV28"/>
    <mergeCell ref="GM29:GN29"/>
    <mergeCell ref="GO29:GP29"/>
    <mergeCell ref="GQ29:GR29"/>
    <mergeCell ref="GS29:GT29"/>
    <mergeCell ref="GU29:GV29"/>
    <mergeCell ref="GK26:GK27"/>
    <mergeCell ref="GL26:GL27"/>
    <mergeCell ref="GM26:GN26"/>
    <mergeCell ref="GM27:GN27"/>
    <mergeCell ref="GO27:GP27"/>
    <mergeCell ref="GQ27:GR27"/>
    <mergeCell ref="GS27:GT27"/>
    <mergeCell ref="GU27:GV27"/>
    <mergeCell ref="GK24:GK25"/>
    <mergeCell ref="GL24:GL25"/>
    <mergeCell ref="GM24:GN24"/>
    <mergeCell ref="GO24:GP24"/>
    <mergeCell ref="GQ24:GR24"/>
    <mergeCell ref="GS24:GT24"/>
    <mergeCell ref="GU24:GV24"/>
    <mergeCell ref="GM25:GN25"/>
    <mergeCell ref="GO25:GP25"/>
    <mergeCell ref="GQ25:GR25"/>
    <mergeCell ref="GS25:GT25"/>
    <mergeCell ref="GU25:GV25"/>
    <mergeCell ref="GO26:GP26"/>
    <mergeCell ref="GQ26:GR26"/>
    <mergeCell ref="GS26:GT26"/>
    <mergeCell ref="GU26:GV26"/>
    <mergeCell ref="GK22:GK23"/>
    <mergeCell ref="GL22:GL23"/>
    <mergeCell ref="GM22:GN22"/>
    <mergeCell ref="GO22:GP22"/>
    <mergeCell ref="GQ22:GR22"/>
    <mergeCell ref="GS22:GT22"/>
    <mergeCell ref="GU22:GV22"/>
    <mergeCell ref="GM23:GN23"/>
    <mergeCell ref="GO23:GP23"/>
    <mergeCell ref="GQ23:GR23"/>
    <mergeCell ref="GS23:GT23"/>
    <mergeCell ref="GU23:GV23"/>
    <mergeCell ref="GK20:GK21"/>
    <mergeCell ref="GL20:GL21"/>
    <mergeCell ref="GM20:GN20"/>
    <mergeCell ref="GO20:GP20"/>
    <mergeCell ref="GQ20:GR20"/>
    <mergeCell ref="GS20:GT20"/>
    <mergeCell ref="GU20:GV20"/>
    <mergeCell ref="GM21:GN21"/>
    <mergeCell ref="GO21:GP21"/>
    <mergeCell ref="GQ21:GR21"/>
    <mergeCell ref="GS21:GT21"/>
    <mergeCell ref="GU21:GV21"/>
    <mergeCell ref="GK18:GK19"/>
    <mergeCell ref="GL18:GL19"/>
    <mergeCell ref="GM18:GN18"/>
    <mergeCell ref="GO18:GP18"/>
    <mergeCell ref="GQ18:GR18"/>
    <mergeCell ref="GS18:GT18"/>
    <mergeCell ref="GU18:GV18"/>
    <mergeCell ref="GM19:GN19"/>
    <mergeCell ref="GO19:GP19"/>
    <mergeCell ref="GQ19:GR19"/>
    <mergeCell ref="GS19:GT19"/>
    <mergeCell ref="GU19:GV19"/>
    <mergeCell ref="GK3:GV3"/>
    <mergeCell ref="GK4:GV4"/>
    <mergeCell ref="GK5:GV5"/>
    <mergeCell ref="GK7:GV7"/>
    <mergeCell ref="GK12:GL12"/>
    <mergeCell ref="GU10:GV10"/>
    <mergeCell ref="GK11:GL11"/>
    <mergeCell ref="GM11:GP11"/>
    <mergeCell ref="GS11:GT11"/>
    <mergeCell ref="GU11:GV11"/>
    <mergeCell ref="GK13:GK14"/>
    <mergeCell ref="GL13:GL14"/>
    <mergeCell ref="GM13:GN14"/>
    <mergeCell ref="GO13:GP14"/>
    <mergeCell ref="GQ13:GR14"/>
    <mergeCell ref="GS13:GT14"/>
    <mergeCell ref="GU13:GV14"/>
    <mergeCell ref="GM15:GV15"/>
    <mergeCell ref="GK16:GK17"/>
    <mergeCell ref="GL16:GL17"/>
    <mergeCell ref="FY30:FY31"/>
    <mergeCell ref="FZ30:FZ31"/>
    <mergeCell ref="GA30:GB30"/>
    <mergeCell ref="GC30:GD30"/>
    <mergeCell ref="GE30:GF30"/>
    <mergeCell ref="GG30:GH30"/>
    <mergeCell ref="GI30:GJ30"/>
    <mergeCell ref="GA31:GB31"/>
    <mergeCell ref="GC31:GD31"/>
    <mergeCell ref="GE31:GF31"/>
    <mergeCell ref="GG31:GH31"/>
    <mergeCell ref="GI31:GJ31"/>
    <mergeCell ref="FY28:FY29"/>
    <mergeCell ref="FZ28:FZ29"/>
    <mergeCell ref="GA28:GB28"/>
    <mergeCell ref="GC28:GD28"/>
    <mergeCell ref="GE28:GF28"/>
    <mergeCell ref="GG28:GH28"/>
    <mergeCell ref="GI28:GJ28"/>
    <mergeCell ref="GA29:GB29"/>
    <mergeCell ref="GC29:GD29"/>
    <mergeCell ref="GE29:GF29"/>
    <mergeCell ref="GG29:GH29"/>
    <mergeCell ref="GI29:GJ29"/>
    <mergeCell ref="FY26:FY27"/>
    <mergeCell ref="FZ26:FZ27"/>
    <mergeCell ref="GA26:GB26"/>
    <mergeCell ref="GC26:GD26"/>
    <mergeCell ref="GE26:GF26"/>
    <mergeCell ref="GG26:GH26"/>
    <mergeCell ref="GI26:GJ26"/>
    <mergeCell ref="GA27:GB27"/>
    <mergeCell ref="GC27:GD27"/>
    <mergeCell ref="GE27:GF27"/>
    <mergeCell ref="GG27:GH27"/>
    <mergeCell ref="GI27:GJ27"/>
    <mergeCell ref="FY24:FY25"/>
    <mergeCell ref="FZ24:FZ25"/>
    <mergeCell ref="GA24:GB24"/>
    <mergeCell ref="GC24:GD24"/>
    <mergeCell ref="GE24:GF24"/>
    <mergeCell ref="GG24:GH24"/>
    <mergeCell ref="GI24:GJ24"/>
    <mergeCell ref="GA25:GB25"/>
    <mergeCell ref="GC25:GD25"/>
    <mergeCell ref="GE25:GF25"/>
    <mergeCell ref="GG25:GH25"/>
    <mergeCell ref="GI25:GJ25"/>
    <mergeCell ref="FY22:FY23"/>
    <mergeCell ref="FZ22:FZ23"/>
    <mergeCell ref="GA22:GB22"/>
    <mergeCell ref="GC22:GD22"/>
    <mergeCell ref="GE22:GF22"/>
    <mergeCell ref="GG22:GH22"/>
    <mergeCell ref="GI22:GJ22"/>
    <mergeCell ref="GA23:GB23"/>
    <mergeCell ref="GC23:GD23"/>
    <mergeCell ref="GE23:GF23"/>
    <mergeCell ref="GG23:GH23"/>
    <mergeCell ref="GI23:GJ23"/>
    <mergeCell ref="FY20:FY21"/>
    <mergeCell ref="FZ20:FZ21"/>
    <mergeCell ref="GA20:GB20"/>
    <mergeCell ref="GC20:GD20"/>
    <mergeCell ref="GE20:GF20"/>
    <mergeCell ref="GG20:GH20"/>
    <mergeCell ref="GI20:GJ20"/>
    <mergeCell ref="GA21:GB21"/>
    <mergeCell ref="GC21:GD21"/>
    <mergeCell ref="GE21:GF21"/>
    <mergeCell ref="GG21:GH21"/>
    <mergeCell ref="GI21:GJ21"/>
    <mergeCell ref="FY18:FY19"/>
    <mergeCell ref="FZ18:FZ19"/>
    <mergeCell ref="GA18:GB18"/>
    <mergeCell ref="GC18:GD18"/>
    <mergeCell ref="GE18:GF18"/>
    <mergeCell ref="GG18:GH18"/>
    <mergeCell ref="GI18:GJ18"/>
    <mergeCell ref="GA19:GB19"/>
    <mergeCell ref="GC19:GD19"/>
    <mergeCell ref="GE19:GF19"/>
    <mergeCell ref="GG19:GH19"/>
    <mergeCell ref="GI19:GJ19"/>
    <mergeCell ref="FY16:FY17"/>
    <mergeCell ref="FZ16:FZ17"/>
    <mergeCell ref="GA16:GB16"/>
    <mergeCell ref="GC16:GD16"/>
    <mergeCell ref="GE16:GF16"/>
    <mergeCell ref="GG16:GH16"/>
    <mergeCell ref="GI16:GJ16"/>
    <mergeCell ref="GA17:GB17"/>
    <mergeCell ref="GC17:GD17"/>
    <mergeCell ref="GE17:GF17"/>
    <mergeCell ref="GG17:GH17"/>
    <mergeCell ref="GI17:GJ17"/>
    <mergeCell ref="FU25:FV25"/>
    <mergeCell ref="FW25:FX25"/>
    <mergeCell ref="FM30:FM31"/>
    <mergeCell ref="FN30:FN31"/>
    <mergeCell ref="FO30:FP30"/>
    <mergeCell ref="FQ30:FR30"/>
    <mergeCell ref="FS30:FT30"/>
    <mergeCell ref="FU30:FV30"/>
    <mergeCell ref="FW30:FX30"/>
    <mergeCell ref="FO31:FP31"/>
    <mergeCell ref="FQ31:FR31"/>
    <mergeCell ref="FS31:FT31"/>
    <mergeCell ref="FU31:FV31"/>
    <mergeCell ref="FW31:FX31"/>
    <mergeCell ref="FM28:FM29"/>
    <mergeCell ref="FN28:FN29"/>
    <mergeCell ref="FO28:FP28"/>
    <mergeCell ref="FQ28:FR28"/>
    <mergeCell ref="FS28:FT28"/>
    <mergeCell ref="FU28:FV28"/>
    <mergeCell ref="FW28:FX28"/>
    <mergeCell ref="FO29:FP29"/>
    <mergeCell ref="FQ29:FR29"/>
    <mergeCell ref="FS29:FT29"/>
    <mergeCell ref="FU29:FV29"/>
    <mergeCell ref="FW29:FX29"/>
    <mergeCell ref="FO20:FP20"/>
    <mergeCell ref="FQ20:FR20"/>
    <mergeCell ref="FS20:FT20"/>
    <mergeCell ref="FU20:FV20"/>
    <mergeCell ref="FW20:FX20"/>
    <mergeCell ref="FO21:FP21"/>
    <mergeCell ref="FQ21:FR21"/>
    <mergeCell ref="FS21:FT21"/>
    <mergeCell ref="FU21:FV21"/>
    <mergeCell ref="FW21:FX21"/>
    <mergeCell ref="FM26:FM27"/>
    <mergeCell ref="FN26:FN27"/>
    <mergeCell ref="FO26:FP26"/>
    <mergeCell ref="FQ26:FR26"/>
    <mergeCell ref="FS26:FT26"/>
    <mergeCell ref="FU26:FV26"/>
    <mergeCell ref="FW26:FX26"/>
    <mergeCell ref="FO27:FP27"/>
    <mergeCell ref="FQ27:FR27"/>
    <mergeCell ref="FS27:FT27"/>
    <mergeCell ref="FU27:FV27"/>
    <mergeCell ref="FW27:FX27"/>
    <mergeCell ref="FM24:FM25"/>
    <mergeCell ref="FN24:FN25"/>
    <mergeCell ref="FO24:FP24"/>
    <mergeCell ref="FQ24:FR24"/>
    <mergeCell ref="FS24:FT24"/>
    <mergeCell ref="FU24:FV24"/>
    <mergeCell ref="FW24:FX24"/>
    <mergeCell ref="FO25:FP25"/>
    <mergeCell ref="FQ25:FR25"/>
    <mergeCell ref="FS25:FT25"/>
    <mergeCell ref="FM18:FM19"/>
    <mergeCell ref="FN18:FN19"/>
    <mergeCell ref="FO18:FP18"/>
    <mergeCell ref="FQ18:FR18"/>
    <mergeCell ref="FS18:FT18"/>
    <mergeCell ref="FU18:FV18"/>
    <mergeCell ref="FW18:FX18"/>
    <mergeCell ref="FO19:FP19"/>
    <mergeCell ref="FQ19:FR19"/>
    <mergeCell ref="FS19:FT19"/>
    <mergeCell ref="FU19:FV19"/>
    <mergeCell ref="FW19:FX19"/>
    <mergeCell ref="FB42:FD42"/>
    <mergeCell ref="FF42:FH42"/>
    <mergeCell ref="FJ42:FL42"/>
    <mergeCell ref="FB43:FD43"/>
    <mergeCell ref="FF43:FH43"/>
    <mergeCell ref="FJ43:FL43"/>
    <mergeCell ref="FM22:FM23"/>
    <mergeCell ref="FN22:FN23"/>
    <mergeCell ref="FO22:FP22"/>
    <mergeCell ref="FQ22:FR22"/>
    <mergeCell ref="FS22:FT22"/>
    <mergeCell ref="FU22:FV22"/>
    <mergeCell ref="FW22:FX22"/>
    <mergeCell ref="FO23:FP23"/>
    <mergeCell ref="FQ23:FR23"/>
    <mergeCell ref="FS23:FT23"/>
    <mergeCell ref="FU23:FV23"/>
    <mergeCell ref="FW23:FX23"/>
    <mergeCell ref="FM20:FM21"/>
    <mergeCell ref="FN20:FN21"/>
    <mergeCell ref="FA30:FA31"/>
    <mergeCell ref="FB30:FB31"/>
    <mergeCell ref="FC30:FD30"/>
    <mergeCell ref="FE30:FF30"/>
    <mergeCell ref="FG30:FH30"/>
    <mergeCell ref="FI30:FJ30"/>
    <mergeCell ref="FK30:FL30"/>
    <mergeCell ref="FC31:FD31"/>
    <mergeCell ref="FE31:FF31"/>
    <mergeCell ref="FG31:FH31"/>
    <mergeCell ref="FI31:FJ31"/>
    <mergeCell ref="FK31:FL31"/>
    <mergeCell ref="FA28:FA29"/>
    <mergeCell ref="FB28:FB29"/>
    <mergeCell ref="FC28:FD28"/>
    <mergeCell ref="FE28:FF28"/>
    <mergeCell ref="FG28:FH28"/>
    <mergeCell ref="FI28:FJ28"/>
    <mergeCell ref="FK28:FL28"/>
    <mergeCell ref="FC29:FD29"/>
    <mergeCell ref="FE29:FF29"/>
    <mergeCell ref="FG29:FH29"/>
    <mergeCell ref="FI29:FJ29"/>
    <mergeCell ref="FK29:FL29"/>
    <mergeCell ref="FA26:FA27"/>
    <mergeCell ref="FB26:FB27"/>
    <mergeCell ref="FC26:FD26"/>
    <mergeCell ref="FE26:FF26"/>
    <mergeCell ref="FG26:FH26"/>
    <mergeCell ref="FI26:FJ26"/>
    <mergeCell ref="FK26:FL26"/>
    <mergeCell ref="FC27:FD27"/>
    <mergeCell ref="FE27:FF27"/>
    <mergeCell ref="FG27:FH27"/>
    <mergeCell ref="FI27:FJ27"/>
    <mergeCell ref="FK27:FL27"/>
    <mergeCell ref="FA24:FA25"/>
    <mergeCell ref="FB24:FB25"/>
    <mergeCell ref="FC24:FD24"/>
    <mergeCell ref="FE24:FF24"/>
    <mergeCell ref="FG24:FH24"/>
    <mergeCell ref="FI24:FJ24"/>
    <mergeCell ref="FK24:FL24"/>
    <mergeCell ref="FC25:FD25"/>
    <mergeCell ref="FE25:FF25"/>
    <mergeCell ref="FG25:FH25"/>
    <mergeCell ref="FI25:FJ25"/>
    <mergeCell ref="FK25:FL25"/>
    <mergeCell ref="FA22:FA23"/>
    <mergeCell ref="FB22:FB23"/>
    <mergeCell ref="FC22:FD22"/>
    <mergeCell ref="FE22:FF22"/>
    <mergeCell ref="FG22:FH22"/>
    <mergeCell ref="FI22:FJ22"/>
    <mergeCell ref="FK22:FL22"/>
    <mergeCell ref="FC23:FD23"/>
    <mergeCell ref="FE23:FF23"/>
    <mergeCell ref="FG23:FH23"/>
    <mergeCell ref="FI23:FJ23"/>
    <mergeCell ref="FK23:FL23"/>
    <mergeCell ref="FA20:FA21"/>
    <mergeCell ref="FB20:FB21"/>
    <mergeCell ref="FC20:FD20"/>
    <mergeCell ref="FE20:FF20"/>
    <mergeCell ref="FG20:FH20"/>
    <mergeCell ref="FI20:FJ20"/>
    <mergeCell ref="FK20:FL20"/>
    <mergeCell ref="FC21:FD21"/>
    <mergeCell ref="FE21:FF21"/>
    <mergeCell ref="FG21:FH21"/>
    <mergeCell ref="FI21:FJ21"/>
    <mergeCell ref="FK21:FL21"/>
    <mergeCell ref="FE19:FF19"/>
    <mergeCell ref="FG19:FH19"/>
    <mergeCell ref="FI19:FJ19"/>
    <mergeCell ref="FK19:FL19"/>
    <mergeCell ref="FE13:FF14"/>
    <mergeCell ref="FG13:FH14"/>
    <mergeCell ref="FI13:FJ14"/>
    <mergeCell ref="FK13:FL14"/>
    <mergeCell ref="FC15:FL15"/>
    <mergeCell ref="FA16:FA17"/>
    <mergeCell ref="FB16:FB17"/>
    <mergeCell ref="FC16:FD16"/>
    <mergeCell ref="FE16:FF16"/>
    <mergeCell ref="FG16:FH16"/>
    <mergeCell ref="FI16:FJ16"/>
    <mergeCell ref="FK16:FL16"/>
    <mergeCell ref="FC17:FD17"/>
    <mergeCell ref="FE17:FF17"/>
    <mergeCell ref="FG17:FH17"/>
    <mergeCell ref="FI17:FJ17"/>
    <mergeCell ref="FK17:FL17"/>
    <mergeCell ref="EP42:ER42"/>
    <mergeCell ref="ET42:EV42"/>
    <mergeCell ref="EX42:EZ42"/>
    <mergeCell ref="EP43:ER43"/>
    <mergeCell ref="ET43:EV43"/>
    <mergeCell ref="EX43:EZ43"/>
    <mergeCell ref="FA1:FL1"/>
    <mergeCell ref="FA2:FL2"/>
    <mergeCell ref="FA3:FL3"/>
    <mergeCell ref="FA4:FL4"/>
    <mergeCell ref="FA5:FL5"/>
    <mergeCell ref="FA7:FL7"/>
    <mergeCell ref="FA8:FL8"/>
    <mergeCell ref="FA10:FB10"/>
    <mergeCell ref="FI10:FJ10"/>
    <mergeCell ref="FK10:FL10"/>
    <mergeCell ref="FA11:FB11"/>
    <mergeCell ref="FC11:FF11"/>
    <mergeCell ref="FI11:FJ11"/>
    <mergeCell ref="FK11:FL11"/>
    <mergeCell ref="FA12:FB12"/>
    <mergeCell ref="FA13:FA14"/>
    <mergeCell ref="FB13:FB14"/>
    <mergeCell ref="FC13:FD14"/>
    <mergeCell ref="FA18:FA19"/>
    <mergeCell ref="FB18:FB19"/>
    <mergeCell ref="FC18:FD18"/>
    <mergeCell ref="FE18:FF18"/>
    <mergeCell ref="FG18:FH18"/>
    <mergeCell ref="FI18:FJ18"/>
    <mergeCell ref="FK18:FL18"/>
    <mergeCell ref="FC19:FD19"/>
    <mergeCell ref="EO30:EO31"/>
    <mergeCell ref="EP30:EP31"/>
    <mergeCell ref="EQ30:ER30"/>
    <mergeCell ref="ES30:ET30"/>
    <mergeCell ref="EU30:EV30"/>
    <mergeCell ref="EW30:EX30"/>
    <mergeCell ref="EY30:EZ30"/>
    <mergeCell ref="EQ31:ER31"/>
    <mergeCell ref="ES31:ET31"/>
    <mergeCell ref="EU31:EV31"/>
    <mergeCell ref="EW31:EX31"/>
    <mergeCell ref="EY31:EZ31"/>
    <mergeCell ref="EO28:EO29"/>
    <mergeCell ref="EP28:EP29"/>
    <mergeCell ref="EQ28:ER28"/>
    <mergeCell ref="ES28:ET28"/>
    <mergeCell ref="EU28:EV28"/>
    <mergeCell ref="EW28:EX28"/>
    <mergeCell ref="EY28:EZ28"/>
    <mergeCell ref="EQ29:ER29"/>
    <mergeCell ref="ES29:ET29"/>
    <mergeCell ref="EU29:EV29"/>
    <mergeCell ref="EW29:EX29"/>
    <mergeCell ref="EY29:EZ29"/>
    <mergeCell ref="EO26:EO27"/>
    <mergeCell ref="EP26:EP27"/>
    <mergeCell ref="EQ26:ER26"/>
    <mergeCell ref="ES26:ET26"/>
    <mergeCell ref="EU26:EV26"/>
    <mergeCell ref="EW26:EX26"/>
    <mergeCell ref="EY26:EZ26"/>
    <mergeCell ref="EQ27:ER27"/>
    <mergeCell ref="ES27:ET27"/>
    <mergeCell ref="EU27:EV27"/>
    <mergeCell ref="EW27:EX27"/>
    <mergeCell ref="EY27:EZ27"/>
    <mergeCell ref="EO24:EO25"/>
    <mergeCell ref="EP24:EP25"/>
    <mergeCell ref="EQ24:ER24"/>
    <mergeCell ref="ES24:ET24"/>
    <mergeCell ref="EU24:EV24"/>
    <mergeCell ref="EW24:EX24"/>
    <mergeCell ref="EY24:EZ24"/>
    <mergeCell ref="EQ25:ER25"/>
    <mergeCell ref="ES25:ET25"/>
    <mergeCell ref="EU25:EV25"/>
    <mergeCell ref="EW25:EX25"/>
    <mergeCell ref="EY25:EZ25"/>
    <mergeCell ref="EO22:EO23"/>
    <mergeCell ref="EP22:EP23"/>
    <mergeCell ref="EQ22:ER22"/>
    <mergeCell ref="ES22:ET22"/>
    <mergeCell ref="EU22:EV22"/>
    <mergeCell ref="EW22:EX22"/>
    <mergeCell ref="EY22:EZ22"/>
    <mergeCell ref="EQ23:ER23"/>
    <mergeCell ref="ES23:ET23"/>
    <mergeCell ref="EU23:EV23"/>
    <mergeCell ref="EW23:EX23"/>
    <mergeCell ref="EY23:EZ23"/>
    <mergeCell ref="EO20:EO21"/>
    <mergeCell ref="EP20:EP21"/>
    <mergeCell ref="EQ20:ER20"/>
    <mergeCell ref="ES20:ET20"/>
    <mergeCell ref="EU20:EV20"/>
    <mergeCell ref="EW20:EX20"/>
    <mergeCell ref="EY20:EZ20"/>
    <mergeCell ref="EQ21:ER21"/>
    <mergeCell ref="ES21:ET21"/>
    <mergeCell ref="EU21:EV21"/>
    <mergeCell ref="EW21:EX21"/>
    <mergeCell ref="EY21:EZ21"/>
    <mergeCell ref="ES19:ET19"/>
    <mergeCell ref="EU19:EV19"/>
    <mergeCell ref="EW19:EX19"/>
    <mergeCell ref="EY19:EZ19"/>
    <mergeCell ref="ES13:ET14"/>
    <mergeCell ref="EU13:EV14"/>
    <mergeCell ref="EW13:EX14"/>
    <mergeCell ref="EY13:EZ14"/>
    <mergeCell ref="EQ15:EZ15"/>
    <mergeCell ref="EO16:EO17"/>
    <mergeCell ref="EP16:EP17"/>
    <mergeCell ref="EQ16:ER16"/>
    <mergeCell ref="ES16:ET16"/>
    <mergeCell ref="EU16:EV16"/>
    <mergeCell ref="EW16:EX16"/>
    <mergeCell ref="EY16:EZ16"/>
    <mergeCell ref="EQ17:ER17"/>
    <mergeCell ref="ES17:ET17"/>
    <mergeCell ref="EU17:EV17"/>
    <mergeCell ref="EW17:EX17"/>
    <mergeCell ref="EY17:EZ17"/>
    <mergeCell ref="ED42:EF42"/>
    <mergeCell ref="EH42:EJ42"/>
    <mergeCell ref="EL42:EN42"/>
    <mergeCell ref="ED43:EF43"/>
    <mergeCell ref="EH43:EJ43"/>
    <mergeCell ref="EL43:EN43"/>
    <mergeCell ref="EO1:EZ1"/>
    <mergeCell ref="EO2:EZ2"/>
    <mergeCell ref="EO3:EZ3"/>
    <mergeCell ref="EO4:EZ4"/>
    <mergeCell ref="EO5:EZ5"/>
    <mergeCell ref="EO7:EZ7"/>
    <mergeCell ref="EO8:EZ8"/>
    <mergeCell ref="EO10:EP10"/>
    <mergeCell ref="EW10:EX10"/>
    <mergeCell ref="EY10:EZ10"/>
    <mergeCell ref="EO11:EP11"/>
    <mergeCell ref="EQ11:ET11"/>
    <mergeCell ref="EW11:EX11"/>
    <mergeCell ref="EY11:EZ11"/>
    <mergeCell ref="EO12:EP12"/>
    <mergeCell ref="EO13:EO14"/>
    <mergeCell ref="EP13:EP14"/>
    <mergeCell ref="EQ13:ER14"/>
    <mergeCell ref="EO18:EO19"/>
    <mergeCell ref="EP18:EP19"/>
    <mergeCell ref="EQ18:ER18"/>
    <mergeCell ref="ES18:ET18"/>
    <mergeCell ref="EU18:EV18"/>
    <mergeCell ref="EW18:EX18"/>
    <mergeCell ref="EY18:EZ18"/>
    <mergeCell ref="EQ19:ER19"/>
    <mergeCell ref="EC30:EC31"/>
    <mergeCell ref="ED30:ED31"/>
    <mergeCell ref="EE30:EF30"/>
    <mergeCell ref="EG30:EH30"/>
    <mergeCell ref="EI30:EJ30"/>
    <mergeCell ref="EK30:EL30"/>
    <mergeCell ref="EM30:EN30"/>
    <mergeCell ref="EE31:EF31"/>
    <mergeCell ref="EG31:EH31"/>
    <mergeCell ref="EI31:EJ31"/>
    <mergeCell ref="EK31:EL31"/>
    <mergeCell ref="EM31:EN31"/>
    <mergeCell ref="EC28:EC29"/>
    <mergeCell ref="ED28:ED29"/>
    <mergeCell ref="EE28:EF28"/>
    <mergeCell ref="EG28:EH28"/>
    <mergeCell ref="EI28:EJ28"/>
    <mergeCell ref="EK28:EL28"/>
    <mergeCell ref="EM28:EN28"/>
    <mergeCell ref="EE29:EF29"/>
    <mergeCell ref="EG29:EH29"/>
    <mergeCell ref="EI29:EJ29"/>
    <mergeCell ref="EK29:EL29"/>
    <mergeCell ref="EM29:EN29"/>
    <mergeCell ref="EC26:EC27"/>
    <mergeCell ref="ED26:ED27"/>
    <mergeCell ref="EE26:EF26"/>
    <mergeCell ref="EG26:EH26"/>
    <mergeCell ref="EI26:EJ26"/>
    <mergeCell ref="EK26:EL26"/>
    <mergeCell ref="EM26:EN26"/>
    <mergeCell ref="EE27:EF27"/>
    <mergeCell ref="EG27:EH27"/>
    <mergeCell ref="EI27:EJ27"/>
    <mergeCell ref="EK27:EL27"/>
    <mergeCell ref="EM27:EN27"/>
    <mergeCell ref="EC24:EC25"/>
    <mergeCell ref="ED24:ED25"/>
    <mergeCell ref="EE24:EF24"/>
    <mergeCell ref="EG24:EH24"/>
    <mergeCell ref="EI24:EJ24"/>
    <mergeCell ref="EK24:EL24"/>
    <mergeCell ref="EM24:EN24"/>
    <mergeCell ref="EE25:EF25"/>
    <mergeCell ref="EG25:EH25"/>
    <mergeCell ref="EI25:EJ25"/>
    <mergeCell ref="EK25:EL25"/>
    <mergeCell ref="EM25:EN25"/>
    <mergeCell ref="EC22:EC23"/>
    <mergeCell ref="ED22:ED23"/>
    <mergeCell ref="EE22:EF22"/>
    <mergeCell ref="EG22:EH22"/>
    <mergeCell ref="EI22:EJ22"/>
    <mergeCell ref="EK22:EL22"/>
    <mergeCell ref="EM22:EN22"/>
    <mergeCell ref="EE23:EF23"/>
    <mergeCell ref="EG23:EH23"/>
    <mergeCell ref="EI23:EJ23"/>
    <mergeCell ref="EK23:EL23"/>
    <mergeCell ref="EM23:EN23"/>
    <mergeCell ref="EC20:EC21"/>
    <mergeCell ref="ED20:ED21"/>
    <mergeCell ref="EE20:EF20"/>
    <mergeCell ref="EG20:EH20"/>
    <mergeCell ref="EI20:EJ20"/>
    <mergeCell ref="EK20:EL20"/>
    <mergeCell ref="EM20:EN20"/>
    <mergeCell ref="EE21:EF21"/>
    <mergeCell ref="EG21:EH21"/>
    <mergeCell ref="EI21:EJ21"/>
    <mergeCell ref="EK21:EL21"/>
    <mergeCell ref="EM21:EN21"/>
    <mergeCell ref="EG19:EH19"/>
    <mergeCell ref="EI19:EJ19"/>
    <mergeCell ref="EK19:EL19"/>
    <mergeCell ref="EM19:EN19"/>
    <mergeCell ref="EG13:EH14"/>
    <mergeCell ref="EI13:EJ14"/>
    <mergeCell ref="EK13:EL14"/>
    <mergeCell ref="EM13:EN14"/>
    <mergeCell ref="EE15:EN15"/>
    <mergeCell ref="EC16:EC17"/>
    <mergeCell ref="ED16:ED17"/>
    <mergeCell ref="EE16:EF16"/>
    <mergeCell ref="EG16:EH16"/>
    <mergeCell ref="EI16:EJ16"/>
    <mergeCell ref="EK16:EL16"/>
    <mergeCell ref="EM16:EN16"/>
    <mergeCell ref="EE17:EF17"/>
    <mergeCell ref="EG17:EH17"/>
    <mergeCell ref="EI17:EJ17"/>
    <mergeCell ref="EK17:EL17"/>
    <mergeCell ref="EM17:EN17"/>
    <mergeCell ref="DR42:DT42"/>
    <mergeCell ref="DV42:DX42"/>
    <mergeCell ref="DZ42:EB42"/>
    <mergeCell ref="DR43:DT43"/>
    <mergeCell ref="DV43:DX43"/>
    <mergeCell ref="DZ43:EB43"/>
    <mergeCell ref="EC1:EN1"/>
    <mergeCell ref="EC2:EN2"/>
    <mergeCell ref="EC3:EN3"/>
    <mergeCell ref="EC4:EN4"/>
    <mergeCell ref="EC5:EN5"/>
    <mergeCell ref="EC7:EN7"/>
    <mergeCell ref="EC8:EN8"/>
    <mergeCell ref="EC10:ED10"/>
    <mergeCell ref="EK10:EL10"/>
    <mergeCell ref="EM10:EN10"/>
    <mergeCell ref="EC11:ED11"/>
    <mergeCell ref="EE11:EH11"/>
    <mergeCell ref="EK11:EL11"/>
    <mergeCell ref="EM11:EN11"/>
    <mergeCell ref="EC12:ED12"/>
    <mergeCell ref="EC13:EC14"/>
    <mergeCell ref="ED13:ED14"/>
    <mergeCell ref="EE13:EF14"/>
    <mergeCell ref="EC18:EC19"/>
    <mergeCell ref="ED18:ED19"/>
    <mergeCell ref="EE18:EF18"/>
    <mergeCell ref="EG18:EH18"/>
    <mergeCell ref="EI18:EJ18"/>
    <mergeCell ref="EK18:EL18"/>
    <mergeCell ref="EM18:EN18"/>
    <mergeCell ref="EE19:EF19"/>
    <mergeCell ref="DQ30:DQ31"/>
    <mergeCell ref="DR30:DR31"/>
    <mergeCell ref="DS30:DT30"/>
    <mergeCell ref="DU30:DV30"/>
    <mergeCell ref="DW30:DX30"/>
    <mergeCell ref="DY30:DZ30"/>
    <mergeCell ref="EA30:EB30"/>
    <mergeCell ref="DS31:DT31"/>
    <mergeCell ref="DU31:DV31"/>
    <mergeCell ref="DW31:DX31"/>
    <mergeCell ref="DY31:DZ31"/>
    <mergeCell ref="EA31:EB31"/>
    <mergeCell ref="DQ28:DQ29"/>
    <mergeCell ref="DR28:DR29"/>
    <mergeCell ref="DS28:DT28"/>
    <mergeCell ref="DU28:DV28"/>
    <mergeCell ref="DW28:DX28"/>
    <mergeCell ref="DY28:DZ28"/>
    <mergeCell ref="EA28:EB28"/>
    <mergeCell ref="DS29:DT29"/>
    <mergeCell ref="DU29:DV29"/>
    <mergeCell ref="DW29:DX29"/>
    <mergeCell ref="DY29:DZ29"/>
    <mergeCell ref="EA29:EB29"/>
    <mergeCell ref="DQ26:DQ27"/>
    <mergeCell ref="DR26:DR27"/>
    <mergeCell ref="DS26:DT26"/>
    <mergeCell ref="DU26:DV26"/>
    <mergeCell ref="DW26:DX26"/>
    <mergeCell ref="DY26:DZ26"/>
    <mergeCell ref="EA26:EB26"/>
    <mergeCell ref="DS27:DT27"/>
    <mergeCell ref="DU27:DV27"/>
    <mergeCell ref="DW27:DX27"/>
    <mergeCell ref="DY27:DZ27"/>
    <mergeCell ref="EA27:EB27"/>
    <mergeCell ref="DQ24:DQ25"/>
    <mergeCell ref="DR24:DR25"/>
    <mergeCell ref="DS24:DT24"/>
    <mergeCell ref="DU24:DV24"/>
    <mergeCell ref="DW24:DX24"/>
    <mergeCell ref="DY24:DZ24"/>
    <mergeCell ref="EA24:EB24"/>
    <mergeCell ref="DS25:DT25"/>
    <mergeCell ref="DU25:DV25"/>
    <mergeCell ref="DW25:DX25"/>
    <mergeCell ref="DY25:DZ25"/>
    <mergeCell ref="EA25:EB25"/>
    <mergeCell ref="DQ22:DQ23"/>
    <mergeCell ref="DR22:DR23"/>
    <mergeCell ref="DS22:DT22"/>
    <mergeCell ref="DU22:DV22"/>
    <mergeCell ref="DW22:DX22"/>
    <mergeCell ref="DY22:DZ22"/>
    <mergeCell ref="EA22:EB22"/>
    <mergeCell ref="DS23:DT23"/>
    <mergeCell ref="DU23:DV23"/>
    <mergeCell ref="DW23:DX23"/>
    <mergeCell ref="DY23:DZ23"/>
    <mergeCell ref="EA23:EB23"/>
    <mergeCell ref="DQ20:DQ21"/>
    <mergeCell ref="DR20:DR21"/>
    <mergeCell ref="DS20:DT20"/>
    <mergeCell ref="DU20:DV20"/>
    <mergeCell ref="DW20:DX20"/>
    <mergeCell ref="DY20:DZ20"/>
    <mergeCell ref="EA20:EB20"/>
    <mergeCell ref="DS21:DT21"/>
    <mergeCell ref="DU21:DV21"/>
    <mergeCell ref="DW21:DX21"/>
    <mergeCell ref="DY21:DZ21"/>
    <mergeCell ref="EA21:EB21"/>
    <mergeCell ref="DU19:DV19"/>
    <mergeCell ref="DW19:DX19"/>
    <mergeCell ref="DY19:DZ19"/>
    <mergeCell ref="EA19:EB19"/>
    <mergeCell ref="DU13:DV14"/>
    <mergeCell ref="DW13:DX14"/>
    <mergeCell ref="DY13:DZ14"/>
    <mergeCell ref="EA13:EB14"/>
    <mergeCell ref="DS15:EB15"/>
    <mergeCell ref="DQ16:DQ17"/>
    <mergeCell ref="DR16:DR17"/>
    <mergeCell ref="DS16:DT16"/>
    <mergeCell ref="DU16:DV16"/>
    <mergeCell ref="DW16:DX16"/>
    <mergeCell ref="DY16:DZ16"/>
    <mergeCell ref="EA16:EB16"/>
    <mergeCell ref="DS17:DT17"/>
    <mergeCell ref="DU17:DV17"/>
    <mergeCell ref="DW17:DX17"/>
    <mergeCell ref="DY17:DZ17"/>
    <mergeCell ref="EA17:EB17"/>
    <mergeCell ref="DF42:DH42"/>
    <mergeCell ref="DJ42:DL42"/>
    <mergeCell ref="DN42:DP42"/>
    <mergeCell ref="DF43:DH43"/>
    <mergeCell ref="DJ43:DL43"/>
    <mergeCell ref="DN43:DP43"/>
    <mergeCell ref="DQ1:EB1"/>
    <mergeCell ref="DQ2:EB2"/>
    <mergeCell ref="DQ3:EB3"/>
    <mergeCell ref="DQ4:EB4"/>
    <mergeCell ref="DQ5:EB5"/>
    <mergeCell ref="DQ7:EB7"/>
    <mergeCell ref="DQ8:EB8"/>
    <mergeCell ref="DQ10:DR10"/>
    <mergeCell ref="DY10:DZ10"/>
    <mergeCell ref="EA10:EB10"/>
    <mergeCell ref="DQ11:DR11"/>
    <mergeCell ref="DS11:DV11"/>
    <mergeCell ref="DY11:DZ11"/>
    <mergeCell ref="EA11:EB11"/>
    <mergeCell ref="DQ12:DR12"/>
    <mergeCell ref="DQ13:DQ14"/>
    <mergeCell ref="DR13:DR14"/>
    <mergeCell ref="DS13:DT14"/>
    <mergeCell ref="DQ18:DQ19"/>
    <mergeCell ref="DR18:DR19"/>
    <mergeCell ref="DS18:DT18"/>
    <mergeCell ref="DU18:DV18"/>
    <mergeCell ref="DW18:DX18"/>
    <mergeCell ref="DY18:DZ18"/>
    <mergeCell ref="EA18:EB18"/>
    <mergeCell ref="DS19:DT19"/>
    <mergeCell ref="DE30:DE31"/>
    <mergeCell ref="DF30:DF31"/>
    <mergeCell ref="DG30:DH30"/>
    <mergeCell ref="DI30:DJ30"/>
    <mergeCell ref="DK30:DL30"/>
    <mergeCell ref="DM30:DN30"/>
    <mergeCell ref="DO30:DP30"/>
    <mergeCell ref="DG31:DH31"/>
    <mergeCell ref="DI31:DJ31"/>
    <mergeCell ref="DK31:DL31"/>
    <mergeCell ref="DM31:DN31"/>
    <mergeCell ref="DO31:DP31"/>
    <mergeCell ref="DE28:DE29"/>
    <mergeCell ref="DF28:DF29"/>
    <mergeCell ref="DG28:DH28"/>
    <mergeCell ref="DI28:DJ28"/>
    <mergeCell ref="DK28:DL28"/>
    <mergeCell ref="DM28:DN28"/>
    <mergeCell ref="DO28:DP28"/>
    <mergeCell ref="DG29:DH29"/>
    <mergeCell ref="DI29:DJ29"/>
    <mergeCell ref="DK29:DL29"/>
    <mergeCell ref="DM29:DN29"/>
    <mergeCell ref="DO29:DP29"/>
    <mergeCell ref="DE26:DE27"/>
    <mergeCell ref="DF26:DF27"/>
    <mergeCell ref="DG26:DH26"/>
    <mergeCell ref="DI26:DJ26"/>
    <mergeCell ref="DK26:DL26"/>
    <mergeCell ref="DM26:DN26"/>
    <mergeCell ref="DO26:DP26"/>
    <mergeCell ref="DG27:DH27"/>
    <mergeCell ref="DI27:DJ27"/>
    <mergeCell ref="DK27:DL27"/>
    <mergeCell ref="DM27:DN27"/>
    <mergeCell ref="DO27:DP27"/>
    <mergeCell ref="DE24:DE25"/>
    <mergeCell ref="DF24:DF25"/>
    <mergeCell ref="DG24:DH24"/>
    <mergeCell ref="DI24:DJ24"/>
    <mergeCell ref="DK24:DL24"/>
    <mergeCell ref="DM24:DN24"/>
    <mergeCell ref="DO24:DP24"/>
    <mergeCell ref="DG25:DH25"/>
    <mergeCell ref="DI25:DJ25"/>
    <mergeCell ref="DK25:DL25"/>
    <mergeCell ref="DM25:DN25"/>
    <mergeCell ref="DO25:DP25"/>
    <mergeCell ref="DE22:DE23"/>
    <mergeCell ref="DF22:DF23"/>
    <mergeCell ref="DG22:DH22"/>
    <mergeCell ref="DI22:DJ22"/>
    <mergeCell ref="DK22:DL22"/>
    <mergeCell ref="DM22:DN22"/>
    <mergeCell ref="DO22:DP22"/>
    <mergeCell ref="DG23:DH23"/>
    <mergeCell ref="DI23:DJ23"/>
    <mergeCell ref="DK23:DL23"/>
    <mergeCell ref="DM23:DN23"/>
    <mergeCell ref="DO23:DP23"/>
    <mergeCell ref="DE20:DE21"/>
    <mergeCell ref="DF20:DF21"/>
    <mergeCell ref="DG20:DH20"/>
    <mergeCell ref="DI20:DJ20"/>
    <mergeCell ref="DK20:DL20"/>
    <mergeCell ref="DM20:DN20"/>
    <mergeCell ref="DO20:DP20"/>
    <mergeCell ref="DG21:DH21"/>
    <mergeCell ref="DI21:DJ21"/>
    <mergeCell ref="DK21:DL21"/>
    <mergeCell ref="DM21:DN21"/>
    <mergeCell ref="DO21:DP21"/>
    <mergeCell ref="DI19:DJ19"/>
    <mergeCell ref="DK19:DL19"/>
    <mergeCell ref="DM19:DN19"/>
    <mergeCell ref="DO19:DP19"/>
    <mergeCell ref="DI13:DJ14"/>
    <mergeCell ref="DK13:DL14"/>
    <mergeCell ref="DM13:DN14"/>
    <mergeCell ref="DO13:DP14"/>
    <mergeCell ref="DG15:DP15"/>
    <mergeCell ref="DE16:DE17"/>
    <mergeCell ref="DF16:DF17"/>
    <mergeCell ref="DG16:DH16"/>
    <mergeCell ref="DI16:DJ16"/>
    <mergeCell ref="DK16:DL16"/>
    <mergeCell ref="DM16:DN16"/>
    <mergeCell ref="DO16:DP16"/>
    <mergeCell ref="DG17:DH17"/>
    <mergeCell ref="DI17:DJ17"/>
    <mergeCell ref="DK17:DL17"/>
    <mergeCell ref="DM17:DN17"/>
    <mergeCell ref="DO17:DP17"/>
    <mergeCell ref="CT42:CV42"/>
    <mergeCell ref="CX42:CZ42"/>
    <mergeCell ref="DB42:DD42"/>
    <mergeCell ref="CT43:CV43"/>
    <mergeCell ref="CX43:CZ43"/>
    <mergeCell ref="DB43:DD43"/>
    <mergeCell ref="DE1:DP1"/>
    <mergeCell ref="DE2:DP2"/>
    <mergeCell ref="DE3:DP3"/>
    <mergeCell ref="DE4:DP4"/>
    <mergeCell ref="DE5:DP5"/>
    <mergeCell ref="DE7:DP7"/>
    <mergeCell ref="DE8:DP8"/>
    <mergeCell ref="DE10:DF10"/>
    <mergeCell ref="DM10:DN10"/>
    <mergeCell ref="DO10:DP10"/>
    <mergeCell ref="DE11:DF11"/>
    <mergeCell ref="DG11:DJ11"/>
    <mergeCell ref="DM11:DN11"/>
    <mergeCell ref="DO11:DP11"/>
    <mergeCell ref="DE12:DF12"/>
    <mergeCell ref="DE13:DE14"/>
    <mergeCell ref="DF13:DF14"/>
    <mergeCell ref="DG13:DH14"/>
    <mergeCell ref="DE18:DE19"/>
    <mergeCell ref="DF18:DF19"/>
    <mergeCell ref="DG18:DH18"/>
    <mergeCell ref="DI18:DJ18"/>
    <mergeCell ref="DK18:DL18"/>
    <mergeCell ref="DM18:DN18"/>
    <mergeCell ref="DO18:DP18"/>
    <mergeCell ref="DG19:DH19"/>
    <mergeCell ref="CS30:CS31"/>
    <mergeCell ref="CT30:CT31"/>
    <mergeCell ref="CU30:CV30"/>
    <mergeCell ref="CW30:CX30"/>
    <mergeCell ref="CY30:CZ30"/>
    <mergeCell ref="DA30:DB30"/>
    <mergeCell ref="DC30:DD30"/>
    <mergeCell ref="CU31:CV31"/>
    <mergeCell ref="CW31:CX31"/>
    <mergeCell ref="CY31:CZ31"/>
    <mergeCell ref="DA31:DB31"/>
    <mergeCell ref="DC31:DD31"/>
    <mergeCell ref="CS28:CS29"/>
    <mergeCell ref="CT28:CT29"/>
    <mergeCell ref="CU28:CV28"/>
    <mergeCell ref="CW28:CX28"/>
    <mergeCell ref="CY28:CZ28"/>
    <mergeCell ref="DA28:DB28"/>
    <mergeCell ref="DC28:DD28"/>
    <mergeCell ref="CU29:CV29"/>
    <mergeCell ref="CW29:CX29"/>
    <mergeCell ref="CY29:CZ29"/>
    <mergeCell ref="DA29:DB29"/>
    <mergeCell ref="DC29:DD29"/>
    <mergeCell ref="CS26:CS27"/>
    <mergeCell ref="CT26:CT27"/>
    <mergeCell ref="CU26:CV26"/>
    <mergeCell ref="CW26:CX26"/>
    <mergeCell ref="CY26:CZ26"/>
    <mergeCell ref="DA26:DB26"/>
    <mergeCell ref="DC26:DD26"/>
    <mergeCell ref="CU27:CV27"/>
    <mergeCell ref="CW27:CX27"/>
    <mergeCell ref="CY27:CZ27"/>
    <mergeCell ref="DA27:DB27"/>
    <mergeCell ref="DC27:DD27"/>
    <mergeCell ref="CS24:CS25"/>
    <mergeCell ref="CT24:CT25"/>
    <mergeCell ref="CU24:CV24"/>
    <mergeCell ref="CW24:CX24"/>
    <mergeCell ref="CY24:CZ24"/>
    <mergeCell ref="DA24:DB24"/>
    <mergeCell ref="DC24:DD24"/>
    <mergeCell ref="CU25:CV25"/>
    <mergeCell ref="CW25:CX25"/>
    <mergeCell ref="CY25:CZ25"/>
    <mergeCell ref="DA25:DB25"/>
    <mergeCell ref="DC25:DD25"/>
    <mergeCell ref="CS22:CS23"/>
    <mergeCell ref="CT22:CT23"/>
    <mergeCell ref="CU22:CV22"/>
    <mergeCell ref="CW22:CX22"/>
    <mergeCell ref="CY22:CZ22"/>
    <mergeCell ref="DA22:DB22"/>
    <mergeCell ref="DC22:DD22"/>
    <mergeCell ref="CU23:CV23"/>
    <mergeCell ref="CW23:CX23"/>
    <mergeCell ref="CY23:CZ23"/>
    <mergeCell ref="DA23:DB23"/>
    <mergeCell ref="DC23:DD23"/>
    <mergeCell ref="CS20:CS21"/>
    <mergeCell ref="CT20:CT21"/>
    <mergeCell ref="CU20:CV20"/>
    <mergeCell ref="CW20:CX20"/>
    <mergeCell ref="CY20:CZ20"/>
    <mergeCell ref="DA20:DB20"/>
    <mergeCell ref="DC20:DD20"/>
    <mergeCell ref="CU21:CV21"/>
    <mergeCell ref="CW21:CX21"/>
    <mergeCell ref="CY21:CZ21"/>
    <mergeCell ref="DA21:DB21"/>
    <mergeCell ref="DC21:DD21"/>
    <mergeCell ref="CS18:CS19"/>
    <mergeCell ref="CT18:CT19"/>
    <mergeCell ref="CU18:CV18"/>
    <mergeCell ref="CW18:CX18"/>
    <mergeCell ref="CY18:CZ18"/>
    <mergeCell ref="DA18:DB18"/>
    <mergeCell ref="DC18:DD18"/>
    <mergeCell ref="CU19:CV19"/>
    <mergeCell ref="CW19:CX19"/>
    <mergeCell ref="CY19:CZ19"/>
    <mergeCell ref="DA19:DB19"/>
    <mergeCell ref="DC19:DD19"/>
    <mergeCell ref="CW13:CX14"/>
    <mergeCell ref="CY13:CZ14"/>
    <mergeCell ref="DA13:DB14"/>
    <mergeCell ref="DC13:DD14"/>
    <mergeCell ref="CU15:DD15"/>
    <mergeCell ref="CS16:CS17"/>
    <mergeCell ref="CT16:CT17"/>
    <mergeCell ref="CU16:CV16"/>
    <mergeCell ref="CW16:CX16"/>
    <mergeCell ref="CY16:CZ16"/>
    <mergeCell ref="DA16:DB16"/>
    <mergeCell ref="DC16:DD16"/>
    <mergeCell ref="CU17:CV17"/>
    <mergeCell ref="CW17:CX17"/>
    <mergeCell ref="CY17:CZ17"/>
    <mergeCell ref="DA17:DB17"/>
    <mergeCell ref="DC17:DD17"/>
    <mergeCell ref="CH42:CJ42"/>
    <mergeCell ref="CL42:CN42"/>
    <mergeCell ref="CP42:CR42"/>
    <mergeCell ref="CH43:CJ43"/>
    <mergeCell ref="CL43:CN43"/>
    <mergeCell ref="CP43:CR43"/>
    <mergeCell ref="CS1:DD1"/>
    <mergeCell ref="CS2:DD2"/>
    <mergeCell ref="CS3:DD3"/>
    <mergeCell ref="CS4:DD4"/>
    <mergeCell ref="CS5:DD5"/>
    <mergeCell ref="CS7:DD7"/>
    <mergeCell ref="CS8:DD8"/>
    <mergeCell ref="CS10:CT10"/>
    <mergeCell ref="DA10:DB10"/>
    <mergeCell ref="DC10:DD10"/>
    <mergeCell ref="CS11:CT11"/>
    <mergeCell ref="CU11:CX11"/>
    <mergeCell ref="DA11:DB11"/>
    <mergeCell ref="DC11:DD11"/>
    <mergeCell ref="CS12:CT12"/>
    <mergeCell ref="CS13:CS14"/>
    <mergeCell ref="CT13:CT14"/>
    <mergeCell ref="CU13:CV14"/>
    <mergeCell ref="CG1:CR1"/>
    <mergeCell ref="CG2:CR2"/>
    <mergeCell ref="CG3:CR3"/>
    <mergeCell ref="CG4:CR4"/>
    <mergeCell ref="CG5:CR5"/>
    <mergeCell ref="CG7:CR7"/>
    <mergeCell ref="CG8:CR8"/>
    <mergeCell ref="CG10:CH10"/>
    <mergeCell ref="CG30:CG31"/>
    <mergeCell ref="CH30:CH31"/>
    <mergeCell ref="CI30:CJ30"/>
    <mergeCell ref="CK30:CL30"/>
    <mergeCell ref="CM30:CN30"/>
    <mergeCell ref="CO30:CP30"/>
    <mergeCell ref="CQ30:CR30"/>
    <mergeCell ref="CI31:CJ31"/>
    <mergeCell ref="CK31:CL31"/>
    <mergeCell ref="CM31:CN31"/>
    <mergeCell ref="CO31:CP31"/>
    <mergeCell ref="CQ31:CR31"/>
    <mergeCell ref="CG28:CG29"/>
    <mergeCell ref="CH28:CH29"/>
    <mergeCell ref="CI28:CJ28"/>
    <mergeCell ref="CK28:CL28"/>
    <mergeCell ref="CM28:CN28"/>
    <mergeCell ref="CO28:CP28"/>
    <mergeCell ref="CQ28:CR28"/>
    <mergeCell ref="CI29:CJ29"/>
    <mergeCell ref="CK29:CL29"/>
    <mergeCell ref="CM29:CN29"/>
    <mergeCell ref="CO29:CP29"/>
    <mergeCell ref="CQ29:CR29"/>
    <mergeCell ref="CG26:CG27"/>
    <mergeCell ref="CH26:CH27"/>
    <mergeCell ref="CI26:CJ26"/>
    <mergeCell ref="CK26:CL26"/>
    <mergeCell ref="CM26:CN26"/>
    <mergeCell ref="CO26:CP26"/>
    <mergeCell ref="CQ26:CR26"/>
    <mergeCell ref="CI27:CJ27"/>
    <mergeCell ref="CK27:CL27"/>
    <mergeCell ref="CM27:CN27"/>
    <mergeCell ref="CO27:CP27"/>
    <mergeCell ref="CQ27:CR27"/>
    <mergeCell ref="CG24:CG25"/>
    <mergeCell ref="CH24:CH25"/>
    <mergeCell ref="CI24:CJ24"/>
    <mergeCell ref="CK24:CL24"/>
    <mergeCell ref="CM24:CN24"/>
    <mergeCell ref="CO24:CP24"/>
    <mergeCell ref="CQ24:CR24"/>
    <mergeCell ref="CI25:CJ25"/>
    <mergeCell ref="CK25:CL25"/>
    <mergeCell ref="CM25:CN25"/>
    <mergeCell ref="CO25:CP25"/>
    <mergeCell ref="CQ25:CR25"/>
    <mergeCell ref="CG22:CG23"/>
    <mergeCell ref="CH22:CH23"/>
    <mergeCell ref="CI22:CJ22"/>
    <mergeCell ref="CK22:CL22"/>
    <mergeCell ref="CM22:CN22"/>
    <mergeCell ref="CO22:CP22"/>
    <mergeCell ref="CQ22:CR22"/>
    <mergeCell ref="CI23:CJ23"/>
    <mergeCell ref="CK23:CL23"/>
    <mergeCell ref="CM23:CN23"/>
    <mergeCell ref="CO23:CP23"/>
    <mergeCell ref="CQ23:CR23"/>
    <mergeCell ref="CG20:CG21"/>
    <mergeCell ref="CH20:CH21"/>
    <mergeCell ref="CI20:CJ20"/>
    <mergeCell ref="CK20:CL20"/>
    <mergeCell ref="CM20:CN20"/>
    <mergeCell ref="CO20:CP20"/>
    <mergeCell ref="CQ20:CR20"/>
    <mergeCell ref="CI21:CJ21"/>
    <mergeCell ref="CK21:CL21"/>
    <mergeCell ref="CM21:CN21"/>
    <mergeCell ref="CO21:CP21"/>
    <mergeCell ref="CQ21:CR21"/>
    <mergeCell ref="CG18:CG19"/>
    <mergeCell ref="CH18:CH19"/>
    <mergeCell ref="CI18:CJ18"/>
    <mergeCell ref="CK18:CL18"/>
    <mergeCell ref="CM18:CN18"/>
    <mergeCell ref="CO18:CP18"/>
    <mergeCell ref="CQ18:CR18"/>
    <mergeCell ref="CI19:CJ19"/>
    <mergeCell ref="CK19:CL19"/>
    <mergeCell ref="CM19:CN19"/>
    <mergeCell ref="CO19:CP19"/>
    <mergeCell ref="CQ19:CR19"/>
    <mergeCell ref="CK13:CL14"/>
    <mergeCell ref="CM13:CN14"/>
    <mergeCell ref="CO13:CP14"/>
    <mergeCell ref="CQ13:CR14"/>
    <mergeCell ref="CI15:CR15"/>
    <mergeCell ref="CG16:CG17"/>
    <mergeCell ref="CH16:CH17"/>
    <mergeCell ref="CI16:CJ16"/>
    <mergeCell ref="CK16:CL16"/>
    <mergeCell ref="CM16:CN16"/>
    <mergeCell ref="CO16:CP16"/>
    <mergeCell ref="CQ16:CR16"/>
    <mergeCell ref="CI17:CJ17"/>
    <mergeCell ref="CK17:CL17"/>
    <mergeCell ref="CM17:CN17"/>
    <mergeCell ref="CO17:CP17"/>
    <mergeCell ref="CQ17:CR17"/>
    <mergeCell ref="CO10:CP10"/>
    <mergeCell ref="CQ10:CR10"/>
    <mergeCell ref="CG11:CH11"/>
    <mergeCell ref="CI11:CL11"/>
    <mergeCell ref="CO11:CP11"/>
    <mergeCell ref="CQ11:CR11"/>
    <mergeCell ref="CG12:CH12"/>
    <mergeCell ref="CG13:CG14"/>
    <mergeCell ref="CH13:CH14"/>
    <mergeCell ref="CI13:CJ14"/>
    <mergeCell ref="BV42:BX42"/>
    <mergeCell ref="BZ42:CB42"/>
    <mergeCell ref="CD42:CF42"/>
    <mergeCell ref="BV43:BX43"/>
    <mergeCell ref="BZ43:CB43"/>
    <mergeCell ref="CD43:CF43"/>
    <mergeCell ref="BU30:BU31"/>
    <mergeCell ref="BV30:BV31"/>
    <mergeCell ref="BW30:BX30"/>
    <mergeCell ref="BY30:BZ30"/>
    <mergeCell ref="CA30:CB30"/>
    <mergeCell ref="CC30:CD30"/>
    <mergeCell ref="CE30:CF30"/>
    <mergeCell ref="BW31:BX31"/>
    <mergeCell ref="BY31:BZ31"/>
    <mergeCell ref="CA31:CB31"/>
    <mergeCell ref="CC31:CD31"/>
    <mergeCell ref="CE31:CF31"/>
    <mergeCell ref="BU28:BU29"/>
    <mergeCell ref="BV28:BV29"/>
    <mergeCell ref="BW28:BX28"/>
    <mergeCell ref="BY28:BZ28"/>
    <mergeCell ref="CA28:CB28"/>
    <mergeCell ref="CC28:CD28"/>
    <mergeCell ref="CE28:CF28"/>
    <mergeCell ref="BW29:BX29"/>
    <mergeCell ref="BY29:BZ29"/>
    <mergeCell ref="CA29:CB29"/>
    <mergeCell ref="CC29:CD29"/>
    <mergeCell ref="CE29:CF29"/>
    <mergeCell ref="BU26:BU27"/>
    <mergeCell ref="BV26:BV27"/>
    <mergeCell ref="BW26:BX26"/>
    <mergeCell ref="BY26:BZ26"/>
    <mergeCell ref="CA26:CB26"/>
    <mergeCell ref="CC26:CD26"/>
    <mergeCell ref="CE26:CF26"/>
    <mergeCell ref="BW27:BX27"/>
    <mergeCell ref="BY27:BZ27"/>
    <mergeCell ref="CA27:CB27"/>
    <mergeCell ref="CC27:CD27"/>
    <mergeCell ref="CE27:CF27"/>
    <mergeCell ref="CE19:CF19"/>
    <mergeCell ref="BU24:BU25"/>
    <mergeCell ref="BV24:BV25"/>
    <mergeCell ref="BY24:BZ24"/>
    <mergeCell ref="CA24:CB24"/>
    <mergeCell ref="CC24:CD24"/>
    <mergeCell ref="CE24:CF24"/>
    <mergeCell ref="BY25:BZ25"/>
    <mergeCell ref="CA25:CB25"/>
    <mergeCell ref="CC25:CD25"/>
    <mergeCell ref="CE25:CF25"/>
    <mergeCell ref="BU22:BU23"/>
    <mergeCell ref="BV22:BV23"/>
    <mergeCell ref="BW22:BX22"/>
    <mergeCell ref="BY22:BZ22"/>
    <mergeCell ref="CA22:CB22"/>
    <mergeCell ref="CC22:CD22"/>
    <mergeCell ref="CE22:CF22"/>
    <mergeCell ref="BW23:BX23"/>
    <mergeCell ref="BY23:BZ23"/>
    <mergeCell ref="CA23:CB23"/>
    <mergeCell ref="CC23:CD23"/>
    <mergeCell ref="CE23:CF23"/>
    <mergeCell ref="BW24:BX24"/>
    <mergeCell ref="BW25:BX25"/>
    <mergeCell ref="BY16:BZ16"/>
    <mergeCell ref="CA16:CB16"/>
    <mergeCell ref="CC16:CD16"/>
    <mergeCell ref="CE16:CF16"/>
    <mergeCell ref="BW17:BX17"/>
    <mergeCell ref="BY17:BZ17"/>
    <mergeCell ref="CA17:CB17"/>
    <mergeCell ref="CC17:CD17"/>
    <mergeCell ref="CE17:CF17"/>
    <mergeCell ref="BU20:BU21"/>
    <mergeCell ref="BV20:BV21"/>
    <mergeCell ref="BW20:BX20"/>
    <mergeCell ref="BY20:BZ20"/>
    <mergeCell ref="CA20:CB20"/>
    <mergeCell ref="CC20:CD20"/>
    <mergeCell ref="CE20:CF20"/>
    <mergeCell ref="BW21:BX21"/>
    <mergeCell ref="BY21:BZ21"/>
    <mergeCell ref="CA21:CB21"/>
    <mergeCell ref="CC21:CD21"/>
    <mergeCell ref="CE21:CF21"/>
    <mergeCell ref="BU18:BU19"/>
    <mergeCell ref="BV18:BV19"/>
    <mergeCell ref="BW18:BX18"/>
    <mergeCell ref="BY18:BZ18"/>
    <mergeCell ref="CA18:CB18"/>
    <mergeCell ref="CC18:CD18"/>
    <mergeCell ref="CE18:CF18"/>
    <mergeCell ref="BW19:BX19"/>
    <mergeCell ref="BY19:BZ19"/>
    <mergeCell ref="CA19:CB19"/>
    <mergeCell ref="CC19:CD19"/>
    <mergeCell ref="BJ42:BL42"/>
    <mergeCell ref="BN42:BP42"/>
    <mergeCell ref="BR42:BT42"/>
    <mergeCell ref="BJ43:BL43"/>
    <mergeCell ref="BN43:BP43"/>
    <mergeCell ref="BR43:BT43"/>
    <mergeCell ref="BU1:CF1"/>
    <mergeCell ref="BU2:CF2"/>
    <mergeCell ref="BU3:CF3"/>
    <mergeCell ref="BU4:CF4"/>
    <mergeCell ref="BU5:CF5"/>
    <mergeCell ref="BU7:CF7"/>
    <mergeCell ref="BU8:CF8"/>
    <mergeCell ref="BU10:BV10"/>
    <mergeCell ref="CC10:CD10"/>
    <mergeCell ref="CE10:CF10"/>
    <mergeCell ref="BU11:BV11"/>
    <mergeCell ref="BW11:BZ11"/>
    <mergeCell ref="CC11:CD11"/>
    <mergeCell ref="CE11:CF11"/>
    <mergeCell ref="BU12:BV12"/>
    <mergeCell ref="BU13:BU14"/>
    <mergeCell ref="BV13:BV14"/>
    <mergeCell ref="BW13:BX14"/>
    <mergeCell ref="BY13:BZ14"/>
    <mergeCell ref="CA13:CB14"/>
    <mergeCell ref="CC13:CD14"/>
    <mergeCell ref="CE13:CF14"/>
    <mergeCell ref="BW15:CF15"/>
    <mergeCell ref="BU16:BU17"/>
    <mergeCell ref="BV16:BV17"/>
    <mergeCell ref="BW16:BX16"/>
    <mergeCell ref="BI30:BI31"/>
    <mergeCell ref="BJ30:BJ31"/>
    <mergeCell ref="BK30:BL30"/>
    <mergeCell ref="BM30:BN30"/>
    <mergeCell ref="BO30:BP30"/>
    <mergeCell ref="BQ30:BR30"/>
    <mergeCell ref="BS30:BT30"/>
    <mergeCell ref="BK31:BL31"/>
    <mergeCell ref="BM31:BN31"/>
    <mergeCell ref="BO31:BP31"/>
    <mergeCell ref="BQ31:BR31"/>
    <mergeCell ref="BS31:BT31"/>
    <mergeCell ref="BI28:BI29"/>
    <mergeCell ref="BJ28:BJ29"/>
    <mergeCell ref="BK28:BL28"/>
    <mergeCell ref="BM28:BN28"/>
    <mergeCell ref="BO28:BP28"/>
    <mergeCell ref="BQ28:BR28"/>
    <mergeCell ref="BS28:BT28"/>
    <mergeCell ref="BK29:BL29"/>
    <mergeCell ref="BM29:BN29"/>
    <mergeCell ref="BO29:BP29"/>
    <mergeCell ref="BQ29:BR29"/>
    <mergeCell ref="BS29:BT29"/>
    <mergeCell ref="BI26:BI27"/>
    <mergeCell ref="BJ26:BJ27"/>
    <mergeCell ref="BK26:BL26"/>
    <mergeCell ref="BM26:BN26"/>
    <mergeCell ref="BO26:BP26"/>
    <mergeCell ref="BQ26:BR26"/>
    <mergeCell ref="BS26:BT26"/>
    <mergeCell ref="BK27:BL27"/>
    <mergeCell ref="BM27:BN27"/>
    <mergeCell ref="BO27:BP27"/>
    <mergeCell ref="BQ27:BR27"/>
    <mergeCell ref="BS27:BT27"/>
    <mergeCell ref="BI24:BI25"/>
    <mergeCell ref="BJ24:BJ25"/>
    <mergeCell ref="BK24:BL24"/>
    <mergeCell ref="BM24:BN24"/>
    <mergeCell ref="BO24:BP24"/>
    <mergeCell ref="BQ24:BR24"/>
    <mergeCell ref="BS24:BT24"/>
    <mergeCell ref="BK25:BL25"/>
    <mergeCell ref="BM25:BN25"/>
    <mergeCell ref="BO25:BP25"/>
    <mergeCell ref="BQ25:BR25"/>
    <mergeCell ref="BS25:BT25"/>
    <mergeCell ref="BI22:BI23"/>
    <mergeCell ref="BJ22:BJ23"/>
    <mergeCell ref="BK22:BL22"/>
    <mergeCell ref="BM22:BN22"/>
    <mergeCell ref="BO22:BP22"/>
    <mergeCell ref="BQ22:BR22"/>
    <mergeCell ref="BS22:BT22"/>
    <mergeCell ref="BK23:BL23"/>
    <mergeCell ref="BM23:BN23"/>
    <mergeCell ref="BO23:BP23"/>
    <mergeCell ref="BQ23:BR23"/>
    <mergeCell ref="BS23:BT23"/>
    <mergeCell ref="BI20:BI21"/>
    <mergeCell ref="BJ20:BJ21"/>
    <mergeCell ref="BK20:BL20"/>
    <mergeCell ref="BM20:BN20"/>
    <mergeCell ref="BO20:BP20"/>
    <mergeCell ref="BQ20:BR20"/>
    <mergeCell ref="BS20:BT20"/>
    <mergeCell ref="BK21:BL21"/>
    <mergeCell ref="BM21:BN21"/>
    <mergeCell ref="BO21:BP21"/>
    <mergeCell ref="BQ21:BR21"/>
    <mergeCell ref="BS21:BT21"/>
    <mergeCell ref="BM19:BN19"/>
    <mergeCell ref="BO19:BP19"/>
    <mergeCell ref="BQ19:BR19"/>
    <mergeCell ref="BS19:BT19"/>
    <mergeCell ref="BM13:BN14"/>
    <mergeCell ref="BO13:BP14"/>
    <mergeCell ref="BQ13:BR14"/>
    <mergeCell ref="BS13:BT14"/>
    <mergeCell ref="BK15:BT15"/>
    <mergeCell ref="BI16:BI17"/>
    <mergeCell ref="BJ16:BJ17"/>
    <mergeCell ref="BK16:BL16"/>
    <mergeCell ref="BM16:BN16"/>
    <mergeCell ref="BO16:BP16"/>
    <mergeCell ref="BQ16:BR16"/>
    <mergeCell ref="BS16:BT16"/>
    <mergeCell ref="BK17:BL17"/>
    <mergeCell ref="BM17:BN17"/>
    <mergeCell ref="BO17:BP17"/>
    <mergeCell ref="BQ17:BR17"/>
    <mergeCell ref="BS17:BT17"/>
    <mergeCell ref="AX42:AZ42"/>
    <mergeCell ref="BB42:BD42"/>
    <mergeCell ref="BF42:BH42"/>
    <mergeCell ref="AX43:AZ43"/>
    <mergeCell ref="BB43:BD43"/>
    <mergeCell ref="BF43:BH43"/>
    <mergeCell ref="BI1:BT1"/>
    <mergeCell ref="BI2:BT2"/>
    <mergeCell ref="BI3:BT3"/>
    <mergeCell ref="BI4:BT4"/>
    <mergeCell ref="BI5:BT5"/>
    <mergeCell ref="BI7:BT7"/>
    <mergeCell ref="BI8:BT8"/>
    <mergeCell ref="BI10:BJ10"/>
    <mergeCell ref="BQ10:BR10"/>
    <mergeCell ref="BS10:BT10"/>
    <mergeCell ref="BI11:BJ11"/>
    <mergeCell ref="BK11:BN11"/>
    <mergeCell ref="BQ11:BR11"/>
    <mergeCell ref="BS11:BT11"/>
    <mergeCell ref="BI12:BJ12"/>
    <mergeCell ref="BI13:BI14"/>
    <mergeCell ref="BJ13:BJ14"/>
    <mergeCell ref="BK13:BL14"/>
    <mergeCell ref="BI18:BI19"/>
    <mergeCell ref="BJ18:BJ19"/>
    <mergeCell ref="BK18:BL18"/>
    <mergeCell ref="BM18:BN18"/>
    <mergeCell ref="BO18:BP18"/>
    <mergeCell ref="BQ18:BR18"/>
    <mergeCell ref="BS18:BT18"/>
    <mergeCell ref="BK19:BL19"/>
    <mergeCell ref="AW30:AW31"/>
    <mergeCell ref="AX30:AX31"/>
    <mergeCell ref="AY30:AZ30"/>
    <mergeCell ref="BA30:BB30"/>
    <mergeCell ref="BC30:BD30"/>
    <mergeCell ref="BE30:BF30"/>
    <mergeCell ref="BG30:BH30"/>
    <mergeCell ref="AY31:AZ31"/>
    <mergeCell ref="BA31:BB31"/>
    <mergeCell ref="BC31:BD31"/>
    <mergeCell ref="BE31:BF31"/>
    <mergeCell ref="BG31:BH31"/>
    <mergeCell ref="AW28:AW29"/>
    <mergeCell ref="AX28:AX29"/>
    <mergeCell ref="AY28:AZ28"/>
    <mergeCell ref="BA28:BB28"/>
    <mergeCell ref="BC28:BD28"/>
    <mergeCell ref="BE28:BF28"/>
    <mergeCell ref="BG28:BH28"/>
    <mergeCell ref="AY29:AZ29"/>
    <mergeCell ref="BA29:BB29"/>
    <mergeCell ref="BC29:BD29"/>
    <mergeCell ref="BE29:BF29"/>
    <mergeCell ref="BG29:BH29"/>
    <mergeCell ref="AW26:AW27"/>
    <mergeCell ref="AX26:AX27"/>
    <mergeCell ref="AY26:AZ26"/>
    <mergeCell ref="BA26:BB26"/>
    <mergeCell ref="BC26:BD26"/>
    <mergeCell ref="BE26:BF26"/>
    <mergeCell ref="BG26:BH26"/>
    <mergeCell ref="AY27:AZ27"/>
    <mergeCell ref="BA27:BB27"/>
    <mergeCell ref="BC27:BD27"/>
    <mergeCell ref="BE27:BF27"/>
    <mergeCell ref="BG27:BH27"/>
    <mergeCell ref="AW24:AW25"/>
    <mergeCell ref="AX24:AX25"/>
    <mergeCell ref="AY24:AZ24"/>
    <mergeCell ref="BA24:BB24"/>
    <mergeCell ref="BC24:BD24"/>
    <mergeCell ref="BE24:BF24"/>
    <mergeCell ref="BG24:BH24"/>
    <mergeCell ref="AY25:AZ25"/>
    <mergeCell ref="BA25:BB25"/>
    <mergeCell ref="BC25:BD25"/>
    <mergeCell ref="BE25:BF25"/>
    <mergeCell ref="BG25:BH25"/>
    <mergeCell ref="AW22:AW23"/>
    <mergeCell ref="AX22:AX23"/>
    <mergeCell ref="AY22:AZ22"/>
    <mergeCell ref="BA22:BB22"/>
    <mergeCell ref="BC22:BD22"/>
    <mergeCell ref="BE22:BF22"/>
    <mergeCell ref="BG22:BH22"/>
    <mergeCell ref="AY23:AZ23"/>
    <mergeCell ref="BA23:BB23"/>
    <mergeCell ref="BC23:BD23"/>
    <mergeCell ref="BE23:BF23"/>
    <mergeCell ref="BG23:BH23"/>
    <mergeCell ref="AW20:AW21"/>
    <mergeCell ref="AX20:AX21"/>
    <mergeCell ref="AY20:AZ20"/>
    <mergeCell ref="BA20:BB20"/>
    <mergeCell ref="BC20:BD20"/>
    <mergeCell ref="BE20:BF20"/>
    <mergeCell ref="BG20:BH20"/>
    <mergeCell ref="AY21:AZ21"/>
    <mergeCell ref="BA21:BB21"/>
    <mergeCell ref="BC21:BD21"/>
    <mergeCell ref="BE21:BF21"/>
    <mergeCell ref="BG21:BH21"/>
    <mergeCell ref="BA19:BB19"/>
    <mergeCell ref="BC19:BD19"/>
    <mergeCell ref="BE19:BF19"/>
    <mergeCell ref="BG19:BH19"/>
    <mergeCell ref="BA13:BB14"/>
    <mergeCell ref="BC13:BD14"/>
    <mergeCell ref="BE13:BF14"/>
    <mergeCell ref="BG13:BH14"/>
    <mergeCell ref="AY15:BH15"/>
    <mergeCell ref="AW16:AW17"/>
    <mergeCell ref="AX16:AX17"/>
    <mergeCell ref="AY16:AZ16"/>
    <mergeCell ref="BA16:BB16"/>
    <mergeCell ref="BC16:BD16"/>
    <mergeCell ref="BE16:BF16"/>
    <mergeCell ref="BG16:BH16"/>
    <mergeCell ref="AY17:AZ17"/>
    <mergeCell ref="BA17:BB17"/>
    <mergeCell ref="BC17:BD17"/>
    <mergeCell ref="BE17:BF17"/>
    <mergeCell ref="BG17:BH17"/>
    <mergeCell ref="AL42:AN42"/>
    <mergeCell ref="AP42:AR42"/>
    <mergeCell ref="AT42:AV42"/>
    <mergeCell ref="AL43:AN43"/>
    <mergeCell ref="AP43:AR43"/>
    <mergeCell ref="AT43:AV43"/>
    <mergeCell ref="AW1:BH1"/>
    <mergeCell ref="AW2:BH2"/>
    <mergeCell ref="AW3:BH3"/>
    <mergeCell ref="AW4:BH4"/>
    <mergeCell ref="AW5:BH5"/>
    <mergeCell ref="AW7:BH7"/>
    <mergeCell ref="AW8:BH8"/>
    <mergeCell ref="AW10:AX10"/>
    <mergeCell ref="BE10:BF10"/>
    <mergeCell ref="BG10:BH10"/>
    <mergeCell ref="AW11:AX11"/>
    <mergeCell ref="AY11:BB11"/>
    <mergeCell ref="BE11:BF11"/>
    <mergeCell ref="BG11:BH11"/>
    <mergeCell ref="AW12:AX12"/>
    <mergeCell ref="AW13:AW14"/>
    <mergeCell ref="AX13:AX14"/>
    <mergeCell ref="AY13:AZ14"/>
    <mergeCell ref="AW18:AW19"/>
    <mergeCell ref="AX18:AX19"/>
    <mergeCell ref="AY18:AZ18"/>
    <mergeCell ref="BA18:BB18"/>
    <mergeCell ref="BC18:BD18"/>
    <mergeCell ref="BE18:BF18"/>
    <mergeCell ref="BG18:BH18"/>
    <mergeCell ref="AY19:AZ19"/>
    <mergeCell ref="AK30:AK31"/>
    <mergeCell ref="AL30:AL31"/>
    <mergeCell ref="AM30:AN30"/>
    <mergeCell ref="AO30:AP30"/>
    <mergeCell ref="AQ30:AR30"/>
    <mergeCell ref="AS30:AT30"/>
    <mergeCell ref="AU30:AV30"/>
    <mergeCell ref="AM31:AN31"/>
    <mergeCell ref="AO31:AP31"/>
    <mergeCell ref="AQ31:AR31"/>
    <mergeCell ref="AS31:AT31"/>
    <mergeCell ref="AU31:AV31"/>
    <mergeCell ref="AK28:AK29"/>
    <mergeCell ref="AL28:AL29"/>
    <mergeCell ref="AM28:AN28"/>
    <mergeCell ref="AO28:AP28"/>
    <mergeCell ref="AQ28:AR28"/>
    <mergeCell ref="AS28:AT28"/>
    <mergeCell ref="AU28:AV28"/>
    <mergeCell ref="AM29:AN29"/>
    <mergeCell ref="AO29:AP29"/>
    <mergeCell ref="AQ29:AR29"/>
    <mergeCell ref="AS29:AT29"/>
    <mergeCell ref="AU29:AV29"/>
    <mergeCell ref="AK26:AK27"/>
    <mergeCell ref="AL26:AL27"/>
    <mergeCell ref="AM26:AN26"/>
    <mergeCell ref="AO26:AP26"/>
    <mergeCell ref="AQ26:AR26"/>
    <mergeCell ref="AS26:AT26"/>
    <mergeCell ref="AU26:AV26"/>
    <mergeCell ref="AM27:AN27"/>
    <mergeCell ref="AO27:AP27"/>
    <mergeCell ref="AQ27:AR27"/>
    <mergeCell ref="AS27:AT27"/>
    <mergeCell ref="AU27:AV27"/>
    <mergeCell ref="AK24:AK25"/>
    <mergeCell ref="AL24:AL25"/>
    <mergeCell ref="AM24:AN24"/>
    <mergeCell ref="AO24:AP24"/>
    <mergeCell ref="AQ24:AR24"/>
    <mergeCell ref="AS24:AT24"/>
    <mergeCell ref="AU24:AV24"/>
    <mergeCell ref="AM25:AN25"/>
    <mergeCell ref="AO25:AP25"/>
    <mergeCell ref="AQ25:AR25"/>
    <mergeCell ref="AS25:AT25"/>
    <mergeCell ref="AU25:AV25"/>
    <mergeCell ref="AK22:AK23"/>
    <mergeCell ref="AL22:AL23"/>
    <mergeCell ref="AM22:AN22"/>
    <mergeCell ref="AO22:AP22"/>
    <mergeCell ref="AQ22:AR22"/>
    <mergeCell ref="AS22:AT22"/>
    <mergeCell ref="AU22:AV22"/>
    <mergeCell ref="AM23:AN23"/>
    <mergeCell ref="AO23:AP23"/>
    <mergeCell ref="AQ23:AR23"/>
    <mergeCell ref="AS23:AT23"/>
    <mergeCell ref="AU23:AV23"/>
    <mergeCell ref="AK20:AK21"/>
    <mergeCell ref="AL20:AL21"/>
    <mergeCell ref="AM20:AN20"/>
    <mergeCell ref="AO20:AP20"/>
    <mergeCell ref="AQ20:AR20"/>
    <mergeCell ref="AS20:AT20"/>
    <mergeCell ref="AU20:AV20"/>
    <mergeCell ref="AM21:AN21"/>
    <mergeCell ref="AO21:AP21"/>
    <mergeCell ref="AQ21:AR21"/>
    <mergeCell ref="AS21:AT21"/>
    <mergeCell ref="AU21:AV21"/>
    <mergeCell ref="AO19:AP19"/>
    <mergeCell ref="AQ19:AR19"/>
    <mergeCell ref="AS19:AT19"/>
    <mergeCell ref="AU19:AV19"/>
    <mergeCell ref="AO13:AP14"/>
    <mergeCell ref="AQ13:AR14"/>
    <mergeCell ref="AS13:AT14"/>
    <mergeCell ref="AU13:AV14"/>
    <mergeCell ref="AM15:AV15"/>
    <mergeCell ref="AK16:AK17"/>
    <mergeCell ref="AL16:AL17"/>
    <mergeCell ref="AM16:AN16"/>
    <mergeCell ref="AO16:AP16"/>
    <mergeCell ref="AQ16:AR16"/>
    <mergeCell ref="AS16:AT16"/>
    <mergeCell ref="AU16:AV16"/>
    <mergeCell ref="AM17:AN17"/>
    <mergeCell ref="AO17:AP17"/>
    <mergeCell ref="AQ17:AR17"/>
    <mergeCell ref="AS17:AT17"/>
    <mergeCell ref="AU17:AV17"/>
    <mergeCell ref="Z42:AB42"/>
    <mergeCell ref="AD42:AF42"/>
    <mergeCell ref="AH42:AJ42"/>
    <mergeCell ref="Z43:AB43"/>
    <mergeCell ref="AD43:AF43"/>
    <mergeCell ref="AH43:AJ43"/>
    <mergeCell ref="AK1:AV1"/>
    <mergeCell ref="AK2:AV2"/>
    <mergeCell ref="AK3:AV3"/>
    <mergeCell ref="AK4:AV4"/>
    <mergeCell ref="AK5:AV5"/>
    <mergeCell ref="AK7:AV7"/>
    <mergeCell ref="AK8:AV8"/>
    <mergeCell ref="AK10:AL10"/>
    <mergeCell ref="AS10:AT10"/>
    <mergeCell ref="AU10:AV10"/>
    <mergeCell ref="AK11:AL11"/>
    <mergeCell ref="AM11:AP11"/>
    <mergeCell ref="AS11:AT11"/>
    <mergeCell ref="AU11:AV11"/>
    <mergeCell ref="AK12:AL12"/>
    <mergeCell ref="AK13:AK14"/>
    <mergeCell ref="AL13:AL14"/>
    <mergeCell ref="AM13:AN14"/>
    <mergeCell ref="AK18:AK19"/>
    <mergeCell ref="AL18:AL19"/>
    <mergeCell ref="AM18:AN18"/>
    <mergeCell ref="AO18:AP18"/>
    <mergeCell ref="AQ18:AR18"/>
    <mergeCell ref="AS18:AT18"/>
    <mergeCell ref="AU18:AV18"/>
    <mergeCell ref="AM19:AN19"/>
    <mergeCell ref="Y30:Y31"/>
    <mergeCell ref="Z30:Z31"/>
    <mergeCell ref="AA30:AB30"/>
    <mergeCell ref="AC30:AD30"/>
    <mergeCell ref="AE30:AF30"/>
    <mergeCell ref="AG30:AH30"/>
    <mergeCell ref="AI30:AJ30"/>
    <mergeCell ref="AA31:AB31"/>
    <mergeCell ref="AC31:AD31"/>
    <mergeCell ref="AE31:AF31"/>
    <mergeCell ref="AG31:AH31"/>
    <mergeCell ref="AI31:AJ31"/>
    <mergeCell ref="Y28:Y29"/>
    <mergeCell ref="Z28:Z29"/>
    <mergeCell ref="AA28:AB28"/>
    <mergeCell ref="AC28:AD28"/>
    <mergeCell ref="AE28:AF28"/>
    <mergeCell ref="AG28:AH28"/>
    <mergeCell ref="AI28:AJ28"/>
    <mergeCell ref="AA29:AB29"/>
    <mergeCell ref="AC29:AD29"/>
    <mergeCell ref="AE29:AF29"/>
    <mergeCell ref="AG29:AH29"/>
    <mergeCell ref="AI29:AJ29"/>
    <mergeCell ref="Y26:Y27"/>
    <mergeCell ref="Z26:Z27"/>
    <mergeCell ref="AA26:AB26"/>
    <mergeCell ref="AC26:AD26"/>
    <mergeCell ref="AE26:AF26"/>
    <mergeCell ref="AG26:AH26"/>
    <mergeCell ref="AI26:AJ26"/>
    <mergeCell ref="AA27:AB27"/>
    <mergeCell ref="AC27:AD27"/>
    <mergeCell ref="AG27:AH27"/>
    <mergeCell ref="AI27:AJ27"/>
    <mergeCell ref="AE27:AF27"/>
    <mergeCell ref="Y24:Y25"/>
    <mergeCell ref="Z24:Z25"/>
    <mergeCell ref="AA24:AB24"/>
    <mergeCell ref="AC24:AD24"/>
    <mergeCell ref="AE24:AF24"/>
    <mergeCell ref="AG24:AH24"/>
    <mergeCell ref="AI24:AJ24"/>
    <mergeCell ref="AA25:AB25"/>
    <mergeCell ref="AC25:AD25"/>
    <mergeCell ref="AE25:AF25"/>
    <mergeCell ref="AG25:AH25"/>
    <mergeCell ref="AI25:AJ25"/>
    <mergeCell ref="Y22:Y23"/>
    <mergeCell ref="Z22:Z23"/>
    <mergeCell ref="AA22:AB22"/>
    <mergeCell ref="AC22:AD22"/>
    <mergeCell ref="AE22:AF22"/>
    <mergeCell ref="AG22:AH22"/>
    <mergeCell ref="AI22:AJ22"/>
    <mergeCell ref="AA23:AB23"/>
    <mergeCell ref="AC23:AD23"/>
    <mergeCell ref="AE23:AF23"/>
    <mergeCell ref="AG23:AH23"/>
    <mergeCell ref="AI23:AJ23"/>
    <mergeCell ref="Y20:Y21"/>
    <mergeCell ref="Z20:Z21"/>
    <mergeCell ref="AA20:AB20"/>
    <mergeCell ref="AC20:AD20"/>
    <mergeCell ref="AE20:AF20"/>
    <mergeCell ref="AG20:AH20"/>
    <mergeCell ref="AI20:AJ20"/>
    <mergeCell ref="AA21:AB21"/>
    <mergeCell ref="AC21:AD21"/>
    <mergeCell ref="AE21:AF21"/>
    <mergeCell ref="AG21:AH21"/>
    <mergeCell ref="AI21:AJ21"/>
    <mergeCell ref="Y18:Y19"/>
    <mergeCell ref="Z18:Z19"/>
    <mergeCell ref="AA18:AB18"/>
    <mergeCell ref="AC18:AD18"/>
    <mergeCell ref="AE18:AF18"/>
    <mergeCell ref="AG18:AH18"/>
    <mergeCell ref="AI18:AJ18"/>
    <mergeCell ref="AA19:AB19"/>
    <mergeCell ref="AC19:AD19"/>
    <mergeCell ref="AE19:AF19"/>
    <mergeCell ref="AG19:AH19"/>
    <mergeCell ref="AI19:AJ19"/>
    <mergeCell ref="AC13:AD14"/>
    <mergeCell ref="AE13:AF14"/>
    <mergeCell ref="AG13:AH14"/>
    <mergeCell ref="AI13:AJ14"/>
    <mergeCell ref="AA15:AJ15"/>
    <mergeCell ref="Y16:Y17"/>
    <mergeCell ref="Z16:Z17"/>
    <mergeCell ref="AA16:AB16"/>
    <mergeCell ref="AC16:AD16"/>
    <mergeCell ref="AE16:AF16"/>
    <mergeCell ref="AG16:AH16"/>
    <mergeCell ref="AI16:AJ16"/>
    <mergeCell ref="AA17:AB17"/>
    <mergeCell ref="AC17:AD17"/>
    <mergeCell ref="AE17:AF17"/>
    <mergeCell ref="AG17:AH17"/>
    <mergeCell ref="AI17:AJ17"/>
    <mergeCell ref="N42:P42"/>
    <mergeCell ref="R42:T42"/>
    <mergeCell ref="V42:X42"/>
    <mergeCell ref="N43:P43"/>
    <mergeCell ref="R43:T43"/>
    <mergeCell ref="V43:X43"/>
    <mergeCell ref="Y1:AJ1"/>
    <mergeCell ref="Y2:AJ2"/>
    <mergeCell ref="Y3:AJ3"/>
    <mergeCell ref="Y4:AJ4"/>
    <mergeCell ref="Y5:AJ5"/>
    <mergeCell ref="Y7:AJ7"/>
    <mergeCell ref="Y8:AJ8"/>
    <mergeCell ref="Y10:Z10"/>
    <mergeCell ref="AG10:AH10"/>
    <mergeCell ref="AI10:AJ10"/>
    <mergeCell ref="Y11:Z11"/>
    <mergeCell ref="AA11:AD11"/>
    <mergeCell ref="AG11:AH11"/>
    <mergeCell ref="AI11:AJ11"/>
    <mergeCell ref="Y12:Z12"/>
    <mergeCell ref="Y13:Y14"/>
    <mergeCell ref="Z13:Z14"/>
    <mergeCell ref="AA13:AB14"/>
    <mergeCell ref="M8:X8"/>
    <mergeCell ref="M10:N10"/>
    <mergeCell ref="U10:V10"/>
    <mergeCell ref="W10:X10"/>
    <mergeCell ref="M11:N11"/>
    <mergeCell ref="O11:R11"/>
    <mergeCell ref="U11:V11"/>
    <mergeCell ref="W11:X11"/>
    <mergeCell ref="M30:M31"/>
    <mergeCell ref="N30:N31"/>
    <mergeCell ref="O30:P30"/>
    <mergeCell ref="Q30:R30"/>
    <mergeCell ref="S30:T30"/>
    <mergeCell ref="U30:V30"/>
    <mergeCell ref="W30:X30"/>
    <mergeCell ref="O31:P31"/>
    <mergeCell ref="Q31:R31"/>
    <mergeCell ref="S31:T31"/>
    <mergeCell ref="U31:V31"/>
    <mergeCell ref="W31:X31"/>
    <mergeCell ref="M28:M29"/>
    <mergeCell ref="N28:N29"/>
    <mergeCell ref="O28:P28"/>
    <mergeCell ref="Q28:R28"/>
    <mergeCell ref="S28:T28"/>
    <mergeCell ref="U28:V28"/>
    <mergeCell ref="W28:X28"/>
    <mergeCell ref="O29:P29"/>
    <mergeCell ref="Q29:R29"/>
    <mergeCell ref="S29:T29"/>
    <mergeCell ref="U29:V29"/>
    <mergeCell ref="W29:X29"/>
    <mergeCell ref="M26:M27"/>
    <mergeCell ref="N26:N27"/>
    <mergeCell ref="O26:P26"/>
    <mergeCell ref="Q26:R26"/>
    <mergeCell ref="S26:T26"/>
    <mergeCell ref="U26:V26"/>
    <mergeCell ref="W26:X26"/>
    <mergeCell ref="O27:P27"/>
    <mergeCell ref="Q27:R27"/>
    <mergeCell ref="S27:T27"/>
    <mergeCell ref="U27:V27"/>
    <mergeCell ref="W27:X27"/>
    <mergeCell ref="M24:M25"/>
    <mergeCell ref="N24:N25"/>
    <mergeCell ref="O24:P24"/>
    <mergeCell ref="Q24:R24"/>
    <mergeCell ref="S24:T24"/>
    <mergeCell ref="U24:V24"/>
    <mergeCell ref="W24:X24"/>
    <mergeCell ref="O25:P25"/>
    <mergeCell ref="Q25:R25"/>
    <mergeCell ref="S25:T25"/>
    <mergeCell ref="U25:V25"/>
    <mergeCell ref="W25:X25"/>
    <mergeCell ref="W16:X16"/>
    <mergeCell ref="O17:P17"/>
    <mergeCell ref="Q17:R17"/>
    <mergeCell ref="S17:T17"/>
    <mergeCell ref="U17:V17"/>
    <mergeCell ref="W17:X17"/>
    <mergeCell ref="M22:M23"/>
    <mergeCell ref="N22:N23"/>
    <mergeCell ref="O22:P22"/>
    <mergeCell ref="Q22:R22"/>
    <mergeCell ref="S22:T22"/>
    <mergeCell ref="U22:V22"/>
    <mergeCell ref="W22:X22"/>
    <mergeCell ref="O23:P23"/>
    <mergeCell ref="Q23:R23"/>
    <mergeCell ref="S23:T23"/>
    <mergeCell ref="U23:V23"/>
    <mergeCell ref="W23:X23"/>
    <mergeCell ref="M20:M21"/>
    <mergeCell ref="N20:N21"/>
    <mergeCell ref="O20:P20"/>
    <mergeCell ref="Q20:R20"/>
    <mergeCell ref="S20:T20"/>
    <mergeCell ref="U20:V20"/>
    <mergeCell ref="W20:X20"/>
    <mergeCell ref="O21:P21"/>
    <mergeCell ref="Q21:R21"/>
    <mergeCell ref="S21:T21"/>
    <mergeCell ref="U21:V21"/>
    <mergeCell ref="W21:X21"/>
    <mergeCell ref="C13:D14"/>
    <mergeCell ref="E13:F14"/>
    <mergeCell ref="G13:H14"/>
    <mergeCell ref="I13:J14"/>
    <mergeCell ref="K13:L14"/>
    <mergeCell ref="A10:B10"/>
    <mergeCell ref="M18:M19"/>
    <mergeCell ref="N18:N19"/>
    <mergeCell ref="O18:P18"/>
    <mergeCell ref="Q18:R18"/>
    <mergeCell ref="S18:T18"/>
    <mergeCell ref="U18:V18"/>
    <mergeCell ref="W18:X18"/>
    <mergeCell ref="O19:P19"/>
    <mergeCell ref="Q19:R19"/>
    <mergeCell ref="S19:T19"/>
    <mergeCell ref="U19:V19"/>
    <mergeCell ref="W19:X19"/>
    <mergeCell ref="M13:M14"/>
    <mergeCell ref="N13:N14"/>
    <mergeCell ref="O13:P14"/>
    <mergeCell ref="Q13:R14"/>
    <mergeCell ref="S13:T14"/>
    <mergeCell ref="U13:V14"/>
    <mergeCell ref="W13:X14"/>
    <mergeCell ref="O15:X15"/>
    <mergeCell ref="M16:M17"/>
    <mergeCell ref="N16:N17"/>
    <mergeCell ref="O16:P16"/>
    <mergeCell ref="Q16:R16"/>
    <mergeCell ref="S16:T16"/>
    <mergeCell ref="U16:V16"/>
    <mergeCell ref="K17:L17"/>
    <mergeCell ref="A18:A19"/>
    <mergeCell ref="B18:B19"/>
    <mergeCell ref="C18:D18"/>
    <mergeCell ref="E18:F18"/>
    <mergeCell ref="G18:H18"/>
    <mergeCell ref="I18:J18"/>
    <mergeCell ref="K18:L18"/>
    <mergeCell ref="I20:J20"/>
    <mergeCell ref="K20:L20"/>
    <mergeCell ref="C21:D21"/>
    <mergeCell ref="E21:F21"/>
    <mergeCell ref="G21:H21"/>
    <mergeCell ref="I21:J21"/>
    <mergeCell ref="K21:L21"/>
    <mergeCell ref="M12:N12"/>
    <mergeCell ref="A1:L1"/>
    <mergeCell ref="A2:L2"/>
    <mergeCell ref="A3:L3"/>
    <mergeCell ref="A4:L4"/>
    <mergeCell ref="A5:L5"/>
    <mergeCell ref="A7:L7"/>
    <mergeCell ref="M1:X1"/>
    <mergeCell ref="M2:X2"/>
    <mergeCell ref="M3:X3"/>
    <mergeCell ref="M4:X4"/>
    <mergeCell ref="M5:X5"/>
    <mergeCell ref="M7:X7"/>
    <mergeCell ref="A8:L8"/>
    <mergeCell ref="A12:B12"/>
    <mergeCell ref="A13:A14"/>
    <mergeCell ref="B13:B14"/>
    <mergeCell ref="K26:L26"/>
    <mergeCell ref="C27:D27"/>
    <mergeCell ref="E27:F27"/>
    <mergeCell ref="G27:H27"/>
    <mergeCell ref="I27:J27"/>
    <mergeCell ref="K27:L27"/>
    <mergeCell ref="A26:A27"/>
    <mergeCell ref="B26:B27"/>
    <mergeCell ref="C26:D26"/>
    <mergeCell ref="E26:F26"/>
    <mergeCell ref="G26:H26"/>
    <mergeCell ref="I26:J26"/>
    <mergeCell ref="C19:D19"/>
    <mergeCell ref="E19:F19"/>
    <mergeCell ref="G19:H19"/>
    <mergeCell ref="I19:J19"/>
    <mergeCell ref="K19:L19"/>
    <mergeCell ref="K22:L22"/>
    <mergeCell ref="C23:D23"/>
    <mergeCell ref="E23:F23"/>
    <mergeCell ref="G23:H23"/>
    <mergeCell ref="I23:J23"/>
    <mergeCell ref="K23:L23"/>
    <mergeCell ref="A22:A23"/>
    <mergeCell ref="B22:B23"/>
    <mergeCell ref="C22:D22"/>
    <mergeCell ref="E22:F22"/>
    <mergeCell ref="G22:H22"/>
    <mergeCell ref="I22:J22"/>
    <mergeCell ref="A20:A21"/>
    <mergeCell ref="B20:B21"/>
    <mergeCell ref="C20:D20"/>
    <mergeCell ref="K10:L10"/>
    <mergeCell ref="K11:L11"/>
    <mergeCell ref="I10:J10"/>
    <mergeCell ref="I11:J11"/>
    <mergeCell ref="A11:B11"/>
    <mergeCell ref="C11:F11"/>
    <mergeCell ref="K24:L24"/>
    <mergeCell ref="C25:D25"/>
    <mergeCell ref="E25:F25"/>
    <mergeCell ref="G25:H25"/>
    <mergeCell ref="I25:J25"/>
    <mergeCell ref="K25:L25"/>
    <mergeCell ref="A24:A25"/>
    <mergeCell ref="B24:B25"/>
    <mergeCell ref="C24:D24"/>
    <mergeCell ref="E24:F24"/>
    <mergeCell ref="G24:H24"/>
    <mergeCell ref="I24:J24"/>
    <mergeCell ref="C15:L15"/>
    <mergeCell ref="A16:A17"/>
    <mergeCell ref="B16:B17"/>
    <mergeCell ref="C16:D16"/>
    <mergeCell ref="E16:F16"/>
    <mergeCell ref="G16:H16"/>
    <mergeCell ref="I16:J16"/>
    <mergeCell ref="K16:L16"/>
    <mergeCell ref="C17:D17"/>
    <mergeCell ref="E17:F17"/>
    <mergeCell ref="E20:F20"/>
    <mergeCell ref="G20:H20"/>
    <mergeCell ref="G17:H17"/>
    <mergeCell ref="I17:J17"/>
    <mergeCell ref="B43:D43"/>
    <mergeCell ref="F43:H43"/>
    <mergeCell ref="J43:L43"/>
    <mergeCell ref="C31:D31"/>
    <mergeCell ref="E31:F31"/>
    <mergeCell ref="G31:H31"/>
    <mergeCell ref="I31:J31"/>
    <mergeCell ref="B42:D42"/>
    <mergeCell ref="F42:H42"/>
    <mergeCell ref="J42:L42"/>
    <mergeCell ref="A30:A31"/>
    <mergeCell ref="B30:B31"/>
    <mergeCell ref="C30:D30"/>
    <mergeCell ref="E30:F30"/>
    <mergeCell ref="G30:H30"/>
    <mergeCell ref="I30:J30"/>
    <mergeCell ref="K28:L28"/>
    <mergeCell ref="C29:D29"/>
    <mergeCell ref="E29:F29"/>
    <mergeCell ref="G29:H29"/>
    <mergeCell ref="I29:J29"/>
    <mergeCell ref="K29:L29"/>
    <mergeCell ref="A28:A29"/>
    <mergeCell ref="B28:B29"/>
    <mergeCell ref="C28:D28"/>
    <mergeCell ref="E28:F28"/>
    <mergeCell ref="G28:H28"/>
    <mergeCell ref="I28:J28"/>
    <mergeCell ref="K30:L30"/>
    <mergeCell ref="K31:L31"/>
  </mergeCells>
  <conditionalFormatting sqref="CS9:DD17 CS18:DB18 CS19:DD19 CT20:CV20 CY20:DD20 CT21:DD21 CS22:DD27 CT28:DD29 CS30:DD31">
    <cfRule type="containsText" dxfId="4" priority="5" operator="containsText" text="P.E.">
      <formula>NOT(ISERROR(SEARCH("P.E.",CS9)))</formula>
    </cfRule>
  </conditionalFormatting>
  <conditionalFormatting sqref="CW20:CX20">
    <cfRule type="containsText" dxfId="3" priority="2" operator="containsText" text="P.E.">
      <formula>NOT(ISERROR(SEARCH("P.E.",CW20)))</formula>
    </cfRule>
  </conditionalFormatting>
  <conditionalFormatting sqref="DC18:DD18">
    <cfRule type="containsText" dxfId="2" priority="1" operator="containsText" text="P.E.">
      <formula>NOT(ISERROR(SEARCH("P.E.",DC18)))</formula>
    </cfRule>
  </conditionalFormatting>
  <conditionalFormatting sqref="GW9:HH19 GX20:HH21 GW22:HH27 GX28:HH29 GW30:HH31">
    <cfRule type="containsText" dxfId="1" priority="4" operator="containsText" text="P.E.">
      <formula>NOT(ISERROR(SEARCH("P.E.",GW9)))</formula>
    </cfRule>
  </conditionalFormatting>
  <conditionalFormatting sqref="GW9:HH31">
    <cfRule type="containsText" dxfId="0" priority="3" operator="containsText" text="P.E.">
      <formula>NOT(ISERROR(SEARCH("P.E.",GW9)))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9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Gen CP</vt:lpstr>
      <vt:lpstr>Ref</vt:lpstr>
      <vt:lpstr>New</vt:lpstr>
      <vt:lpstr>Old</vt:lpstr>
      <vt:lpstr>Class Sch</vt:lpstr>
      <vt:lpstr>Sheet1</vt:lpstr>
      <vt:lpstr>Teacher's Sched</vt:lpstr>
      <vt:lpstr>'Class Sch'!Print_Area</vt:lpstr>
      <vt:lpstr>'Gen CP'!Print_Area</vt:lpstr>
      <vt:lpstr>New!Print_Area</vt:lpstr>
      <vt:lpstr>Old!Print_Area</vt:lpstr>
      <vt:lpstr>Ref!Print_Area</vt:lpstr>
      <vt:lpstr>'Teacher''s Sched'!Print_Area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lorenzana</dc:creator>
  <cp:lastModifiedBy>Allan</cp:lastModifiedBy>
  <cp:lastPrinted>2024-07-26T00:22:13Z</cp:lastPrinted>
  <dcterms:created xsi:type="dcterms:W3CDTF">2018-03-21T23:56:27Z</dcterms:created>
  <dcterms:modified xsi:type="dcterms:W3CDTF">2024-07-26T00:24:57Z</dcterms:modified>
</cp:coreProperties>
</file>